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ST.Gabriel School\FEES MANAGEMENT\"/>
    </mc:Choice>
  </mc:AlternateContent>
  <xr:revisionPtr revIDLastSave="0" documentId="13_ncr:1_{5453F6E7-CF51-4BDA-ACBF-F94C0B9F76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" sheetId="12" r:id="rId1"/>
    <sheet name="Classwise Summary" sheetId="1" r:id="rId2"/>
    <sheet name="Class Totals" sheetId="3" r:id="rId3"/>
    <sheet name="Raw Entries" sheetId="2" r:id="rId4"/>
    <sheet name="ALL STUDENTS" sheetId="4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12" l="1"/>
  <c r="A10" i="12"/>
  <c r="I1302" i="2" a="1"/>
  <c r="I1303" i="2" a="1"/>
  <c r="I1304" i="2" a="1"/>
  <c r="I1305" i="2" a="1"/>
  <c r="I1306" i="2" a="1"/>
  <c r="I1307" i="2" a="1"/>
  <c r="I1308" i="2" a="1"/>
  <c r="I1309" i="2" a="1"/>
  <c r="I1310" i="2" a="1"/>
  <c r="I1311" i="2" a="1"/>
  <c r="I1312" i="2" a="1"/>
  <c r="D2124" i="4" s="1"/>
  <c r="I1313" i="2" a="1"/>
  <c r="D624" i="4" s="1"/>
  <c r="I1314" i="2" a="1"/>
  <c r="I1315" i="2" a="1"/>
  <c r="I1316" i="2" a="1"/>
  <c r="D1907" i="4" s="1"/>
  <c r="I1317" i="2" a="1"/>
  <c r="D85" i="4" s="1"/>
  <c r="I1318" i="2" a="1"/>
  <c r="D2516" i="4" s="1"/>
  <c r="I1319" i="2" a="1"/>
  <c r="I1320" i="2" a="1"/>
  <c r="I1321" i="2" a="1"/>
  <c r="I1322" i="2" a="1"/>
  <c r="I1323" i="2" a="1"/>
  <c r="I1324" i="2" a="1"/>
  <c r="I1325" i="2" a="1"/>
  <c r="I1326" i="2" a="1"/>
  <c r="I1327" i="2" a="1"/>
  <c r="I1328" i="2" a="1"/>
  <c r="I1329" i="2" a="1"/>
  <c r="I1330" i="2" a="1"/>
  <c r="I1331" i="2" a="1"/>
  <c r="I1332" i="2" a="1"/>
  <c r="I1333" i="2" a="1"/>
  <c r="I1334" i="2" a="1"/>
  <c r="I1335" i="2" a="1"/>
  <c r="I1336" i="2" a="1"/>
  <c r="I1337" i="2" a="1"/>
  <c r="I1338" i="2" a="1"/>
  <c r="I1339" i="2" a="1"/>
  <c r="I1340" i="2" a="1"/>
  <c r="I1341" i="2" a="1"/>
  <c r="I1342" i="2" a="1"/>
  <c r="I1343" i="2" a="1"/>
  <c r="I1344" i="2" a="1"/>
  <c r="I1345" i="2" a="1"/>
  <c r="I1346" i="2" a="1"/>
  <c r="I1347" i="2" a="1"/>
  <c r="I1348" i="2" a="1"/>
  <c r="I1349" i="2" a="1"/>
  <c r="I1350" i="2" a="1"/>
  <c r="I1351" i="2" a="1"/>
  <c r="D2559" i="4" s="1"/>
  <c r="I1352" i="2" a="1"/>
  <c r="I1353" i="2" a="1"/>
  <c r="I1354" i="2" a="1"/>
  <c r="I1355" i="2" a="1"/>
  <c r="I1356" i="2" a="1"/>
  <c r="I1357" i="2" a="1"/>
  <c r="I1358" i="2" a="1"/>
  <c r="D2539" i="4" s="1"/>
  <c r="I1359" i="2" a="1"/>
  <c r="D124" i="4" s="1"/>
  <c r="I1360" i="2" a="1"/>
  <c r="D732" i="4" s="1"/>
  <c r="I1361" i="2" a="1"/>
  <c r="I1362" i="2" a="1"/>
  <c r="I1363" i="2" a="1"/>
  <c r="I1364" i="2" a="1"/>
  <c r="D2563" i="4" s="1"/>
  <c r="I1365" i="2" a="1"/>
  <c r="I1366" i="2" a="1"/>
  <c r="I1367" i="2" a="1"/>
  <c r="D2154" i="4" s="1"/>
  <c r="I1368" i="2" a="1"/>
  <c r="I1369" i="2" a="1"/>
  <c r="I1370" i="2" a="1"/>
  <c r="I1371" i="2" a="1"/>
  <c r="I1372" i="2" a="1"/>
  <c r="I1373" i="2" a="1"/>
  <c r="I1374" i="2" a="1"/>
  <c r="I1375" i="2" a="1"/>
  <c r="I1376" i="2" a="1"/>
  <c r="I1377" i="2" a="1"/>
  <c r="I1378" i="2" a="1"/>
  <c r="D21" i="4" s="1"/>
  <c r="I1379" i="2" a="1"/>
  <c r="D1535" i="4" s="1"/>
  <c r="I1380" i="2" a="1"/>
  <c r="I1381" i="2" a="1"/>
  <c r="I1382" i="2" a="1"/>
  <c r="I1383" i="2" a="1"/>
  <c r="I1384" i="2" a="1"/>
  <c r="I1385" i="2" a="1"/>
  <c r="I1386" i="2" a="1"/>
  <c r="I1387" i="2" a="1"/>
  <c r="I1388" i="2" a="1"/>
  <c r="I1389" i="2" a="1"/>
  <c r="I1390" i="2" a="1"/>
  <c r="I1391" i="2" a="1"/>
  <c r="I1392" i="2" a="1"/>
  <c r="I1393" i="2" a="1"/>
  <c r="I1394" i="2" a="1"/>
  <c r="D2551" i="4" s="1"/>
  <c r="I1395" i="2" a="1"/>
  <c r="I1396" i="2" a="1"/>
  <c r="I1397" i="2" a="1"/>
  <c r="I1398" i="2" a="1"/>
  <c r="I1399" i="2" a="1"/>
  <c r="I1400" i="2" a="1"/>
  <c r="I1401" i="2" a="1"/>
  <c r="D1909" i="4" s="1"/>
  <c r="I1402" i="2" a="1"/>
  <c r="I1403" i="2" a="1"/>
  <c r="I1404" i="2" a="1"/>
  <c r="I1405" i="2" a="1"/>
  <c r="I1406" i="2" a="1"/>
  <c r="D2274" i="4" s="1"/>
  <c r="I1407" i="2" a="1"/>
  <c r="D1602" i="4" s="1"/>
  <c r="I1408" i="2" a="1"/>
  <c r="D2571" i="4" s="1"/>
  <c r="I1409" i="2" a="1"/>
  <c r="D1904" i="4" s="1"/>
  <c r="I1410" i="2" a="1"/>
  <c r="I1411" i="2" a="1"/>
  <c r="I1412" i="2" a="1"/>
  <c r="I1413" i="2" a="1"/>
  <c r="I1414" i="2" a="1"/>
  <c r="D1280" i="4" s="1"/>
  <c r="I1415" i="2" a="1"/>
  <c r="I1416" i="2" a="1"/>
  <c r="I1417" i="2" a="1"/>
  <c r="I1418" i="2" a="1"/>
  <c r="D2518" i="4" s="1"/>
  <c r="I1419" i="2" a="1"/>
  <c r="D1863" i="4" s="1"/>
  <c r="I1420" i="2" a="1"/>
  <c r="I1421" i="2" a="1"/>
  <c r="I1422" i="2" a="1"/>
  <c r="I1423" i="2" a="1"/>
  <c r="I1424" i="2" a="1"/>
  <c r="I1425" i="2" a="1"/>
  <c r="I1426" i="2" a="1"/>
  <c r="I1427" i="2" a="1"/>
  <c r="I1428" i="2" a="1"/>
  <c r="I1429" i="2" a="1"/>
  <c r="I1430" i="2" a="1"/>
  <c r="I1431" i="2" a="1"/>
  <c r="I1432" i="2" a="1"/>
  <c r="I1433" i="2" a="1"/>
  <c r="I1434" i="2" a="1"/>
  <c r="I1435" i="2" a="1"/>
  <c r="I1436" i="2" a="1"/>
  <c r="I1437" i="2" a="1"/>
  <c r="I1438" i="2" a="1"/>
  <c r="I1439" i="2" a="1"/>
  <c r="D618" i="4" s="1"/>
  <c r="I1440" i="2" a="1"/>
  <c r="D1430" i="4" s="1"/>
  <c r="I1441" i="2" a="1"/>
  <c r="I1442" i="2" a="1"/>
  <c r="I1443" i="2" a="1"/>
  <c r="D914" i="4" s="1"/>
  <c r="I1444" i="2" a="1"/>
  <c r="I1445" i="2" a="1"/>
  <c r="I1446" i="2" a="1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I2" i="2" a="1"/>
  <c r="I3" i="2" a="1"/>
  <c r="I4" i="2" a="1"/>
  <c r="I5" i="2" a="1"/>
  <c r="D661" i="4" s="1"/>
  <c r="I6" i="2" a="1"/>
  <c r="D2132" i="4" s="1"/>
  <c r="I7" i="2" a="1"/>
  <c r="I8" i="2" a="1"/>
  <c r="I9" i="2" a="1"/>
  <c r="I10" i="2" a="1"/>
  <c r="I11" i="2" a="1"/>
  <c r="I12" i="2" a="1"/>
  <c r="I13" i="2" a="1"/>
  <c r="I14" i="2" a="1"/>
  <c r="D243" i="4" s="1"/>
  <c r="I15" i="2" a="1"/>
  <c r="I16" i="2" a="1"/>
  <c r="I17" i="2" a="1"/>
  <c r="I18" i="2" a="1"/>
  <c r="I19" i="2" a="1"/>
  <c r="I20" i="2" a="1"/>
  <c r="I21" i="2" a="1"/>
  <c r="I22" i="2" a="1"/>
  <c r="I23" i="2" a="1"/>
  <c r="I24" i="2" a="1"/>
  <c r="I25" i="2" a="1"/>
  <c r="D766" i="4" s="1"/>
  <c r="I26" i="2" a="1"/>
  <c r="D2157" i="4" s="1"/>
  <c r="I27" i="2" a="1"/>
  <c r="I28" i="2" a="1"/>
  <c r="I29" i="2" a="1"/>
  <c r="I30" i="2" a="1"/>
  <c r="D951" i="4" s="1"/>
  <c r="I31" i="2" a="1"/>
  <c r="D1774" i="4" s="1"/>
  <c r="I32" i="2" a="1"/>
  <c r="I33" i="2" a="1"/>
  <c r="I34" i="2" a="1"/>
  <c r="I35" i="2" a="1"/>
  <c r="I36" i="2" a="1"/>
  <c r="I37" i="2" a="1"/>
  <c r="I38" i="2" a="1"/>
  <c r="I39" i="2" a="1"/>
  <c r="D779" i="4" s="1"/>
  <c r="I40" i="2" a="1"/>
  <c r="I41" i="2" a="1"/>
  <c r="I42" i="2" a="1"/>
  <c r="I43" i="2" a="1"/>
  <c r="I44" i="2" a="1"/>
  <c r="I45" i="2" a="1"/>
  <c r="I46" i="2" a="1"/>
  <c r="I47" i="2" a="1"/>
  <c r="I48" i="2" a="1"/>
  <c r="I49" i="2" a="1"/>
  <c r="I50" i="2" a="1"/>
  <c r="I51" i="2" a="1"/>
  <c r="I52" i="2" a="1"/>
  <c r="D557" i="4" s="1"/>
  <c r="I53" i="2" a="1"/>
  <c r="D1466" i="4" s="1"/>
  <c r="I54" i="2" a="1"/>
  <c r="D1234" i="4" s="1"/>
  <c r="I55" i="2" a="1"/>
  <c r="D1767" i="4" s="1"/>
  <c r="I56" i="2" a="1"/>
  <c r="D828" i="4" s="1"/>
  <c r="I57" i="2" a="1"/>
  <c r="D103" i="4" s="1"/>
  <c r="I58" i="2" a="1"/>
  <c r="D834" i="4" s="1"/>
  <c r="I59" i="2" a="1"/>
  <c r="I60" i="2" a="1"/>
  <c r="D1776" i="4" s="1"/>
  <c r="I61" i="2" a="1"/>
  <c r="I62" i="2" a="1"/>
  <c r="I63" i="2" a="1"/>
  <c r="I64" i="2" a="1"/>
  <c r="D12" i="4" s="1"/>
  <c r="I65" i="2" a="1"/>
  <c r="D1881" i="4" s="1"/>
  <c r="I66" i="2" a="1"/>
  <c r="D1784" i="4" s="1"/>
  <c r="I67" i="2" a="1"/>
  <c r="I68" i="2" a="1"/>
  <c r="I69" i="2" a="1"/>
  <c r="I70" i="2" a="1"/>
  <c r="I71" i="2" a="1"/>
  <c r="I72" i="2" a="1"/>
  <c r="I73" i="2" a="1"/>
  <c r="D285" i="4" s="1"/>
  <c r="I74" i="2" a="1"/>
  <c r="I75" i="2" a="1"/>
  <c r="I76" i="2" a="1"/>
  <c r="I77" i="2" a="1"/>
  <c r="D888" i="4" s="1"/>
  <c r="I78" i="2" a="1"/>
  <c r="D1142" i="4" s="1"/>
  <c r="I79" i="2" a="1"/>
  <c r="I80" i="2" a="1"/>
  <c r="I81" i="2" a="1"/>
  <c r="I82" i="2" a="1"/>
  <c r="I83" i="2" a="1"/>
  <c r="D446" i="4" s="1"/>
  <c r="I84" i="2" a="1"/>
  <c r="I85" i="2" a="1"/>
  <c r="D660" i="4" s="1"/>
  <c r="I86" i="2" a="1"/>
  <c r="D260" i="4" s="1"/>
  <c r="I87" i="2" a="1"/>
  <c r="I88" i="2" a="1"/>
  <c r="I89" i="2" a="1"/>
  <c r="I90" i="2" a="1"/>
  <c r="D319" i="4" s="1"/>
  <c r="I91" i="2" a="1"/>
  <c r="I92" i="2" a="1"/>
  <c r="I93" i="2" a="1"/>
  <c r="I94" i="2" a="1"/>
  <c r="I95" i="2" a="1"/>
  <c r="I96" i="2" a="1"/>
  <c r="I97" i="2" a="1"/>
  <c r="I98" i="2" a="1"/>
  <c r="D115" i="4" s="1"/>
  <c r="I99" i="2" a="1"/>
  <c r="D968" i="4" s="1"/>
  <c r="I100" i="2" a="1"/>
  <c r="D1162" i="4" s="1"/>
  <c r="I101" i="2" a="1"/>
  <c r="I102" i="2" a="1"/>
  <c r="I103" i="2" a="1"/>
  <c r="I104" i="2" a="1"/>
  <c r="I105" i="2" a="1"/>
  <c r="I106" i="2" a="1"/>
  <c r="I107" i="2" a="1"/>
  <c r="I108" i="2" a="1"/>
  <c r="D749" i="4" s="1"/>
  <c r="I109" i="2" a="1"/>
  <c r="I110" i="2" a="1"/>
  <c r="I111" i="2" a="1"/>
  <c r="D295" i="4" s="1"/>
  <c r="I112" i="2" a="1"/>
  <c r="D2264" i="4" s="1"/>
  <c r="I113" i="2" a="1"/>
  <c r="I114" i="2" a="1"/>
  <c r="I115" i="2" a="1"/>
  <c r="I116" i="2" a="1"/>
  <c r="I117" i="2" a="1"/>
  <c r="I118" i="2" a="1"/>
  <c r="I119" i="2" a="1"/>
  <c r="I120" i="2" a="1"/>
  <c r="I121" i="2" a="1"/>
  <c r="I122" i="2" a="1"/>
  <c r="D378" i="4" s="1"/>
  <c r="I123" i="2" a="1"/>
  <c r="D1321" i="4" s="1"/>
  <c r="I124" i="2" a="1"/>
  <c r="D101" i="4" s="1"/>
  <c r="I125" i="2" a="1"/>
  <c r="D1212" i="4" s="1"/>
  <c r="I126" i="2" a="1"/>
  <c r="D2100" i="4" s="1"/>
  <c r="I127" i="2" a="1"/>
  <c r="I128" i="2" a="1"/>
  <c r="I129" i="2" a="1"/>
  <c r="I130" i="2" a="1"/>
  <c r="I131" i="2" a="1"/>
  <c r="I132" i="2" a="1"/>
  <c r="I133" i="2" a="1"/>
  <c r="D1788" i="4" s="1"/>
  <c r="I134" i="2" a="1"/>
  <c r="D2353" i="4" s="1"/>
  <c r="I135" i="2" a="1"/>
  <c r="D851" i="4" s="1"/>
  <c r="I136" i="2" a="1"/>
  <c r="I137" i="2" a="1"/>
  <c r="I138" i="2" a="1"/>
  <c r="I139" i="2" a="1"/>
  <c r="I140" i="2" a="1"/>
  <c r="I141" i="2" a="1"/>
  <c r="I142" i="2" a="1"/>
  <c r="D153" i="4" s="1"/>
  <c r="I143" i="2" a="1"/>
  <c r="D73" i="4" s="1"/>
  <c r="I144" i="2" a="1"/>
  <c r="D1256" i="4" s="1"/>
  <c r="I145" i="2" a="1"/>
  <c r="I146" i="2" a="1"/>
  <c r="I147" i="2" a="1"/>
  <c r="I148" i="2" a="1"/>
  <c r="I149" i="2" a="1"/>
  <c r="I150" i="2" a="1"/>
  <c r="I151" i="2" a="1"/>
  <c r="I152" i="2" a="1"/>
  <c r="I153" i="2" a="1"/>
  <c r="I154" i="2" a="1"/>
  <c r="I155" i="2" a="1"/>
  <c r="I156" i="2" a="1"/>
  <c r="I157" i="2" a="1"/>
  <c r="D165" i="4" s="1"/>
  <c r="I158" i="2" a="1"/>
  <c r="D837" i="4" s="1"/>
  <c r="I159" i="2" a="1"/>
  <c r="I160" i="2" a="1"/>
  <c r="I161" i="2" a="1"/>
  <c r="I162" i="2" a="1"/>
  <c r="I163" i="2" a="1"/>
  <c r="I164" i="2" a="1"/>
  <c r="I165" i="2" a="1"/>
  <c r="I166" i="2" a="1"/>
  <c r="I167" i="2" a="1"/>
  <c r="I168" i="2" a="1"/>
  <c r="I169" i="2" a="1"/>
  <c r="I170" i="2" a="1"/>
  <c r="I171" i="2" a="1"/>
  <c r="I172" i="2" a="1"/>
  <c r="I173" i="2" a="1"/>
  <c r="I174" i="2" a="1"/>
  <c r="I175" i="2" a="1"/>
  <c r="I176" i="2" a="1"/>
  <c r="I177" i="2" a="1"/>
  <c r="I178" i="2" a="1"/>
  <c r="I179" i="2" a="1"/>
  <c r="I180" i="2" a="1"/>
  <c r="D273" i="4" s="1"/>
  <c r="I181" i="2" a="1"/>
  <c r="D274" i="4" s="1"/>
  <c r="I182" i="2" a="1"/>
  <c r="I183" i="2" a="1"/>
  <c r="I184" i="2" a="1"/>
  <c r="I185" i="2" a="1"/>
  <c r="I186" i="2" a="1"/>
  <c r="I187" i="2" a="1"/>
  <c r="I188" i="2" a="1"/>
  <c r="D2170" i="4" s="1"/>
  <c r="I189" i="2" a="1"/>
  <c r="D2495" i="4" s="1"/>
  <c r="I190" i="2" a="1"/>
  <c r="I191" i="2" a="1"/>
  <c r="I192" i="2" a="1"/>
  <c r="I193" i="2" a="1"/>
  <c r="I194" i="2" a="1"/>
  <c r="I195" i="2" a="1"/>
  <c r="I196" i="2" a="1"/>
  <c r="I197" i="2" a="1"/>
  <c r="I198" i="2" a="1"/>
  <c r="I199" i="2" a="1"/>
  <c r="I200" i="2" a="1"/>
  <c r="I201" i="2" a="1"/>
  <c r="I202" i="2" a="1"/>
  <c r="I203" i="2" a="1"/>
  <c r="D2408" i="4" s="1"/>
  <c r="I204" i="2" a="1"/>
  <c r="I205" i="2" a="1"/>
  <c r="I206" i="2" a="1"/>
  <c r="I207" i="2" a="1"/>
  <c r="I208" i="2" a="1"/>
  <c r="D1850" i="4" s="1"/>
  <c r="I209" i="2" a="1"/>
  <c r="D2195" i="4" s="1"/>
  <c r="I210" i="2" a="1"/>
  <c r="D1770" i="4" s="1"/>
  <c r="I211" i="2" a="1"/>
  <c r="I212" i="2" a="1"/>
  <c r="I213" i="2" a="1"/>
  <c r="D1255" i="4" s="1"/>
  <c r="I214" i="2" a="1"/>
  <c r="D693" i="4" s="1"/>
  <c r="I215" i="2" a="1"/>
  <c r="I216" i="2" a="1"/>
  <c r="I217" i="2" a="1"/>
  <c r="I218" i="2" a="1"/>
  <c r="I219" i="2" a="1"/>
  <c r="I220" i="2" a="1"/>
  <c r="I221" i="2" a="1"/>
  <c r="D1723" i="4" s="1"/>
  <c r="I222" i="2" a="1"/>
  <c r="I223" i="2" a="1"/>
  <c r="D698" i="4" s="1"/>
  <c r="I224" i="2" a="1"/>
  <c r="I225" i="2" a="1"/>
  <c r="I226" i="2" a="1"/>
  <c r="I227" i="2" a="1"/>
  <c r="D1523" i="4" s="1"/>
  <c r="I228" i="2" a="1"/>
  <c r="I229" i="2" a="1"/>
  <c r="I230" i="2" a="1"/>
  <c r="I231" i="2" a="1"/>
  <c r="I232" i="2" a="1"/>
  <c r="I233" i="2" a="1"/>
  <c r="I234" i="2" a="1"/>
  <c r="D2411" i="4" s="1"/>
  <c r="I235" i="2" a="1"/>
  <c r="I236" i="2" a="1"/>
  <c r="I237" i="2" a="1"/>
  <c r="I238" i="2" a="1"/>
  <c r="D1451" i="4" s="1"/>
  <c r="I239" i="2" a="1"/>
  <c r="D2094" i="4" s="1"/>
  <c r="I240" i="2" a="1"/>
  <c r="D331" i="4" s="1"/>
  <c r="I241" i="2" a="1"/>
  <c r="D509" i="4" s="1"/>
  <c r="I242" i="2" a="1"/>
  <c r="I243" i="2" a="1"/>
  <c r="I244" i="2" a="1"/>
  <c r="I245" i="2" a="1"/>
  <c r="I246" i="2" a="1"/>
  <c r="I247" i="2" a="1"/>
  <c r="I248" i="2" a="1"/>
  <c r="I249" i="2" a="1"/>
  <c r="I250" i="2" a="1"/>
  <c r="I251" i="2" a="1"/>
  <c r="I252" i="2" a="1"/>
  <c r="I253" i="2" a="1"/>
  <c r="I254" i="2" a="1"/>
  <c r="I255" i="2" a="1"/>
  <c r="I256" i="2" a="1"/>
  <c r="I257" i="2" a="1"/>
  <c r="D585" i="4" s="1"/>
  <c r="I258" i="2" a="1"/>
  <c r="I259" i="2" a="1"/>
  <c r="I260" i="2" a="1"/>
  <c r="I261" i="2" a="1"/>
  <c r="I262" i="2" a="1"/>
  <c r="I263" i="2" a="1"/>
  <c r="D1879" i="4" s="1"/>
  <c r="I264" i="2" a="1"/>
  <c r="D1701" i="4" s="1"/>
  <c r="I265" i="2" a="1"/>
  <c r="D1644" i="4" s="1"/>
  <c r="I266" i="2" a="1"/>
  <c r="D409" i="4" s="1"/>
  <c r="I267" i="2" a="1"/>
  <c r="D490" i="4" s="1"/>
  <c r="I268" i="2" a="1"/>
  <c r="I269" i="2" a="1"/>
  <c r="I270" i="2" a="1"/>
  <c r="I271" i="2" a="1"/>
  <c r="I272" i="2" a="1"/>
  <c r="D584" i="4" s="1"/>
  <c r="I273" i="2" a="1"/>
  <c r="D2234" i="4" s="1"/>
  <c r="I274" i="2" a="1"/>
  <c r="D2133" i="4" s="1"/>
  <c r="I275" i="2" a="1"/>
  <c r="D959" i="4" s="1"/>
  <c r="I276" i="2" a="1"/>
  <c r="I277" i="2" a="1"/>
  <c r="I278" i="2" a="1"/>
  <c r="I279" i="2" a="1"/>
  <c r="I280" i="2" a="1"/>
  <c r="D855" i="4" s="1"/>
  <c r="I281" i="2" a="1"/>
  <c r="I282" i="2" a="1"/>
  <c r="I283" i="2" a="1"/>
  <c r="I284" i="2" a="1"/>
  <c r="I285" i="2" a="1"/>
  <c r="I286" i="2" a="1"/>
  <c r="I287" i="2" a="1"/>
  <c r="D1534" i="4" s="1"/>
  <c r="I288" i="2" a="1"/>
  <c r="D2148" i="4" s="1"/>
  <c r="I289" i="2" a="1"/>
  <c r="I290" i="2" a="1"/>
  <c r="D924" i="4" s="1"/>
  <c r="I291" i="2" a="1"/>
  <c r="I292" i="2" a="1"/>
  <c r="I293" i="2" a="1"/>
  <c r="I294" i="2" a="1"/>
  <c r="I295" i="2" a="1"/>
  <c r="I296" i="2" a="1"/>
  <c r="I297" i="2" a="1"/>
  <c r="I298" i="2" a="1"/>
  <c r="I299" i="2" a="1"/>
  <c r="I300" i="2" a="1"/>
  <c r="I301" i="2" a="1"/>
  <c r="I302" i="2" a="1"/>
  <c r="I303" i="2" a="1"/>
  <c r="I304" i="2" a="1"/>
  <c r="I305" i="2" a="1"/>
  <c r="I306" i="2" a="1"/>
  <c r="I307" i="2" a="1"/>
  <c r="I308" i="2" a="1"/>
  <c r="I309" i="2" a="1"/>
  <c r="I310" i="2" a="1"/>
  <c r="D1489" i="4" s="1"/>
  <c r="I311" i="2" a="1"/>
  <c r="D2454" i="4" s="1"/>
  <c r="I312" i="2" a="1"/>
  <c r="I313" i="2" a="1"/>
  <c r="I314" i="2" a="1"/>
  <c r="I315" i="2" a="1"/>
  <c r="I316" i="2" a="1"/>
  <c r="I317" i="2" a="1"/>
  <c r="I318" i="2" a="1"/>
  <c r="I319" i="2" a="1"/>
  <c r="I320" i="2" a="1"/>
  <c r="I321" i="2" a="1"/>
  <c r="I322" i="2" a="1"/>
  <c r="I323" i="2" a="1"/>
  <c r="I324" i="2" a="1"/>
  <c r="I325" i="2" a="1"/>
  <c r="I326" i="2" a="1"/>
  <c r="I327" i="2" a="1"/>
  <c r="I328" i="2" a="1"/>
  <c r="I329" i="2" a="1"/>
  <c r="I330" i="2" a="1"/>
  <c r="I331" i="2" a="1"/>
  <c r="I332" i="2" a="1"/>
  <c r="I333" i="2" a="1"/>
  <c r="I334" i="2" a="1"/>
  <c r="D2419" i="4" s="1"/>
  <c r="I335" i="2" a="1"/>
  <c r="I336" i="2" a="1"/>
  <c r="I337" i="2" a="1"/>
  <c r="I338" i="2" a="1"/>
  <c r="I339" i="2" a="1"/>
  <c r="I340" i="2" a="1"/>
  <c r="I341" i="2" a="1"/>
  <c r="D2425" i="4" s="1"/>
  <c r="I342" i="2" a="1"/>
  <c r="I343" i="2" a="1"/>
  <c r="D2156" i="4" s="1"/>
  <c r="I344" i="2" a="1"/>
  <c r="D202" i="4" s="1"/>
  <c r="I345" i="2" a="1"/>
  <c r="I346" i="2" a="1"/>
  <c r="I347" i="2" a="1"/>
  <c r="I348" i="2" a="1"/>
  <c r="I349" i="2" a="1"/>
  <c r="I350" i="2" a="1"/>
  <c r="I351" i="2" a="1"/>
  <c r="I352" i="2" a="1"/>
  <c r="I353" i="2" a="1"/>
  <c r="D1267" i="4" s="1"/>
  <c r="I354" i="2" a="1"/>
  <c r="I355" i="2" a="1"/>
  <c r="I356" i="2" a="1"/>
  <c r="I357" i="2" a="1"/>
  <c r="I358" i="2" a="1"/>
  <c r="I359" i="2" a="1"/>
  <c r="I360" i="2" a="1"/>
  <c r="D1560" i="4" s="1"/>
  <c r="I361" i="2" a="1"/>
  <c r="D2386" i="4" s="1"/>
  <c r="I362" i="2" a="1"/>
  <c r="I363" i="2" a="1"/>
  <c r="I364" i="2" a="1"/>
  <c r="I365" i="2" a="1"/>
  <c r="I366" i="2" a="1"/>
  <c r="I367" i="2" a="1"/>
  <c r="I368" i="2" a="1"/>
  <c r="I369" i="2" a="1"/>
  <c r="I370" i="2" a="1"/>
  <c r="I371" i="2" a="1"/>
  <c r="I372" i="2" a="1"/>
  <c r="I373" i="2" a="1"/>
  <c r="I374" i="2" a="1"/>
  <c r="I375" i="2" a="1"/>
  <c r="I376" i="2" a="1"/>
  <c r="I377" i="2" a="1"/>
  <c r="I378" i="2" a="1"/>
  <c r="I379" i="2" a="1"/>
  <c r="D475" i="4" s="1"/>
  <c r="I380" i="2" a="1"/>
  <c r="I381" i="2" a="1"/>
  <c r="I382" i="2" a="1"/>
  <c r="I383" i="2" a="1"/>
  <c r="I384" i="2" a="1"/>
  <c r="I385" i="2" a="1"/>
  <c r="I386" i="2" a="1"/>
  <c r="I387" i="2" a="1"/>
  <c r="I388" i="2" a="1"/>
  <c r="I389" i="2" a="1"/>
  <c r="I390" i="2" a="1"/>
  <c r="I391" i="2" a="1"/>
  <c r="I392" i="2" a="1"/>
  <c r="I393" i="2" a="1"/>
  <c r="I394" i="2" a="1"/>
  <c r="D1258" i="4" s="1"/>
  <c r="I395" i="2" a="1"/>
  <c r="D1300" i="4" s="1"/>
  <c r="I396" i="2" a="1"/>
  <c r="I397" i="2" a="1"/>
  <c r="I398" i="2" a="1"/>
  <c r="I399" i="2" a="1"/>
  <c r="I400" i="2" a="1"/>
  <c r="I401" i="2" a="1"/>
  <c r="I402" i="2" a="1"/>
  <c r="I403" i="2" a="1"/>
  <c r="D112" i="4" s="1"/>
  <c r="I404" i="2" a="1"/>
  <c r="I405" i="2" a="1"/>
  <c r="I406" i="2" a="1"/>
  <c r="I407" i="2" a="1"/>
  <c r="I408" i="2" a="1"/>
  <c r="I409" i="2" a="1"/>
  <c r="I410" i="2" a="1"/>
  <c r="D729" i="4" s="1"/>
  <c r="I411" i="2" a="1"/>
  <c r="D1637" i="4" s="1"/>
  <c r="I412" i="2" a="1"/>
  <c r="I413" i="2" a="1"/>
  <c r="I414" i="2" a="1"/>
  <c r="I415" i="2" a="1"/>
  <c r="D805" i="4" s="1"/>
  <c r="I416" i="2" a="1"/>
  <c r="D1468" i="4" s="1"/>
  <c r="I417" i="2" a="1"/>
  <c r="D1155" i="4" s="1"/>
  <c r="I418" i="2" a="1"/>
  <c r="I419" i="2" a="1"/>
  <c r="D1152" i="4" s="1"/>
  <c r="I420" i="2" a="1"/>
  <c r="D1719" i="4" s="1"/>
  <c r="I421" i="2" a="1"/>
  <c r="I422" i="2" a="1"/>
  <c r="I423" i="2" a="1"/>
  <c r="I424" i="2" a="1"/>
  <c r="I425" i="2" a="1"/>
  <c r="I426" i="2" a="1"/>
  <c r="I427" i="2" a="1"/>
  <c r="I428" i="2" a="1"/>
  <c r="D2150" i="4" s="1"/>
  <c r="I429" i="2" a="1"/>
  <c r="D2258" i="4" s="1"/>
  <c r="I430" i="2" a="1"/>
  <c r="D1027" i="4" s="1"/>
  <c r="I431" i="2" a="1"/>
  <c r="D2357" i="4" s="1"/>
  <c r="I432" i="2" a="1"/>
  <c r="I433" i="2" a="1"/>
  <c r="I434" i="2" a="1"/>
  <c r="I435" i="2" a="1"/>
  <c r="I436" i="2" a="1"/>
  <c r="I437" i="2" a="1"/>
  <c r="I438" i="2" a="1"/>
  <c r="I439" i="2" a="1"/>
  <c r="I440" i="2" a="1"/>
  <c r="I441" i="2" a="1"/>
  <c r="I442" i="2" a="1"/>
  <c r="I443" i="2" a="1"/>
  <c r="I444" i="2" a="1"/>
  <c r="I445" i="2" a="1"/>
  <c r="I446" i="2" a="1"/>
  <c r="D171" i="4" s="1"/>
  <c r="I447" i="2" a="1"/>
  <c r="D1169" i="4" s="1"/>
  <c r="I448" i="2" a="1"/>
  <c r="D2105" i="4" s="1"/>
  <c r="I449" i="2" a="1"/>
  <c r="I450" i="2" a="1"/>
  <c r="I451" i="2" a="1"/>
  <c r="I452" i="2" a="1"/>
  <c r="D1634" i="4" s="1"/>
  <c r="I453" i="2" a="1"/>
  <c r="D2142" i="4" s="1"/>
  <c r="I454" i="2" a="1"/>
  <c r="D1841" i="4" s="1"/>
  <c r="I455" i="2" a="1"/>
  <c r="D451" i="4" s="1"/>
  <c r="I456" i="2" a="1"/>
  <c r="I457" i="2" a="1"/>
  <c r="I458" i="2" a="1"/>
  <c r="I459" i="2" a="1"/>
  <c r="I460" i="2" a="1"/>
  <c r="I461" i="2" a="1"/>
  <c r="I462" i="2" a="1"/>
  <c r="I463" i="2" a="1"/>
  <c r="I464" i="2" a="1"/>
  <c r="I465" i="2" a="1"/>
  <c r="I466" i="2" a="1"/>
  <c r="I467" i="2" a="1"/>
  <c r="I468" i="2" a="1"/>
  <c r="I469" i="2" a="1"/>
  <c r="I470" i="2" a="1"/>
  <c r="I471" i="2" a="1"/>
  <c r="I472" i="2" a="1"/>
  <c r="D1758" i="4" s="1"/>
  <c r="I473" i="2" a="1"/>
  <c r="I474" i="2" a="1"/>
  <c r="I475" i="2" a="1"/>
  <c r="I476" i="2" a="1"/>
  <c r="D2464" i="4" s="1"/>
  <c r="I477" i="2" a="1"/>
  <c r="I478" i="2" a="1"/>
  <c r="I479" i="2" a="1"/>
  <c r="I480" i="2" a="1"/>
  <c r="D2457" i="4" s="1"/>
  <c r="I481" i="2" a="1"/>
  <c r="D891" i="4" s="1"/>
  <c r="I482" i="2" a="1"/>
  <c r="D1818" i="4" s="1"/>
  <c r="I483" i="2" a="1"/>
  <c r="I484" i="2" a="1"/>
  <c r="I485" i="2" a="1"/>
  <c r="I486" i="2" a="1"/>
  <c r="I487" i="2" a="1"/>
  <c r="I488" i="2" a="1"/>
  <c r="I489" i="2" a="1"/>
  <c r="I490" i="2" a="1"/>
  <c r="I491" i="2" a="1"/>
  <c r="I492" i="2" a="1"/>
  <c r="I493" i="2" a="1"/>
  <c r="I494" i="2" a="1"/>
  <c r="I495" i="2" a="1"/>
  <c r="I496" i="2" a="1"/>
  <c r="D1546" i="4" s="1"/>
  <c r="I497" i="2" a="1"/>
  <c r="D2192" i="4" s="1"/>
  <c r="I498" i="2" a="1"/>
  <c r="D251" i="4" s="1"/>
  <c r="I499" i="2" a="1"/>
  <c r="D1008" i="4" s="1"/>
  <c r="I500" i="2" a="1"/>
  <c r="I501" i="2" a="1"/>
  <c r="I502" i="2" a="1"/>
  <c r="I503" i="2" a="1"/>
  <c r="I504" i="2" a="1"/>
  <c r="I505" i="2" a="1"/>
  <c r="I506" i="2" a="1"/>
  <c r="I507" i="2" a="1"/>
  <c r="I508" i="2" a="1"/>
  <c r="D1847" i="4" s="1"/>
  <c r="I509" i="2" a="1"/>
  <c r="I510" i="2" a="1"/>
  <c r="I511" i="2" a="1"/>
  <c r="I512" i="2" a="1"/>
  <c r="I513" i="2" a="1"/>
  <c r="I514" i="2" a="1"/>
  <c r="I515" i="2" a="1"/>
  <c r="D1786" i="4" s="1"/>
  <c r="I516" i="2" a="1"/>
  <c r="D507" i="4" s="1"/>
  <c r="I517" i="2" a="1"/>
  <c r="I518" i="2" a="1"/>
  <c r="I519" i="2" a="1"/>
  <c r="I520" i="2" a="1"/>
  <c r="I521" i="2" a="1"/>
  <c r="D2260" i="4" s="1"/>
  <c r="I522" i="2" a="1"/>
  <c r="I523" i="2" a="1"/>
  <c r="I524" i="2" a="1"/>
  <c r="I525" i="2" a="1"/>
  <c r="I526" i="2" a="1"/>
  <c r="D28" i="4" s="1"/>
  <c r="I527" i="2" a="1"/>
  <c r="D1153" i="4" s="1"/>
  <c r="I528" i="2" a="1"/>
  <c r="D1374" i="4" s="1"/>
  <c r="I529" i="2" a="1"/>
  <c r="I530" i="2" a="1"/>
  <c r="I531" i="2" a="1"/>
  <c r="I532" i="2" a="1"/>
  <c r="D133" i="4" s="1"/>
  <c r="I533" i="2" a="1"/>
  <c r="I534" i="2" a="1"/>
  <c r="I535" i="2" a="1"/>
  <c r="I536" i="2" a="1"/>
  <c r="I537" i="2" a="1"/>
  <c r="I538" i="2" a="1"/>
  <c r="I539" i="2" a="1"/>
  <c r="I540" i="2" a="1"/>
  <c r="I541" i="2" a="1"/>
  <c r="I542" i="2" a="1"/>
  <c r="I543" i="2" a="1"/>
  <c r="I544" i="2" a="1"/>
  <c r="I545" i="2" a="1"/>
  <c r="D1426" i="4" s="1"/>
  <c r="I546" i="2" a="1"/>
  <c r="I547" i="2" a="1"/>
  <c r="I548" i="2" a="1"/>
  <c r="D1417" i="4" s="1"/>
  <c r="I549" i="2" a="1"/>
  <c r="D493" i="4" s="1"/>
  <c r="I550" i="2" a="1"/>
  <c r="D1802" i="4" s="1"/>
  <c r="I551" i="2" a="1"/>
  <c r="D1353" i="4" s="1"/>
  <c r="I552" i="2" a="1"/>
  <c r="D1320" i="4" s="1"/>
  <c r="I553" i="2" a="1"/>
  <c r="I554" i="2" a="1"/>
  <c r="D677" i="4" s="1"/>
  <c r="I555" i="2" a="1"/>
  <c r="D845" i="4" s="1"/>
  <c r="I556" i="2" a="1"/>
  <c r="I557" i="2" a="1"/>
  <c r="D105" i="4" s="1"/>
  <c r="I558" i="2" a="1"/>
  <c r="I559" i="2" a="1"/>
  <c r="I560" i="2" a="1"/>
  <c r="I561" i="2" a="1"/>
  <c r="I562" i="2" a="1"/>
  <c r="D2319" i="4" s="1"/>
  <c r="I563" i="2" a="1"/>
  <c r="D1217" i="4" s="1"/>
  <c r="I564" i="2" a="1"/>
  <c r="I565" i="2" a="1"/>
  <c r="I566" i="2" a="1"/>
  <c r="I567" i="2" a="1"/>
  <c r="D918" i="4" s="1"/>
  <c r="I568" i="2" a="1"/>
  <c r="D2451" i="4" s="1"/>
  <c r="I569" i="2" a="1"/>
  <c r="D200" i="4" s="1"/>
  <c r="I570" i="2" a="1"/>
  <c r="I571" i="2" a="1"/>
  <c r="D1351" i="4" s="1"/>
  <c r="I572" i="2" a="1"/>
  <c r="I573" i="2" a="1"/>
  <c r="I574" i="2" a="1"/>
  <c r="I575" i="2" a="1"/>
  <c r="I576" i="2" a="1"/>
  <c r="I577" i="2" a="1"/>
  <c r="I578" i="2" a="1"/>
  <c r="I579" i="2" a="1"/>
  <c r="I580" i="2" a="1"/>
  <c r="I581" i="2" a="1"/>
  <c r="I582" i="2" a="1"/>
  <c r="I583" i="2" a="1"/>
  <c r="I584" i="2" a="1"/>
  <c r="I585" i="2" a="1"/>
  <c r="I586" i="2" a="1"/>
  <c r="D1415" i="4" s="1"/>
  <c r="I587" i="2" a="1"/>
  <c r="D801" i="4" s="1"/>
  <c r="I588" i="2" a="1"/>
  <c r="D2365" i="4" s="1"/>
  <c r="I589" i="2" a="1"/>
  <c r="D140" i="4" s="1"/>
  <c r="I590" i="2" a="1"/>
  <c r="D2276" i="4" s="1"/>
  <c r="I591" i="2" a="1"/>
  <c r="D1729" i="4" s="1"/>
  <c r="I592" i="2" a="1"/>
  <c r="D1187" i="4" s="1"/>
  <c r="I593" i="2" a="1"/>
  <c r="D580" i="4" s="1"/>
  <c r="I594" i="2" a="1"/>
  <c r="D125" i="4" s="1"/>
  <c r="I595" i="2" a="1"/>
  <c r="I596" i="2" a="1"/>
  <c r="I597" i="2" a="1"/>
  <c r="I598" i="2" a="1"/>
  <c r="I599" i="2" a="1"/>
  <c r="I600" i="2" a="1"/>
  <c r="I601" i="2" a="1"/>
  <c r="D1740" i="4" s="1"/>
  <c r="I602" i="2" a="1"/>
  <c r="D2487" i="4" s="1"/>
  <c r="I603" i="2" a="1"/>
  <c r="I604" i="2" a="1"/>
  <c r="I605" i="2" a="1"/>
  <c r="I606" i="2" a="1"/>
  <c r="D102" i="4" s="1"/>
  <c r="I607" i="2" a="1"/>
  <c r="D1702" i="4" s="1"/>
  <c r="I608" i="2" a="1"/>
  <c r="I609" i="2" a="1"/>
  <c r="D2371" i="4" s="1"/>
  <c r="I610" i="2" a="1"/>
  <c r="D121" i="4" s="1"/>
  <c r="I611" i="2" a="1"/>
  <c r="I612" i="2" a="1"/>
  <c r="I613" i="2" a="1"/>
  <c r="I614" i="2" a="1"/>
  <c r="I615" i="2" a="1"/>
  <c r="I616" i="2" a="1"/>
  <c r="I617" i="2" a="1"/>
  <c r="I618" i="2" a="1"/>
  <c r="I619" i="2" a="1"/>
  <c r="I620" i="2" a="1"/>
  <c r="I621" i="2" a="1"/>
  <c r="I622" i="2" a="1"/>
  <c r="I623" i="2" a="1"/>
  <c r="I624" i="2" a="1"/>
  <c r="D878" i="4" s="1"/>
  <c r="I625" i="2" a="1"/>
  <c r="I626" i="2" a="1"/>
  <c r="I627" i="2" a="1"/>
  <c r="I628" i="2" a="1"/>
  <c r="I629" i="2" a="1"/>
  <c r="I630" i="2" a="1"/>
  <c r="I631" i="2" a="1"/>
  <c r="D1943" i="4" s="1"/>
  <c r="I632" i="2" a="1"/>
  <c r="D238" i="4" s="1"/>
  <c r="I633" i="2" a="1"/>
  <c r="D470" i="4" s="1"/>
  <c r="I634" i="2" a="1"/>
  <c r="I635" i="2" a="1"/>
  <c r="D1010" i="4" s="1"/>
  <c r="I636" i="2" a="1"/>
  <c r="I637" i="2" a="1"/>
  <c r="I638" i="2" a="1"/>
  <c r="I639" i="2" a="1"/>
  <c r="I640" i="2" a="1"/>
  <c r="I641" i="2" a="1"/>
  <c r="I642" i="2" a="1"/>
  <c r="I643" i="2" a="1"/>
  <c r="I644" i="2" a="1"/>
  <c r="I645" i="2" a="1"/>
  <c r="I646" i="2" a="1"/>
  <c r="I647" i="2" a="1"/>
  <c r="I648" i="2" a="1"/>
  <c r="D1742" i="4" s="1"/>
  <c r="I649" i="2" a="1"/>
  <c r="I650" i="2" a="1"/>
  <c r="I651" i="2" a="1"/>
  <c r="I652" i="2" a="1"/>
  <c r="I653" i="2" a="1"/>
  <c r="I654" i="2" a="1"/>
  <c r="I655" i="2" a="1"/>
  <c r="D1837" i="4" s="1"/>
  <c r="I656" i="2" a="1"/>
  <c r="I657" i="2" a="1"/>
  <c r="I658" i="2" a="1"/>
  <c r="I659" i="2" a="1"/>
  <c r="I660" i="2" a="1"/>
  <c r="I661" i="2" a="1"/>
  <c r="I662" i="2" a="1"/>
  <c r="I663" i="2" a="1"/>
  <c r="I664" i="2" a="1"/>
  <c r="D1156" i="4" s="1"/>
  <c r="I665" i="2" a="1"/>
  <c r="D1768" i="4" s="1"/>
  <c r="I666" i="2" a="1"/>
  <c r="I667" i="2" a="1"/>
  <c r="I668" i="2" a="1"/>
  <c r="I669" i="2" a="1"/>
  <c r="D2416" i="4" s="1"/>
  <c r="I670" i="2" a="1"/>
  <c r="I671" i="2" a="1"/>
  <c r="I672" i="2" a="1"/>
  <c r="D850" i="4" s="1"/>
  <c r="I673" i="2" a="1"/>
  <c r="D1559" i="4" s="1"/>
  <c r="I674" i="2" a="1"/>
  <c r="D2231" i="4" s="1"/>
  <c r="I675" i="2" a="1"/>
  <c r="D1232" i="4" s="1"/>
  <c r="I676" i="2" a="1"/>
  <c r="D2029" i="4" s="1"/>
  <c r="I677" i="2" a="1"/>
  <c r="I678" i="2" a="1"/>
  <c r="I679" i="2" a="1"/>
  <c r="I680" i="2" a="1"/>
  <c r="I681" i="2" a="1"/>
  <c r="I682" i="2" a="1"/>
  <c r="I683" i="2" a="1"/>
  <c r="D1543" i="4" s="1"/>
  <c r="I684" i="2" a="1"/>
  <c r="I685" i="2" a="1"/>
  <c r="I686" i="2" a="1"/>
  <c r="D1971" i="4" s="1"/>
  <c r="G1971" i="4" s="1"/>
  <c r="I687" i="2" a="1"/>
  <c r="D2493" i="4" s="1"/>
  <c r="I688" i="2" a="1"/>
  <c r="I689" i="2" a="1"/>
  <c r="I690" i="2" a="1"/>
  <c r="I691" i="2" a="1"/>
  <c r="D1957" i="4" s="1"/>
  <c r="I692" i="2" a="1"/>
  <c r="D2121" i="4" s="1"/>
  <c r="I693" i="2" a="1"/>
  <c r="I694" i="2" a="1"/>
  <c r="I695" i="2" a="1"/>
  <c r="I696" i="2" a="1"/>
  <c r="D1585" i="4" s="1"/>
  <c r="I697" i="2" a="1"/>
  <c r="D1955" i="4" s="1"/>
  <c r="I698" i="2" a="1"/>
  <c r="I699" i="2" a="1"/>
  <c r="I700" i="2" a="1"/>
  <c r="I701" i="2" a="1"/>
  <c r="D2026" i="4" s="1"/>
  <c r="I702" i="2" a="1"/>
  <c r="I703" i="2" a="1"/>
  <c r="I704" i="2" a="1"/>
  <c r="I705" i="2" a="1"/>
  <c r="I706" i="2" a="1"/>
  <c r="I707" i="2" a="1"/>
  <c r="I708" i="2" a="1"/>
  <c r="I709" i="2" a="1"/>
  <c r="I710" i="2" a="1"/>
  <c r="I711" i="2" a="1"/>
  <c r="I712" i="2" a="1"/>
  <c r="D1951" i="4" s="1"/>
  <c r="I713" i="2" a="1"/>
  <c r="D447" i="4" s="1"/>
  <c r="I714" i="2" a="1"/>
  <c r="I715" i="2" a="1"/>
  <c r="I716" i="2" a="1"/>
  <c r="I717" i="2" a="1"/>
  <c r="I718" i="2" a="1"/>
  <c r="I719" i="2" a="1"/>
  <c r="D939" i="4" s="1"/>
  <c r="I720" i="2" a="1"/>
  <c r="D1554" i="4" s="1"/>
  <c r="I721" i="2" a="1"/>
  <c r="D2500" i="4" s="1"/>
  <c r="I722" i="2" a="1"/>
  <c r="I723" i="2" a="1"/>
  <c r="I724" i="2" a="1"/>
  <c r="I725" i="2" a="1"/>
  <c r="I726" i="2" a="1"/>
  <c r="I727" i="2" a="1"/>
  <c r="D329" i="4" s="1"/>
  <c r="I728" i="2" a="1"/>
  <c r="I729" i="2" a="1"/>
  <c r="I730" i="2" a="1"/>
  <c r="I731" i="2" a="1"/>
  <c r="I732" i="2" a="1"/>
  <c r="I733" i="2" a="1"/>
  <c r="I734" i="2" a="1"/>
  <c r="I735" i="2" a="1"/>
  <c r="I736" i="2" a="1"/>
  <c r="D2443" i="4" s="1"/>
  <c r="I737" i="2" a="1"/>
  <c r="I738" i="2" a="1"/>
  <c r="I739" i="2" a="1"/>
  <c r="I740" i="2" a="1"/>
  <c r="I741" i="2" a="1"/>
  <c r="I742" i="2" a="1"/>
  <c r="I743" i="2" a="1"/>
  <c r="I744" i="2" a="1"/>
  <c r="I745" i="2" a="1"/>
  <c r="I746" i="2" a="1"/>
  <c r="I747" i="2" a="1"/>
  <c r="D742" i="4" s="1"/>
  <c r="I748" i="2" a="1"/>
  <c r="D1852" i="4" s="1"/>
  <c r="I749" i="2" a="1"/>
  <c r="D1853" i="4" s="1"/>
  <c r="I750" i="2" a="1"/>
  <c r="I751" i="2" a="1"/>
  <c r="I752" i="2" a="1"/>
  <c r="I753" i="2" a="1"/>
  <c r="I754" i="2" a="1"/>
  <c r="I755" i="2" a="1"/>
  <c r="I756" i="2" a="1"/>
  <c r="I757" i="2" a="1"/>
  <c r="I758" i="2" a="1"/>
  <c r="I759" i="2" a="1"/>
  <c r="I760" i="2" a="1"/>
  <c r="I761" i="2" a="1"/>
  <c r="D245" i="4" s="1"/>
  <c r="I762" i="2" a="1"/>
  <c r="D2059" i="4" s="1"/>
  <c r="I763" i="2" a="1"/>
  <c r="D471" i="4" s="1"/>
  <c r="I764" i="2" a="1"/>
  <c r="I765" i="2" a="1"/>
  <c r="I766" i="2" a="1"/>
  <c r="I767" i="2" a="1"/>
  <c r="I768" i="2" a="1"/>
  <c r="I769" i="2" a="1"/>
  <c r="I770" i="2" a="1"/>
  <c r="I771" i="2" a="1"/>
  <c r="D1190" i="4" s="1"/>
  <c r="I772" i="2" a="1"/>
  <c r="I773" i="2" a="1"/>
  <c r="I774" i="2" a="1"/>
  <c r="I775" i="2" a="1"/>
  <c r="I776" i="2" a="1"/>
  <c r="I777" i="2" a="1"/>
  <c r="I778" i="2" a="1"/>
  <c r="I779" i="2" a="1"/>
  <c r="I780" i="2" a="1"/>
  <c r="I781" i="2" a="1"/>
  <c r="I782" i="2" a="1"/>
  <c r="I783" i="2" a="1"/>
  <c r="I784" i="2" a="1"/>
  <c r="I785" i="2" a="1"/>
  <c r="I786" i="2" a="1"/>
  <c r="I787" i="2" a="1"/>
  <c r="I788" i="2" a="1"/>
  <c r="I789" i="2" a="1"/>
  <c r="D1434" i="4" s="1"/>
  <c r="I790" i="2" a="1"/>
  <c r="I791" i="2" a="1"/>
  <c r="I792" i="2" a="1"/>
  <c r="I793" i="2" a="1"/>
  <c r="I794" i="2" a="1"/>
  <c r="D980" i="4" s="1"/>
  <c r="I795" i="2" a="1"/>
  <c r="D743" i="4" s="1"/>
  <c r="I796" i="2" a="1"/>
  <c r="D196" i="4" s="1"/>
  <c r="I797" i="2" a="1"/>
  <c r="D1810" i="4" s="1"/>
  <c r="I798" i="2" a="1"/>
  <c r="D277" i="4" s="1"/>
  <c r="I799" i="2" a="1"/>
  <c r="D2232" i="4" s="1"/>
  <c r="I800" i="2" a="1"/>
  <c r="I801" i="2" a="1"/>
  <c r="I802" i="2" a="1"/>
  <c r="I803" i="2" a="1"/>
  <c r="D1633" i="4" s="1"/>
  <c r="I804" i="2" a="1"/>
  <c r="D2569" i="4" s="1"/>
  <c r="I805" i="2" a="1"/>
  <c r="I806" i="2" a="1"/>
  <c r="I807" i="2" a="1"/>
  <c r="I808" i="2" a="1"/>
  <c r="I809" i="2" a="1"/>
  <c r="I810" i="2" a="1"/>
  <c r="D1358" i="4" s="1"/>
  <c r="I811" i="2" a="1"/>
  <c r="D175" i="4" s="1"/>
  <c r="I812" i="2" a="1"/>
  <c r="D2002" i="4" s="1"/>
  <c r="I813" i="2" a="1"/>
  <c r="D2278" i="4" s="1"/>
  <c r="I814" i="2" a="1"/>
  <c r="I815" i="2" a="1"/>
  <c r="I816" i="2" a="1"/>
  <c r="I817" i="2" a="1"/>
  <c r="D335" i="4" s="1"/>
  <c r="I818" i="2" a="1"/>
  <c r="I819" i="2" a="1"/>
  <c r="I820" i="2" a="1"/>
  <c r="I821" i="2" a="1"/>
  <c r="D1961" i="4" s="1"/>
  <c r="I822" i="2" a="1"/>
  <c r="I823" i="2" a="1"/>
  <c r="I824" i="2" a="1"/>
  <c r="I825" i="2" a="1"/>
  <c r="I826" i="2" a="1"/>
  <c r="I827" i="2" a="1"/>
  <c r="I828" i="2" a="1"/>
  <c r="I829" i="2" a="1"/>
  <c r="I830" i="2" a="1"/>
  <c r="I831" i="2" a="1"/>
  <c r="I832" i="2" a="1"/>
  <c r="I833" i="2" a="1"/>
  <c r="I834" i="2" a="1"/>
  <c r="I835" i="2" a="1"/>
  <c r="I836" i="2" a="1"/>
  <c r="D2428" i="4" s="1"/>
  <c r="I837" i="2" a="1"/>
  <c r="I838" i="2" a="1"/>
  <c r="I839" i="2" a="1"/>
  <c r="I840" i="2" a="1"/>
  <c r="D2008" i="4" s="1"/>
  <c r="I841" i="2" a="1"/>
  <c r="I842" i="2" a="1"/>
  <c r="I843" i="2" a="1"/>
  <c r="I844" i="2" a="1"/>
  <c r="D2511" i="4" s="1"/>
  <c r="I845" i="2" a="1"/>
  <c r="I846" i="2" a="1"/>
  <c r="I847" i="2" a="1"/>
  <c r="D2014" i="4" s="1"/>
  <c r="I848" i="2" a="1"/>
  <c r="I849" i="2" a="1"/>
  <c r="I850" i="2" a="1"/>
  <c r="I851" i="2" a="1"/>
  <c r="I852" i="2" a="1"/>
  <c r="I853" i="2" a="1"/>
  <c r="D619" i="4" s="1"/>
  <c r="I854" i="2" a="1"/>
  <c r="I855" i="2" a="1"/>
  <c r="I856" i="2" a="1"/>
  <c r="I857" i="2" a="1"/>
  <c r="I858" i="2" a="1"/>
  <c r="I859" i="2" a="1"/>
  <c r="I860" i="2" a="1"/>
  <c r="I861" i="2" a="1"/>
  <c r="D1749" i="4" s="1"/>
  <c r="I862" i="2" a="1"/>
  <c r="I863" i="2" a="1"/>
  <c r="I864" i="2" a="1"/>
  <c r="I865" i="2" a="1"/>
  <c r="I866" i="2" a="1"/>
  <c r="I867" i="2" a="1"/>
  <c r="I868" i="2" a="1"/>
  <c r="I869" i="2" a="1"/>
  <c r="I870" i="2" a="1"/>
  <c r="I871" i="2" a="1"/>
  <c r="I872" i="2" a="1"/>
  <c r="I873" i="2" a="1"/>
  <c r="I874" i="2" a="1"/>
  <c r="I875" i="2" a="1"/>
  <c r="I876" i="2" a="1"/>
  <c r="I877" i="2" a="1"/>
  <c r="I878" i="2" a="1"/>
  <c r="I879" i="2" a="1"/>
  <c r="I880" i="2" a="1"/>
  <c r="I881" i="2" a="1"/>
  <c r="D1347" i="4" s="1"/>
  <c r="I882" i="2" a="1"/>
  <c r="I883" i="2" a="1"/>
  <c r="I884" i="2" a="1"/>
  <c r="I885" i="2" a="1"/>
  <c r="I886" i="2" a="1"/>
  <c r="I887" i="2" a="1"/>
  <c r="I888" i="2" a="1"/>
  <c r="D2074" i="4" s="1"/>
  <c r="I889" i="2" a="1"/>
  <c r="I890" i="2" a="1"/>
  <c r="I891" i="2" a="1"/>
  <c r="I892" i="2" a="1"/>
  <c r="D1731" i="4" s="1"/>
  <c r="I893" i="2" a="1"/>
  <c r="I894" i="2" a="1"/>
  <c r="I895" i="2" a="1"/>
  <c r="I896" i="2" a="1"/>
  <c r="I897" i="2" a="1"/>
  <c r="D1073" i="4" s="1"/>
  <c r="I898" i="2" a="1"/>
  <c r="D1732" i="4" s="1"/>
  <c r="I899" i="2" a="1"/>
  <c r="I900" i="2" a="1"/>
  <c r="D2082" i="4" s="1"/>
  <c r="I901" i="2" a="1"/>
  <c r="I902" i="2" a="1"/>
  <c r="D2529" i="4" s="1"/>
  <c r="I903" i="2" a="1"/>
  <c r="I904" i="2" a="1"/>
  <c r="D1389" i="4" s="1"/>
  <c r="I905" i="2" a="1"/>
  <c r="D963" i="4" s="1"/>
  <c r="I906" i="2" a="1"/>
  <c r="I907" i="2" a="1"/>
  <c r="I908" i="2" a="1"/>
  <c r="I909" i="2" a="1"/>
  <c r="I910" i="2" a="1"/>
  <c r="D787" i="4" s="1"/>
  <c r="I911" i="2" a="1"/>
  <c r="I912" i="2" a="1"/>
  <c r="I913" i="2" a="1"/>
  <c r="I914" i="2" a="1"/>
  <c r="I915" i="2" a="1"/>
  <c r="I916" i="2" a="1"/>
  <c r="I917" i="2" a="1"/>
  <c r="I918" i="2" a="1"/>
  <c r="I919" i="2" a="1"/>
  <c r="I920" i="2" a="1"/>
  <c r="I921" i="2" a="1"/>
  <c r="D2313" i="4" s="1"/>
  <c r="I922" i="2" a="1"/>
  <c r="I923" i="2" a="1"/>
  <c r="I924" i="2" a="1"/>
  <c r="I925" i="2" a="1"/>
  <c r="I926" i="2" a="1"/>
  <c r="I927" i="2" a="1"/>
  <c r="I928" i="2" a="1"/>
  <c r="I929" i="2" a="1"/>
  <c r="I930" i="2" a="1"/>
  <c r="D2280" i="4" s="1"/>
  <c r="I931" i="2" a="1"/>
  <c r="I932" i="2" a="1"/>
  <c r="I933" i="2" a="1"/>
  <c r="I934" i="2" a="1"/>
  <c r="I935" i="2" a="1"/>
  <c r="I936" i="2" a="1"/>
  <c r="D726" i="4" s="1"/>
  <c r="I937" i="2" a="1"/>
  <c r="D225" i="4" s="1"/>
  <c r="I938" i="2" a="1"/>
  <c r="I939" i="2" a="1"/>
  <c r="I940" i="2" a="1"/>
  <c r="I941" i="2" a="1"/>
  <c r="I942" i="2" a="1"/>
  <c r="D2578" i="4" s="1"/>
  <c r="I943" i="2" a="1"/>
  <c r="I944" i="2" a="1"/>
  <c r="I945" i="2" a="1"/>
  <c r="I946" i="2" a="1"/>
  <c r="I947" i="2" a="1"/>
  <c r="I948" i="2" a="1"/>
  <c r="I949" i="2" a="1"/>
  <c r="I950" i="2" a="1"/>
  <c r="D1920" i="4" s="1"/>
  <c r="I951" i="2" a="1"/>
  <c r="I952" i="2" a="1"/>
  <c r="I953" i="2" a="1"/>
  <c r="I954" i="2" a="1"/>
  <c r="D1538" i="4" s="1"/>
  <c r="I955" i="2" a="1"/>
  <c r="I956" i="2" a="1"/>
  <c r="I957" i="2" a="1"/>
  <c r="I958" i="2" a="1"/>
  <c r="I959" i="2" a="1"/>
  <c r="I960" i="2" a="1"/>
  <c r="I961" i="2" a="1"/>
  <c r="I962" i="2" a="1"/>
  <c r="I963" i="2" a="1"/>
  <c r="I964" i="2" a="1"/>
  <c r="I965" i="2" a="1"/>
  <c r="I966" i="2" a="1"/>
  <c r="I967" i="2" a="1"/>
  <c r="I968" i="2" a="1"/>
  <c r="I969" i="2" a="1"/>
  <c r="I970" i="2" a="1"/>
  <c r="I971" i="2" a="1"/>
  <c r="I972" i="2" a="1"/>
  <c r="D371" i="4" s="1"/>
  <c r="I973" i="2" a="1"/>
  <c r="I974" i="2" a="1"/>
  <c r="D1295" i="4" s="1"/>
  <c r="I975" i="2" a="1"/>
  <c r="D1406" i="4" s="1"/>
  <c r="I976" i="2" a="1"/>
  <c r="I977" i="2" a="1"/>
  <c r="I978" i="2" a="1"/>
  <c r="I979" i="2" a="1"/>
  <c r="I980" i="2" a="1"/>
  <c r="I981" i="2" a="1"/>
  <c r="I982" i="2" a="1"/>
  <c r="D1250" i="4" s="1"/>
  <c r="I983" i="2" a="1"/>
  <c r="D844" i="4" s="1"/>
  <c r="I984" i="2" a="1"/>
  <c r="I985" i="2" a="1"/>
  <c r="D1195" i="4" s="1"/>
  <c r="I986" i="2" a="1"/>
  <c r="D2149" i="4" s="1"/>
  <c r="I987" i="2" a="1"/>
  <c r="I988" i="2" a="1"/>
  <c r="I989" i="2" a="1"/>
  <c r="I990" i="2" a="1"/>
  <c r="I991" i="2" a="1"/>
  <c r="I992" i="2" a="1"/>
  <c r="I993" i="2" a="1"/>
  <c r="I994" i="2" a="1"/>
  <c r="I995" i="2" a="1"/>
  <c r="I996" i="2" a="1"/>
  <c r="I997" i="2" a="1"/>
  <c r="I998" i="2" a="1"/>
  <c r="I999" i="2" a="1"/>
  <c r="I1000" i="2" a="1"/>
  <c r="I1001" i="2" a="1"/>
  <c r="I1002" i="2" a="1"/>
  <c r="I1003" i="2" a="1"/>
  <c r="I1004" i="2" a="1"/>
  <c r="I1005" i="2" a="1"/>
  <c r="I1006" i="2" a="1"/>
  <c r="D2568" i="4" s="1"/>
  <c r="I1007" i="2" a="1"/>
  <c r="D2088" i="4" s="1"/>
  <c r="I1008" i="2" a="1"/>
  <c r="D2287" i="4" s="1"/>
  <c r="I1009" i="2" a="1"/>
  <c r="D1966" i="4" s="1"/>
  <c r="I1010" i="2" a="1"/>
  <c r="I1011" i="2" a="1"/>
  <c r="I1012" i="2" a="1"/>
  <c r="I1013" i="2" a="1"/>
  <c r="I1014" i="2" a="1"/>
  <c r="I1015" i="2" a="1"/>
  <c r="I1016" i="2" a="1"/>
  <c r="I1017" i="2" a="1"/>
  <c r="I1018" i="2" a="1"/>
  <c r="I1019" i="2" a="1"/>
  <c r="I1020" i="2" a="1"/>
  <c r="D524" i="4" s="1"/>
  <c r="I1021" i="2" a="1"/>
  <c r="D519" i="4" s="1"/>
  <c r="I1022" i="2" a="1"/>
  <c r="I1023" i="2" a="1"/>
  <c r="I1024" i="2" a="1"/>
  <c r="I1025" i="2" a="1"/>
  <c r="I1026" i="2" a="1"/>
  <c r="I1027" i="2" a="1"/>
  <c r="I1028" i="2" a="1"/>
  <c r="I1029" i="2" a="1"/>
  <c r="D2433" i="4" s="1"/>
  <c r="I1030" i="2" a="1"/>
  <c r="I1031" i="2" a="1"/>
  <c r="I1032" i="2" a="1"/>
  <c r="I1033" i="2" a="1"/>
  <c r="D1760" i="4" s="1"/>
  <c r="I1034" i="2" a="1"/>
  <c r="D865" i="4" s="1"/>
  <c r="I1035" i="2" a="1"/>
  <c r="I1036" i="2" a="1"/>
  <c r="I1037" i="2" a="1"/>
  <c r="D1947" i="4" s="1"/>
  <c r="I1038" i="2" a="1"/>
  <c r="I1039" i="2" a="1"/>
  <c r="D674" i="4" s="1"/>
  <c r="I1040" i="2" a="1"/>
  <c r="D863" i="4" s="1"/>
  <c r="I1041" i="2" a="1"/>
  <c r="I1042" i="2" a="1"/>
  <c r="I1043" i="2" a="1"/>
  <c r="I1044" i="2" a="1"/>
  <c r="I1045" i="2" a="1"/>
  <c r="I1046" i="2" a="1"/>
  <c r="I1047" i="2" a="1"/>
  <c r="I1048" i="2" a="1"/>
  <c r="I1049" i="2" a="1"/>
  <c r="I1050" i="2" a="1"/>
  <c r="I1051" i="2" a="1"/>
  <c r="I1052" i="2" a="1"/>
  <c r="D1722" i="4" s="1"/>
  <c r="I1053" i="2" a="1"/>
  <c r="D257" i="4" s="1"/>
  <c r="I1054" i="2" a="1"/>
  <c r="D212" i="4" s="1"/>
  <c r="I1055" i="2" a="1"/>
  <c r="I1056" i="2" a="1"/>
  <c r="I1057" i="2" a="1"/>
  <c r="I1058" i="2" a="1"/>
  <c r="I1059" i="2" a="1"/>
  <c r="I1060" i="2" a="1"/>
  <c r="I1061" i="2" a="1"/>
  <c r="I1062" i="2" a="1"/>
  <c r="I1063" i="2" a="1"/>
  <c r="I1064" i="2" a="1"/>
  <c r="D2089" i="4" s="1"/>
  <c r="I1065" i="2" a="1"/>
  <c r="I1066" i="2" a="1"/>
  <c r="D1737" i="4" s="1"/>
  <c r="I1067" i="2" a="1"/>
  <c r="I1068" i="2" a="1"/>
  <c r="I1069" i="2" a="1"/>
  <c r="D884" i="4" s="1"/>
  <c r="I1070" i="2" a="1"/>
  <c r="D588" i="4" s="1"/>
  <c r="I1071" i="2" a="1"/>
  <c r="D186" i="4" s="1"/>
  <c r="I1072" i="2" a="1"/>
  <c r="D2238" i="4" s="1"/>
  <c r="I1073" i="2" a="1"/>
  <c r="I1074" i="2" a="1"/>
  <c r="I1075" i="2" a="1"/>
  <c r="I1076" i="2" a="1"/>
  <c r="I1077" i="2" a="1"/>
  <c r="D280" i="4" s="1"/>
  <c r="I1078" i="2" a="1"/>
  <c r="I1079" i="2" a="1"/>
  <c r="I1080" i="2" a="1"/>
  <c r="I1081" i="2" a="1"/>
  <c r="I1082" i="2" a="1"/>
  <c r="I1083" i="2" a="1"/>
  <c r="I1084" i="2" a="1"/>
  <c r="I1085" i="2" a="1"/>
  <c r="I1086" i="2" a="1"/>
  <c r="I1087" i="2" a="1"/>
  <c r="I1088" i="2" a="1"/>
  <c r="I1089" i="2" a="1"/>
  <c r="I1090" i="2" a="1"/>
  <c r="I1091" i="2" a="1"/>
  <c r="I1092" i="2" a="1"/>
  <c r="I1093" i="2" a="1"/>
  <c r="I1094" i="2" a="1"/>
  <c r="I1095" i="2" a="1"/>
  <c r="I1096" i="2" a="1"/>
  <c r="I1097" i="2" a="1"/>
  <c r="I1098" i="2" a="1"/>
  <c r="I1099" i="2" a="1"/>
  <c r="I1100" i="2" a="1"/>
  <c r="D2109" i="4" s="1"/>
  <c r="I1101" i="2" a="1"/>
  <c r="I1102" i="2" a="1"/>
  <c r="D1375" i="4" s="1"/>
  <c r="I1103" i="2" a="1"/>
  <c r="D667" i="4" s="1"/>
  <c r="I1104" i="2" a="1"/>
  <c r="D1273" i="4" s="1"/>
  <c r="I1105" i="2" a="1"/>
  <c r="D345" i="4" s="1"/>
  <c r="I1106" i="2" a="1"/>
  <c r="I1107" i="2" a="1"/>
  <c r="I1108" i="2" a="1"/>
  <c r="D2508" i="4" s="1"/>
  <c r="I1109" i="2" a="1"/>
  <c r="I1110" i="2" a="1"/>
  <c r="I1111" i="2" a="1"/>
  <c r="I1112" i="2" a="1"/>
  <c r="I1113" i="2" a="1"/>
  <c r="I1114" i="2" a="1"/>
  <c r="I1115" i="2" a="1"/>
  <c r="D2503" i="4" s="1"/>
  <c r="I1116" i="2" a="1"/>
  <c r="I1117" i="2" a="1"/>
  <c r="I1118" i="2" a="1"/>
  <c r="I1119" i="2" a="1"/>
  <c r="I1120" i="2" a="1"/>
  <c r="I1121" i="2" a="1"/>
  <c r="I1122" i="2" a="1"/>
  <c r="I1123" i="2" a="1"/>
  <c r="I1124" i="2" a="1"/>
  <c r="I1125" i="2" a="1"/>
  <c r="I1126" i="2" a="1"/>
  <c r="I1127" i="2" a="1"/>
  <c r="I1128" i="2" a="1"/>
  <c r="I1129" i="2" a="1"/>
  <c r="I1130" i="2" a="1"/>
  <c r="I1131" i="2" a="1"/>
  <c r="I1132" i="2" a="1"/>
  <c r="I1133" i="2" a="1"/>
  <c r="I1134" i="2" a="1"/>
  <c r="D1777" i="4" s="1"/>
  <c r="I1135" i="2" a="1"/>
  <c r="D254" i="4" s="1"/>
  <c r="I1136" i="2" a="1"/>
  <c r="D1819" i="4" s="1"/>
  <c r="I1137" i="2" a="1"/>
  <c r="D1912" i="4" s="1"/>
  <c r="I1138" i="2" a="1"/>
  <c r="D717" i="4" s="1"/>
  <c r="I1139" i="2" a="1"/>
  <c r="I1140" i="2" a="1"/>
  <c r="I1141" i="2" a="1"/>
  <c r="I1142" i="2" a="1"/>
  <c r="D784" i="4" s="1"/>
  <c r="I1143" i="2" a="1"/>
  <c r="I1144" i="2" a="1"/>
  <c r="I1145" i="2" a="1"/>
  <c r="I1146" i="2" a="1"/>
  <c r="I1147" i="2" a="1"/>
  <c r="I1148" i="2" a="1"/>
  <c r="D654" i="4" s="1"/>
  <c r="I1149" i="2" a="1"/>
  <c r="D178" i="4" s="1"/>
  <c r="I1150" i="2" a="1"/>
  <c r="D718" i="4" s="1"/>
  <c r="I1151" i="2" a="1"/>
  <c r="D1465" i="4" s="1"/>
  <c r="I1152" i="2" a="1"/>
  <c r="D859" i="4" s="1"/>
  <c r="I1153" i="2" a="1"/>
  <c r="I1154" i="2" a="1"/>
  <c r="I1155" i="2" a="1"/>
  <c r="I1156" i="2" a="1"/>
  <c r="I1157" i="2" a="1"/>
  <c r="I1158" i="2" a="1"/>
  <c r="I1159" i="2" a="1"/>
  <c r="D20" i="4" s="1"/>
  <c r="I1160" i="2" a="1"/>
  <c r="D734" i="4" s="1"/>
  <c r="I1161" i="2" a="1"/>
  <c r="D1241" i="4" s="1"/>
  <c r="I1162" i="2" a="1"/>
  <c r="D60" i="4" s="1"/>
  <c r="I1163" i="2" a="1"/>
  <c r="D945" i="4" s="1"/>
  <c r="I1164" i="2" a="1"/>
  <c r="I1165" i="2" a="1"/>
  <c r="I1166" i="2" a="1"/>
  <c r="I1167" i="2" a="1"/>
  <c r="D1532" i="4" s="1"/>
  <c r="I1168" i="2" a="1"/>
  <c r="D2582" i="4" s="1"/>
  <c r="I1169" i="2" a="1"/>
  <c r="I1170" i="2" a="1"/>
  <c r="I1171" i="2" a="1"/>
  <c r="I1172" i="2" a="1"/>
  <c r="I1173" i="2" a="1"/>
  <c r="I1174" i="2" a="1"/>
  <c r="I1175" i="2" a="1"/>
  <c r="I1176" i="2" a="1"/>
  <c r="D350" i="4" s="1"/>
  <c r="I1177" i="2" a="1"/>
  <c r="I1178" i="2" a="1"/>
  <c r="I1179" i="2" a="1"/>
  <c r="I1180" i="2" a="1"/>
  <c r="D2060" i="4" s="1"/>
  <c r="I1181" i="2" a="1"/>
  <c r="D2348" i="4" s="1"/>
  <c r="I1182" i="2" a="1"/>
  <c r="I1183" i="2" a="1"/>
  <c r="I1184" i="2" a="1"/>
  <c r="I1185" i="2" a="1"/>
  <c r="D719" i="4" s="1"/>
  <c r="I1186" i="2" a="1"/>
  <c r="D362" i="4" s="1"/>
  <c r="I1187" i="2" a="1"/>
  <c r="D682" i="4" s="1"/>
  <c r="I1188" i="2" a="1"/>
  <c r="I1189" i="2" a="1"/>
  <c r="I1190" i="2" a="1"/>
  <c r="I1191" i="2" a="1"/>
  <c r="I1192" i="2" a="1"/>
  <c r="I1193" i="2" a="1"/>
  <c r="I1194" i="2" a="1"/>
  <c r="I1195" i="2" a="1"/>
  <c r="I1196" i="2" a="1"/>
  <c r="I1197" i="2" a="1"/>
  <c r="I1198" i="2" a="1"/>
  <c r="I1199" i="2" a="1"/>
  <c r="I1200" i="2" a="1"/>
  <c r="I1201" i="2" a="1"/>
  <c r="I1202" i="2" a="1"/>
  <c r="D2301" i="4" s="1"/>
  <c r="I1203" i="2" a="1"/>
  <c r="D1674" i="4" s="1"/>
  <c r="I1204" i="2" a="1"/>
  <c r="D2159" i="4" s="1"/>
  <c r="I1205" i="2" a="1"/>
  <c r="I1206" i="2" a="1"/>
  <c r="I1207" i="2" a="1"/>
  <c r="I1208" i="2" a="1"/>
  <c r="I1209" i="2" a="1"/>
  <c r="I1210" i="2" a="1"/>
  <c r="I1211" i="2" a="1"/>
  <c r="I1212" i="2" a="1"/>
  <c r="I1213" i="2" a="1"/>
  <c r="I1214" i="2" a="1"/>
  <c r="I1215" i="2" a="1"/>
  <c r="I1216" i="2" a="1"/>
  <c r="I1217" i="2" a="1"/>
  <c r="I1218" i="2" a="1"/>
  <c r="I1219" i="2" a="1"/>
  <c r="I1220" i="2" a="1"/>
  <c r="I1221" i="2" a="1"/>
  <c r="I1222" i="2" a="1"/>
  <c r="I1223" i="2" a="1"/>
  <c r="I1224" i="2" a="1"/>
  <c r="I1225" i="2" a="1"/>
  <c r="I1226" i="2" a="1"/>
  <c r="I1227" i="2" a="1"/>
  <c r="I1228" i="2" a="1"/>
  <c r="I1229" i="2" a="1"/>
  <c r="I1230" i="2" a="1"/>
  <c r="I1231" i="2" a="1"/>
  <c r="I1232" i="2" a="1"/>
  <c r="I1233" i="2" a="1"/>
  <c r="I1234" i="2" a="1"/>
  <c r="I1235" i="2" a="1"/>
  <c r="I1236" i="2" a="1"/>
  <c r="I1237" i="2" a="1"/>
  <c r="D771" i="4" s="1"/>
  <c r="I1238" i="2" a="1"/>
  <c r="D479" i="4" s="1"/>
  <c r="I1239" i="2" a="1"/>
  <c r="D1288" i="4" s="1"/>
  <c r="I1240" i="2" a="1"/>
  <c r="I1241" i="2" a="1"/>
  <c r="I1242" i="2" a="1"/>
  <c r="D1936" i="4" s="1"/>
  <c r="I1243" i="2" a="1"/>
  <c r="D993" i="4" s="1"/>
  <c r="I1244" i="2" a="1"/>
  <c r="D1956" i="4" s="1"/>
  <c r="I1245" i="2" a="1"/>
  <c r="D2504" i="4" s="1"/>
  <c r="I1246" i="2" a="1"/>
  <c r="D1487" i="4" s="1"/>
  <c r="I1247" i="2" a="1"/>
  <c r="D933" i="4" s="1"/>
  <c r="I1248" i="2" a="1"/>
  <c r="D255" i="4" s="1"/>
  <c r="I1249" i="2" a="1"/>
  <c r="D2017" i="4" s="1"/>
  <c r="I1250" i="2" a="1"/>
  <c r="D2422" i="4" s="1"/>
  <c r="I1251" i="2" a="1"/>
  <c r="I1252" i="2" a="1"/>
  <c r="I1253" i="2" a="1"/>
  <c r="I1254" i="2" a="1"/>
  <c r="I1255" i="2" a="1"/>
  <c r="D2051" i="4" s="1"/>
  <c r="I1256" i="2" a="1"/>
  <c r="I1257" i="2" a="1"/>
  <c r="I1258" i="2" a="1"/>
  <c r="I1259" i="2" a="1"/>
  <c r="I1260" i="2" a="1"/>
  <c r="D2537" i="4" s="1"/>
  <c r="I1261" i="2" a="1"/>
  <c r="I1262" i="2" a="1"/>
  <c r="I1263" i="2" a="1"/>
  <c r="I1264" i="2" a="1"/>
  <c r="I1265" i="2" a="1"/>
  <c r="I1266" i="2" a="1"/>
  <c r="I1267" i="2" a="1"/>
  <c r="D1703" i="4" s="1"/>
  <c r="I1268" i="2" a="1"/>
  <c r="D1279" i="4" s="1"/>
  <c r="I1269" i="2" a="1"/>
  <c r="I1270" i="2" a="1"/>
  <c r="I1271" i="2" a="1"/>
  <c r="I1272" i="2" a="1"/>
  <c r="I1273" i="2" a="1"/>
  <c r="I1274" i="2" a="1"/>
  <c r="I1275" i="2" a="1"/>
  <c r="I1276" i="2" a="1"/>
  <c r="I1277" i="2" a="1"/>
  <c r="I1278" i="2" a="1"/>
  <c r="I1279" i="2" a="1"/>
  <c r="I1280" i="2" a="1"/>
  <c r="I1281" i="2" a="1"/>
  <c r="I1282" i="2" a="1"/>
  <c r="I1283" i="2" a="1"/>
  <c r="I1284" i="2" a="1"/>
  <c r="D2421" i="4" s="1"/>
  <c r="I1285" i="2" a="1"/>
  <c r="I1286" i="2" a="1"/>
  <c r="D107" i="4" s="1"/>
  <c r="I1287" i="2" a="1"/>
  <c r="D2065" i="4" s="1"/>
  <c r="I1288" i="2" a="1"/>
  <c r="I1289" i="2" a="1"/>
  <c r="I1290" i="2" a="1"/>
  <c r="I1291" i="2" a="1"/>
  <c r="I1292" i="2" a="1"/>
  <c r="D1427" i="4" s="1"/>
  <c r="I1293" i="2" a="1"/>
  <c r="D2530" i="4" s="1"/>
  <c r="I1294" i="2" a="1"/>
  <c r="I1295" i="2" a="1"/>
  <c r="D2460" i="4" s="1"/>
  <c r="I1296" i="2" a="1"/>
  <c r="D1284" i="4" s="1"/>
  <c r="I1297" i="2" a="1"/>
  <c r="D1705" i="4" s="1"/>
  <c r="I1298" i="2" a="1"/>
  <c r="D2592" i="4" s="1"/>
  <c r="I1299" i="2" a="1"/>
  <c r="I1300" i="2" a="1"/>
  <c r="I1301" i="2" a="1"/>
  <c r="D7" i="12"/>
  <c r="D697" i="1"/>
  <c r="E697" i="1" s="1"/>
  <c r="D3" i="1"/>
  <c r="E3" i="1" s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E192" i="1" s="1"/>
  <c r="D193" i="1"/>
  <c r="E193" i="1" s="1"/>
  <c r="D194" i="1"/>
  <c r="E194" i="1" s="1"/>
  <c r="D195" i="1"/>
  <c r="E195" i="1" s="1"/>
  <c r="D196" i="1"/>
  <c r="E196" i="1" s="1"/>
  <c r="D197" i="1"/>
  <c r="E197" i="1" s="1"/>
  <c r="D198" i="1"/>
  <c r="E198" i="1" s="1"/>
  <c r="D199" i="1"/>
  <c r="E199" i="1" s="1"/>
  <c r="D200" i="1"/>
  <c r="E200" i="1" s="1"/>
  <c r="D201" i="1"/>
  <c r="E201" i="1" s="1"/>
  <c r="D202" i="1"/>
  <c r="E202" i="1" s="1"/>
  <c r="D203" i="1"/>
  <c r="E203" i="1" s="1"/>
  <c r="D204" i="1"/>
  <c r="E204" i="1" s="1"/>
  <c r="D205" i="1"/>
  <c r="E205" i="1" s="1"/>
  <c r="D206" i="1"/>
  <c r="E206" i="1" s="1"/>
  <c r="D207" i="1"/>
  <c r="E207" i="1" s="1"/>
  <c r="D208" i="1"/>
  <c r="E208" i="1" s="1"/>
  <c r="D209" i="1"/>
  <c r="E209" i="1" s="1"/>
  <c r="D210" i="1"/>
  <c r="E210" i="1" s="1"/>
  <c r="D211" i="1"/>
  <c r="E211" i="1" s="1"/>
  <c r="D212" i="1"/>
  <c r="E212" i="1" s="1"/>
  <c r="D213" i="1"/>
  <c r="E213" i="1" s="1"/>
  <c r="D214" i="1"/>
  <c r="E214" i="1" s="1"/>
  <c r="D215" i="1"/>
  <c r="E215" i="1" s="1"/>
  <c r="D216" i="1"/>
  <c r="E216" i="1" s="1"/>
  <c r="D217" i="1"/>
  <c r="E217" i="1" s="1"/>
  <c r="D218" i="1"/>
  <c r="E218" i="1" s="1"/>
  <c r="D219" i="1"/>
  <c r="E219" i="1" s="1"/>
  <c r="D220" i="1"/>
  <c r="E220" i="1" s="1"/>
  <c r="D221" i="1"/>
  <c r="E221" i="1" s="1"/>
  <c r="D222" i="1"/>
  <c r="E222" i="1" s="1"/>
  <c r="D223" i="1"/>
  <c r="E223" i="1" s="1"/>
  <c r="D224" i="1"/>
  <c r="E224" i="1" s="1"/>
  <c r="D225" i="1"/>
  <c r="E225" i="1" s="1"/>
  <c r="D226" i="1"/>
  <c r="E226" i="1" s="1"/>
  <c r="D227" i="1"/>
  <c r="E227" i="1" s="1"/>
  <c r="D228" i="1"/>
  <c r="E228" i="1" s="1"/>
  <c r="D229" i="1"/>
  <c r="E229" i="1" s="1"/>
  <c r="D230" i="1"/>
  <c r="E230" i="1" s="1"/>
  <c r="D231" i="1"/>
  <c r="E231" i="1" s="1"/>
  <c r="D232" i="1"/>
  <c r="E232" i="1" s="1"/>
  <c r="D233" i="1"/>
  <c r="E233" i="1" s="1"/>
  <c r="D234" i="1"/>
  <c r="E234" i="1" s="1"/>
  <c r="D235" i="1"/>
  <c r="E235" i="1" s="1"/>
  <c r="D236" i="1"/>
  <c r="E236" i="1" s="1"/>
  <c r="D237" i="1"/>
  <c r="E237" i="1" s="1"/>
  <c r="D238" i="1"/>
  <c r="E238" i="1" s="1"/>
  <c r="D239" i="1"/>
  <c r="E239" i="1" s="1"/>
  <c r="D240" i="1"/>
  <c r="E240" i="1" s="1"/>
  <c r="D241" i="1"/>
  <c r="E241" i="1" s="1"/>
  <c r="D242" i="1"/>
  <c r="E242" i="1" s="1"/>
  <c r="D243" i="1"/>
  <c r="E243" i="1" s="1"/>
  <c r="D244" i="1"/>
  <c r="E244" i="1" s="1"/>
  <c r="D245" i="1"/>
  <c r="E245" i="1" s="1"/>
  <c r="D246" i="1"/>
  <c r="E246" i="1" s="1"/>
  <c r="D247" i="1"/>
  <c r="E247" i="1" s="1"/>
  <c r="D248" i="1"/>
  <c r="E248" i="1" s="1"/>
  <c r="D249" i="1"/>
  <c r="E249" i="1" s="1"/>
  <c r="D250" i="1"/>
  <c r="E250" i="1" s="1"/>
  <c r="D251" i="1"/>
  <c r="E251" i="1" s="1"/>
  <c r="D252" i="1"/>
  <c r="E252" i="1" s="1"/>
  <c r="D253" i="1"/>
  <c r="E253" i="1" s="1"/>
  <c r="D254" i="1"/>
  <c r="E254" i="1" s="1"/>
  <c r="D255" i="1"/>
  <c r="E255" i="1" s="1"/>
  <c r="D256" i="1"/>
  <c r="E256" i="1" s="1"/>
  <c r="D257" i="1"/>
  <c r="E257" i="1" s="1"/>
  <c r="D258" i="1"/>
  <c r="E258" i="1" s="1"/>
  <c r="D259" i="1"/>
  <c r="E259" i="1" s="1"/>
  <c r="D260" i="1"/>
  <c r="E260" i="1" s="1"/>
  <c r="D261" i="1"/>
  <c r="E261" i="1" s="1"/>
  <c r="D262" i="1"/>
  <c r="E262" i="1" s="1"/>
  <c r="D263" i="1"/>
  <c r="E263" i="1" s="1"/>
  <c r="D264" i="1"/>
  <c r="E264" i="1" s="1"/>
  <c r="D265" i="1"/>
  <c r="E265" i="1" s="1"/>
  <c r="D266" i="1"/>
  <c r="E266" i="1" s="1"/>
  <c r="D267" i="1"/>
  <c r="E267" i="1" s="1"/>
  <c r="D268" i="1"/>
  <c r="E268" i="1" s="1"/>
  <c r="D269" i="1"/>
  <c r="E269" i="1" s="1"/>
  <c r="D270" i="1"/>
  <c r="E270" i="1" s="1"/>
  <c r="D271" i="1"/>
  <c r="E271" i="1" s="1"/>
  <c r="D272" i="1"/>
  <c r="E272" i="1" s="1"/>
  <c r="D273" i="1"/>
  <c r="E273" i="1" s="1"/>
  <c r="D274" i="1"/>
  <c r="E274" i="1" s="1"/>
  <c r="D275" i="1"/>
  <c r="E275" i="1" s="1"/>
  <c r="D276" i="1"/>
  <c r="E276" i="1" s="1"/>
  <c r="D277" i="1"/>
  <c r="E277" i="1" s="1"/>
  <c r="D278" i="1"/>
  <c r="E278" i="1" s="1"/>
  <c r="D279" i="1"/>
  <c r="E279" i="1" s="1"/>
  <c r="D280" i="1"/>
  <c r="E280" i="1" s="1"/>
  <c r="D281" i="1"/>
  <c r="E281" i="1" s="1"/>
  <c r="D282" i="1"/>
  <c r="E282" i="1" s="1"/>
  <c r="D283" i="1"/>
  <c r="E283" i="1" s="1"/>
  <c r="D284" i="1"/>
  <c r="E284" i="1" s="1"/>
  <c r="D285" i="1"/>
  <c r="E285" i="1" s="1"/>
  <c r="D286" i="1"/>
  <c r="E286" i="1" s="1"/>
  <c r="D287" i="1"/>
  <c r="E287" i="1" s="1"/>
  <c r="D288" i="1"/>
  <c r="E288" i="1" s="1"/>
  <c r="D289" i="1"/>
  <c r="E289" i="1" s="1"/>
  <c r="D290" i="1"/>
  <c r="E290" i="1" s="1"/>
  <c r="D291" i="1"/>
  <c r="E291" i="1" s="1"/>
  <c r="D292" i="1"/>
  <c r="E292" i="1" s="1"/>
  <c r="D293" i="1"/>
  <c r="E293" i="1" s="1"/>
  <c r="D294" i="1"/>
  <c r="E294" i="1" s="1"/>
  <c r="D295" i="1"/>
  <c r="E295" i="1" s="1"/>
  <c r="D296" i="1"/>
  <c r="E296" i="1" s="1"/>
  <c r="D297" i="1"/>
  <c r="E297" i="1" s="1"/>
  <c r="D298" i="1"/>
  <c r="E298" i="1" s="1"/>
  <c r="D299" i="1"/>
  <c r="E299" i="1" s="1"/>
  <c r="D300" i="1"/>
  <c r="E300" i="1" s="1"/>
  <c r="D301" i="1"/>
  <c r="E301" i="1" s="1"/>
  <c r="D302" i="1"/>
  <c r="E302" i="1" s="1"/>
  <c r="D303" i="1"/>
  <c r="E303" i="1" s="1"/>
  <c r="D304" i="1"/>
  <c r="E304" i="1" s="1"/>
  <c r="D305" i="1"/>
  <c r="E305" i="1" s="1"/>
  <c r="D306" i="1"/>
  <c r="E306" i="1" s="1"/>
  <c r="D307" i="1"/>
  <c r="E307" i="1" s="1"/>
  <c r="D308" i="1"/>
  <c r="E308" i="1" s="1"/>
  <c r="D309" i="1"/>
  <c r="E309" i="1" s="1"/>
  <c r="D310" i="1"/>
  <c r="E310" i="1" s="1"/>
  <c r="D311" i="1"/>
  <c r="E311" i="1" s="1"/>
  <c r="D312" i="1"/>
  <c r="E312" i="1" s="1"/>
  <c r="D313" i="1"/>
  <c r="E313" i="1" s="1"/>
  <c r="D314" i="1"/>
  <c r="E314" i="1" s="1"/>
  <c r="D315" i="1"/>
  <c r="E315" i="1" s="1"/>
  <c r="D316" i="1"/>
  <c r="E316" i="1" s="1"/>
  <c r="D317" i="1"/>
  <c r="E317" i="1" s="1"/>
  <c r="D318" i="1"/>
  <c r="E318" i="1" s="1"/>
  <c r="D319" i="1"/>
  <c r="E319" i="1" s="1"/>
  <c r="D320" i="1"/>
  <c r="E320" i="1" s="1"/>
  <c r="D321" i="1"/>
  <c r="E321" i="1" s="1"/>
  <c r="D322" i="1"/>
  <c r="E322" i="1" s="1"/>
  <c r="D323" i="1"/>
  <c r="E323" i="1" s="1"/>
  <c r="D324" i="1"/>
  <c r="E324" i="1" s="1"/>
  <c r="D325" i="1"/>
  <c r="E325" i="1" s="1"/>
  <c r="D326" i="1"/>
  <c r="E326" i="1" s="1"/>
  <c r="D327" i="1"/>
  <c r="E327" i="1" s="1"/>
  <c r="D328" i="1"/>
  <c r="E328" i="1" s="1"/>
  <c r="D329" i="1"/>
  <c r="E329" i="1" s="1"/>
  <c r="D330" i="1"/>
  <c r="E330" i="1" s="1"/>
  <c r="D331" i="1"/>
  <c r="E331" i="1" s="1"/>
  <c r="D332" i="1"/>
  <c r="E332" i="1" s="1"/>
  <c r="D333" i="1"/>
  <c r="E333" i="1" s="1"/>
  <c r="D334" i="1"/>
  <c r="E334" i="1" s="1"/>
  <c r="D335" i="1"/>
  <c r="E335" i="1" s="1"/>
  <c r="D336" i="1"/>
  <c r="E336" i="1" s="1"/>
  <c r="D337" i="1"/>
  <c r="E337" i="1" s="1"/>
  <c r="D338" i="1"/>
  <c r="E338" i="1" s="1"/>
  <c r="D339" i="1"/>
  <c r="E339" i="1" s="1"/>
  <c r="D340" i="1"/>
  <c r="E340" i="1" s="1"/>
  <c r="D341" i="1"/>
  <c r="E341" i="1" s="1"/>
  <c r="D342" i="1"/>
  <c r="E342" i="1" s="1"/>
  <c r="D343" i="1"/>
  <c r="E343" i="1" s="1"/>
  <c r="D344" i="1"/>
  <c r="E344" i="1" s="1"/>
  <c r="D345" i="1"/>
  <c r="E345" i="1" s="1"/>
  <c r="D346" i="1"/>
  <c r="E346" i="1" s="1"/>
  <c r="D347" i="1"/>
  <c r="E347" i="1" s="1"/>
  <c r="D348" i="1"/>
  <c r="E348" i="1" s="1"/>
  <c r="D349" i="1"/>
  <c r="E349" i="1" s="1"/>
  <c r="D350" i="1"/>
  <c r="E350" i="1" s="1"/>
  <c r="D351" i="1"/>
  <c r="E351" i="1" s="1"/>
  <c r="D352" i="1"/>
  <c r="E352" i="1" s="1"/>
  <c r="D353" i="1"/>
  <c r="E353" i="1" s="1"/>
  <c r="D354" i="1"/>
  <c r="E354" i="1" s="1"/>
  <c r="D355" i="1"/>
  <c r="E355" i="1" s="1"/>
  <c r="D356" i="1"/>
  <c r="E356" i="1" s="1"/>
  <c r="D357" i="1"/>
  <c r="E357" i="1" s="1"/>
  <c r="D358" i="1"/>
  <c r="E358" i="1" s="1"/>
  <c r="D359" i="1"/>
  <c r="E359" i="1" s="1"/>
  <c r="D360" i="1"/>
  <c r="E360" i="1" s="1"/>
  <c r="D361" i="1"/>
  <c r="E361" i="1" s="1"/>
  <c r="D362" i="1"/>
  <c r="E362" i="1" s="1"/>
  <c r="D363" i="1"/>
  <c r="E363" i="1" s="1"/>
  <c r="D364" i="1"/>
  <c r="E364" i="1" s="1"/>
  <c r="D365" i="1"/>
  <c r="E365" i="1" s="1"/>
  <c r="D366" i="1"/>
  <c r="E366" i="1" s="1"/>
  <c r="D367" i="1"/>
  <c r="E367" i="1" s="1"/>
  <c r="D368" i="1"/>
  <c r="E368" i="1" s="1"/>
  <c r="D369" i="1"/>
  <c r="E369" i="1" s="1"/>
  <c r="D370" i="1"/>
  <c r="E370" i="1" s="1"/>
  <c r="D371" i="1"/>
  <c r="E371" i="1" s="1"/>
  <c r="D372" i="1"/>
  <c r="E372" i="1" s="1"/>
  <c r="D373" i="1"/>
  <c r="E373" i="1" s="1"/>
  <c r="D374" i="1"/>
  <c r="E374" i="1" s="1"/>
  <c r="D375" i="1"/>
  <c r="E375" i="1" s="1"/>
  <c r="D376" i="1"/>
  <c r="E376" i="1" s="1"/>
  <c r="D377" i="1"/>
  <c r="E377" i="1" s="1"/>
  <c r="D378" i="1"/>
  <c r="E378" i="1" s="1"/>
  <c r="D379" i="1"/>
  <c r="E379" i="1" s="1"/>
  <c r="D380" i="1"/>
  <c r="E380" i="1" s="1"/>
  <c r="D381" i="1"/>
  <c r="E381" i="1" s="1"/>
  <c r="D382" i="1"/>
  <c r="E382" i="1" s="1"/>
  <c r="D383" i="1"/>
  <c r="E383" i="1" s="1"/>
  <c r="D384" i="1"/>
  <c r="E384" i="1" s="1"/>
  <c r="D385" i="1"/>
  <c r="E385" i="1" s="1"/>
  <c r="D386" i="1"/>
  <c r="E386" i="1" s="1"/>
  <c r="D387" i="1"/>
  <c r="E387" i="1" s="1"/>
  <c r="D388" i="1"/>
  <c r="E388" i="1" s="1"/>
  <c r="D389" i="1"/>
  <c r="E389" i="1" s="1"/>
  <c r="D390" i="1"/>
  <c r="E390" i="1" s="1"/>
  <c r="D391" i="1"/>
  <c r="E391" i="1" s="1"/>
  <c r="D392" i="1"/>
  <c r="E392" i="1" s="1"/>
  <c r="D393" i="1"/>
  <c r="E393" i="1" s="1"/>
  <c r="D394" i="1"/>
  <c r="E394" i="1" s="1"/>
  <c r="D395" i="1"/>
  <c r="E395" i="1" s="1"/>
  <c r="D396" i="1"/>
  <c r="E396" i="1" s="1"/>
  <c r="D397" i="1"/>
  <c r="E397" i="1" s="1"/>
  <c r="D398" i="1"/>
  <c r="E398" i="1" s="1"/>
  <c r="D399" i="1"/>
  <c r="E399" i="1" s="1"/>
  <c r="D400" i="1"/>
  <c r="E400" i="1" s="1"/>
  <c r="D401" i="1"/>
  <c r="E401" i="1" s="1"/>
  <c r="D402" i="1"/>
  <c r="E402" i="1" s="1"/>
  <c r="D403" i="1"/>
  <c r="E403" i="1" s="1"/>
  <c r="D404" i="1"/>
  <c r="E404" i="1" s="1"/>
  <c r="D405" i="1"/>
  <c r="E405" i="1" s="1"/>
  <c r="D406" i="1"/>
  <c r="E406" i="1" s="1"/>
  <c r="D407" i="1"/>
  <c r="E407" i="1" s="1"/>
  <c r="D408" i="1"/>
  <c r="E408" i="1" s="1"/>
  <c r="D409" i="1"/>
  <c r="E409" i="1" s="1"/>
  <c r="D410" i="1"/>
  <c r="E410" i="1" s="1"/>
  <c r="D411" i="1"/>
  <c r="E411" i="1" s="1"/>
  <c r="D412" i="1"/>
  <c r="E412" i="1" s="1"/>
  <c r="D413" i="1"/>
  <c r="E413" i="1" s="1"/>
  <c r="D414" i="1"/>
  <c r="E414" i="1" s="1"/>
  <c r="D415" i="1"/>
  <c r="E415" i="1" s="1"/>
  <c r="D416" i="1"/>
  <c r="E416" i="1" s="1"/>
  <c r="D417" i="1"/>
  <c r="E417" i="1" s="1"/>
  <c r="D418" i="1"/>
  <c r="E418" i="1" s="1"/>
  <c r="D419" i="1"/>
  <c r="E419" i="1" s="1"/>
  <c r="D420" i="1"/>
  <c r="E420" i="1" s="1"/>
  <c r="D421" i="1"/>
  <c r="E421" i="1" s="1"/>
  <c r="D422" i="1"/>
  <c r="E422" i="1" s="1"/>
  <c r="D423" i="1"/>
  <c r="E423" i="1" s="1"/>
  <c r="D424" i="1"/>
  <c r="E424" i="1" s="1"/>
  <c r="D425" i="1"/>
  <c r="E425" i="1" s="1"/>
  <c r="D426" i="1"/>
  <c r="E426" i="1" s="1"/>
  <c r="D427" i="1"/>
  <c r="E427" i="1" s="1"/>
  <c r="D428" i="1"/>
  <c r="E428" i="1" s="1"/>
  <c r="D429" i="1"/>
  <c r="E429" i="1" s="1"/>
  <c r="D430" i="1"/>
  <c r="E430" i="1" s="1"/>
  <c r="D431" i="1"/>
  <c r="E431" i="1" s="1"/>
  <c r="D432" i="1"/>
  <c r="E432" i="1" s="1"/>
  <c r="D433" i="1"/>
  <c r="E433" i="1" s="1"/>
  <c r="D434" i="1"/>
  <c r="E434" i="1" s="1"/>
  <c r="D435" i="1"/>
  <c r="E435" i="1" s="1"/>
  <c r="D436" i="1"/>
  <c r="E436" i="1" s="1"/>
  <c r="D437" i="1"/>
  <c r="E437" i="1" s="1"/>
  <c r="D438" i="1"/>
  <c r="E438" i="1" s="1"/>
  <c r="D439" i="1"/>
  <c r="E439" i="1" s="1"/>
  <c r="D440" i="1"/>
  <c r="E440" i="1" s="1"/>
  <c r="D441" i="1"/>
  <c r="E441" i="1" s="1"/>
  <c r="D442" i="1"/>
  <c r="E442" i="1" s="1"/>
  <c r="D443" i="1"/>
  <c r="E443" i="1" s="1"/>
  <c r="D444" i="1"/>
  <c r="E444" i="1" s="1"/>
  <c r="D445" i="1"/>
  <c r="E445" i="1" s="1"/>
  <c r="D446" i="1"/>
  <c r="E446" i="1" s="1"/>
  <c r="D447" i="1"/>
  <c r="E447" i="1" s="1"/>
  <c r="D448" i="1"/>
  <c r="E448" i="1" s="1"/>
  <c r="D449" i="1"/>
  <c r="E449" i="1" s="1"/>
  <c r="D450" i="1"/>
  <c r="E450" i="1" s="1"/>
  <c r="D451" i="1"/>
  <c r="E451" i="1" s="1"/>
  <c r="D452" i="1"/>
  <c r="E452" i="1" s="1"/>
  <c r="D453" i="1"/>
  <c r="E453" i="1" s="1"/>
  <c r="D454" i="1"/>
  <c r="E454" i="1" s="1"/>
  <c r="D455" i="1"/>
  <c r="E455" i="1" s="1"/>
  <c r="D456" i="1"/>
  <c r="E456" i="1" s="1"/>
  <c r="D457" i="1"/>
  <c r="E457" i="1" s="1"/>
  <c r="D458" i="1"/>
  <c r="E458" i="1" s="1"/>
  <c r="D459" i="1"/>
  <c r="E459" i="1" s="1"/>
  <c r="D460" i="1"/>
  <c r="E460" i="1" s="1"/>
  <c r="D461" i="1"/>
  <c r="E461" i="1" s="1"/>
  <c r="D462" i="1"/>
  <c r="E462" i="1" s="1"/>
  <c r="D463" i="1"/>
  <c r="E463" i="1" s="1"/>
  <c r="D464" i="1"/>
  <c r="E464" i="1" s="1"/>
  <c r="D465" i="1"/>
  <c r="E465" i="1" s="1"/>
  <c r="D466" i="1"/>
  <c r="E466" i="1" s="1"/>
  <c r="D467" i="1"/>
  <c r="E467" i="1" s="1"/>
  <c r="D468" i="1"/>
  <c r="E468" i="1" s="1"/>
  <c r="D469" i="1"/>
  <c r="E469" i="1" s="1"/>
  <c r="D470" i="1"/>
  <c r="E470" i="1" s="1"/>
  <c r="D471" i="1"/>
  <c r="E471" i="1" s="1"/>
  <c r="D472" i="1"/>
  <c r="E472" i="1" s="1"/>
  <c r="D473" i="1"/>
  <c r="E473" i="1" s="1"/>
  <c r="D474" i="1"/>
  <c r="E474" i="1" s="1"/>
  <c r="D475" i="1"/>
  <c r="E475" i="1" s="1"/>
  <c r="D476" i="1"/>
  <c r="E476" i="1" s="1"/>
  <c r="D477" i="1"/>
  <c r="E477" i="1" s="1"/>
  <c r="D478" i="1"/>
  <c r="E478" i="1" s="1"/>
  <c r="D479" i="1"/>
  <c r="E479" i="1" s="1"/>
  <c r="D480" i="1"/>
  <c r="E480" i="1" s="1"/>
  <c r="D481" i="1"/>
  <c r="E481" i="1" s="1"/>
  <c r="D482" i="1"/>
  <c r="E482" i="1" s="1"/>
  <c r="D483" i="1"/>
  <c r="E483" i="1" s="1"/>
  <c r="D484" i="1"/>
  <c r="E484" i="1" s="1"/>
  <c r="D485" i="1"/>
  <c r="E485" i="1" s="1"/>
  <c r="D486" i="1"/>
  <c r="E486" i="1" s="1"/>
  <c r="D487" i="1"/>
  <c r="E487" i="1" s="1"/>
  <c r="D488" i="1"/>
  <c r="E488" i="1" s="1"/>
  <c r="D489" i="1"/>
  <c r="E489" i="1" s="1"/>
  <c r="D490" i="1"/>
  <c r="E490" i="1" s="1"/>
  <c r="D491" i="1"/>
  <c r="E491" i="1" s="1"/>
  <c r="D492" i="1"/>
  <c r="E492" i="1" s="1"/>
  <c r="D493" i="1"/>
  <c r="E493" i="1" s="1"/>
  <c r="D494" i="1"/>
  <c r="E494" i="1" s="1"/>
  <c r="D495" i="1"/>
  <c r="E495" i="1" s="1"/>
  <c r="D496" i="1"/>
  <c r="E496" i="1" s="1"/>
  <c r="D497" i="1"/>
  <c r="E497" i="1" s="1"/>
  <c r="D498" i="1"/>
  <c r="E498" i="1" s="1"/>
  <c r="D499" i="1"/>
  <c r="E499" i="1" s="1"/>
  <c r="D500" i="1"/>
  <c r="E500" i="1" s="1"/>
  <c r="D501" i="1"/>
  <c r="E501" i="1" s="1"/>
  <c r="D502" i="1"/>
  <c r="E502" i="1" s="1"/>
  <c r="D503" i="1"/>
  <c r="E503" i="1" s="1"/>
  <c r="D504" i="1"/>
  <c r="E504" i="1" s="1"/>
  <c r="D505" i="1"/>
  <c r="E505" i="1" s="1"/>
  <c r="D506" i="1"/>
  <c r="E506" i="1" s="1"/>
  <c r="D507" i="1"/>
  <c r="E507" i="1" s="1"/>
  <c r="D508" i="1"/>
  <c r="E508" i="1" s="1"/>
  <c r="D509" i="1"/>
  <c r="E509" i="1" s="1"/>
  <c r="D510" i="1"/>
  <c r="E510" i="1" s="1"/>
  <c r="D511" i="1"/>
  <c r="E511" i="1" s="1"/>
  <c r="D512" i="1"/>
  <c r="E512" i="1" s="1"/>
  <c r="D513" i="1"/>
  <c r="E513" i="1" s="1"/>
  <c r="D514" i="1"/>
  <c r="E514" i="1" s="1"/>
  <c r="D515" i="1"/>
  <c r="E515" i="1" s="1"/>
  <c r="D516" i="1"/>
  <c r="E516" i="1" s="1"/>
  <c r="D517" i="1"/>
  <c r="E517" i="1" s="1"/>
  <c r="D518" i="1"/>
  <c r="E518" i="1" s="1"/>
  <c r="D519" i="1"/>
  <c r="E519" i="1" s="1"/>
  <c r="D520" i="1"/>
  <c r="E520" i="1" s="1"/>
  <c r="D521" i="1"/>
  <c r="E521" i="1" s="1"/>
  <c r="D522" i="1"/>
  <c r="E522" i="1" s="1"/>
  <c r="D523" i="1"/>
  <c r="E523" i="1" s="1"/>
  <c r="D524" i="1"/>
  <c r="E524" i="1" s="1"/>
  <c r="D525" i="1"/>
  <c r="E525" i="1" s="1"/>
  <c r="D526" i="1"/>
  <c r="E526" i="1" s="1"/>
  <c r="D527" i="1"/>
  <c r="E527" i="1" s="1"/>
  <c r="D528" i="1"/>
  <c r="E528" i="1" s="1"/>
  <c r="D529" i="1"/>
  <c r="E529" i="1" s="1"/>
  <c r="D530" i="1"/>
  <c r="E530" i="1" s="1"/>
  <c r="D531" i="1"/>
  <c r="E531" i="1" s="1"/>
  <c r="D532" i="1"/>
  <c r="E532" i="1" s="1"/>
  <c r="D533" i="1"/>
  <c r="E533" i="1" s="1"/>
  <c r="D534" i="1"/>
  <c r="E534" i="1" s="1"/>
  <c r="D535" i="1"/>
  <c r="E535" i="1" s="1"/>
  <c r="D536" i="1"/>
  <c r="E536" i="1" s="1"/>
  <c r="D537" i="1"/>
  <c r="E537" i="1" s="1"/>
  <c r="D538" i="1"/>
  <c r="E538" i="1" s="1"/>
  <c r="D539" i="1"/>
  <c r="E539" i="1" s="1"/>
  <c r="D540" i="1"/>
  <c r="E540" i="1" s="1"/>
  <c r="D541" i="1"/>
  <c r="E541" i="1" s="1"/>
  <c r="D542" i="1"/>
  <c r="E542" i="1" s="1"/>
  <c r="D543" i="1"/>
  <c r="E543" i="1" s="1"/>
  <c r="D544" i="1"/>
  <c r="E544" i="1" s="1"/>
  <c r="D545" i="1"/>
  <c r="E545" i="1" s="1"/>
  <c r="D546" i="1"/>
  <c r="E546" i="1" s="1"/>
  <c r="D547" i="1"/>
  <c r="E547" i="1" s="1"/>
  <c r="D548" i="1"/>
  <c r="E548" i="1" s="1"/>
  <c r="D549" i="1"/>
  <c r="E549" i="1" s="1"/>
  <c r="D550" i="1"/>
  <c r="E550" i="1" s="1"/>
  <c r="D551" i="1"/>
  <c r="E551" i="1" s="1"/>
  <c r="D552" i="1"/>
  <c r="E552" i="1" s="1"/>
  <c r="D553" i="1"/>
  <c r="E553" i="1" s="1"/>
  <c r="D554" i="1"/>
  <c r="E554" i="1" s="1"/>
  <c r="D555" i="1"/>
  <c r="E555" i="1" s="1"/>
  <c r="D556" i="1"/>
  <c r="E556" i="1" s="1"/>
  <c r="D557" i="1"/>
  <c r="E557" i="1" s="1"/>
  <c r="D558" i="1"/>
  <c r="E558" i="1" s="1"/>
  <c r="D559" i="1"/>
  <c r="E559" i="1" s="1"/>
  <c r="D560" i="1"/>
  <c r="E560" i="1" s="1"/>
  <c r="D561" i="1"/>
  <c r="E561" i="1" s="1"/>
  <c r="D562" i="1"/>
  <c r="E562" i="1" s="1"/>
  <c r="D563" i="1"/>
  <c r="E563" i="1" s="1"/>
  <c r="D564" i="1"/>
  <c r="E564" i="1" s="1"/>
  <c r="D565" i="1"/>
  <c r="E565" i="1" s="1"/>
  <c r="D566" i="1"/>
  <c r="E566" i="1" s="1"/>
  <c r="D567" i="1"/>
  <c r="E567" i="1" s="1"/>
  <c r="D568" i="1"/>
  <c r="E568" i="1" s="1"/>
  <c r="D569" i="1"/>
  <c r="E569" i="1" s="1"/>
  <c r="D570" i="1"/>
  <c r="E570" i="1" s="1"/>
  <c r="D571" i="1"/>
  <c r="E571" i="1" s="1"/>
  <c r="D572" i="1"/>
  <c r="E572" i="1" s="1"/>
  <c r="D573" i="1"/>
  <c r="E573" i="1" s="1"/>
  <c r="D574" i="1"/>
  <c r="E574" i="1" s="1"/>
  <c r="D575" i="1"/>
  <c r="E575" i="1" s="1"/>
  <c r="D576" i="1"/>
  <c r="E576" i="1" s="1"/>
  <c r="D577" i="1"/>
  <c r="E577" i="1" s="1"/>
  <c r="D578" i="1"/>
  <c r="E578" i="1" s="1"/>
  <c r="D579" i="1"/>
  <c r="E579" i="1" s="1"/>
  <c r="D580" i="1"/>
  <c r="E580" i="1" s="1"/>
  <c r="D581" i="1"/>
  <c r="E581" i="1" s="1"/>
  <c r="D582" i="1"/>
  <c r="E582" i="1" s="1"/>
  <c r="D583" i="1"/>
  <c r="E583" i="1" s="1"/>
  <c r="D584" i="1"/>
  <c r="E584" i="1" s="1"/>
  <c r="D585" i="1"/>
  <c r="E585" i="1" s="1"/>
  <c r="D586" i="1"/>
  <c r="E586" i="1" s="1"/>
  <c r="D587" i="1"/>
  <c r="E587" i="1" s="1"/>
  <c r="D588" i="1"/>
  <c r="E588" i="1" s="1"/>
  <c r="D589" i="1"/>
  <c r="E589" i="1" s="1"/>
  <c r="D590" i="1"/>
  <c r="E590" i="1" s="1"/>
  <c r="D591" i="1"/>
  <c r="E591" i="1" s="1"/>
  <c r="D592" i="1"/>
  <c r="E592" i="1" s="1"/>
  <c r="D593" i="1"/>
  <c r="E593" i="1" s="1"/>
  <c r="D594" i="1"/>
  <c r="E594" i="1" s="1"/>
  <c r="D595" i="1"/>
  <c r="E595" i="1" s="1"/>
  <c r="D596" i="1"/>
  <c r="E596" i="1" s="1"/>
  <c r="D597" i="1"/>
  <c r="E597" i="1" s="1"/>
  <c r="D598" i="1"/>
  <c r="E598" i="1" s="1"/>
  <c r="D599" i="1"/>
  <c r="E599" i="1" s="1"/>
  <c r="D600" i="1"/>
  <c r="E600" i="1" s="1"/>
  <c r="D601" i="1"/>
  <c r="E601" i="1" s="1"/>
  <c r="D602" i="1"/>
  <c r="E602" i="1" s="1"/>
  <c r="D603" i="1"/>
  <c r="E603" i="1" s="1"/>
  <c r="D604" i="1"/>
  <c r="E604" i="1" s="1"/>
  <c r="D605" i="1"/>
  <c r="E605" i="1" s="1"/>
  <c r="D606" i="1"/>
  <c r="E606" i="1" s="1"/>
  <c r="D607" i="1"/>
  <c r="E607" i="1" s="1"/>
  <c r="D608" i="1"/>
  <c r="E608" i="1" s="1"/>
  <c r="D609" i="1"/>
  <c r="E609" i="1" s="1"/>
  <c r="D610" i="1"/>
  <c r="E610" i="1" s="1"/>
  <c r="D611" i="1"/>
  <c r="E611" i="1" s="1"/>
  <c r="D612" i="1"/>
  <c r="E612" i="1" s="1"/>
  <c r="D613" i="1"/>
  <c r="E613" i="1" s="1"/>
  <c r="D614" i="1"/>
  <c r="E614" i="1" s="1"/>
  <c r="D615" i="1"/>
  <c r="E615" i="1" s="1"/>
  <c r="D616" i="1"/>
  <c r="E616" i="1" s="1"/>
  <c r="D617" i="1"/>
  <c r="E617" i="1" s="1"/>
  <c r="D618" i="1"/>
  <c r="E618" i="1" s="1"/>
  <c r="D619" i="1"/>
  <c r="E619" i="1" s="1"/>
  <c r="D620" i="1"/>
  <c r="E620" i="1" s="1"/>
  <c r="D621" i="1"/>
  <c r="E621" i="1" s="1"/>
  <c r="D622" i="1"/>
  <c r="E622" i="1" s="1"/>
  <c r="D623" i="1"/>
  <c r="E623" i="1" s="1"/>
  <c r="D624" i="1"/>
  <c r="E624" i="1" s="1"/>
  <c r="D625" i="1"/>
  <c r="E625" i="1" s="1"/>
  <c r="D626" i="1"/>
  <c r="E626" i="1" s="1"/>
  <c r="D627" i="1"/>
  <c r="E627" i="1" s="1"/>
  <c r="D628" i="1"/>
  <c r="E628" i="1" s="1"/>
  <c r="D629" i="1"/>
  <c r="E629" i="1" s="1"/>
  <c r="D630" i="1"/>
  <c r="E630" i="1" s="1"/>
  <c r="D631" i="1"/>
  <c r="E631" i="1" s="1"/>
  <c r="D632" i="1"/>
  <c r="E632" i="1" s="1"/>
  <c r="D633" i="1"/>
  <c r="E633" i="1" s="1"/>
  <c r="D634" i="1"/>
  <c r="E634" i="1" s="1"/>
  <c r="D635" i="1"/>
  <c r="E635" i="1" s="1"/>
  <c r="D636" i="1"/>
  <c r="E636" i="1" s="1"/>
  <c r="D637" i="1"/>
  <c r="E637" i="1" s="1"/>
  <c r="D638" i="1"/>
  <c r="E638" i="1" s="1"/>
  <c r="D639" i="1"/>
  <c r="E639" i="1" s="1"/>
  <c r="D640" i="1"/>
  <c r="E640" i="1" s="1"/>
  <c r="D641" i="1"/>
  <c r="E641" i="1" s="1"/>
  <c r="D642" i="1"/>
  <c r="E642" i="1" s="1"/>
  <c r="D643" i="1"/>
  <c r="E643" i="1" s="1"/>
  <c r="D644" i="1"/>
  <c r="E644" i="1" s="1"/>
  <c r="D645" i="1"/>
  <c r="E645" i="1" s="1"/>
  <c r="D646" i="1"/>
  <c r="E646" i="1" s="1"/>
  <c r="D647" i="1"/>
  <c r="E647" i="1" s="1"/>
  <c r="D648" i="1"/>
  <c r="E648" i="1" s="1"/>
  <c r="D649" i="1"/>
  <c r="E649" i="1" s="1"/>
  <c r="D650" i="1"/>
  <c r="E650" i="1" s="1"/>
  <c r="D651" i="1"/>
  <c r="E651" i="1" s="1"/>
  <c r="D652" i="1"/>
  <c r="E652" i="1" s="1"/>
  <c r="D653" i="1"/>
  <c r="E653" i="1" s="1"/>
  <c r="D654" i="1"/>
  <c r="E654" i="1" s="1"/>
  <c r="D655" i="1"/>
  <c r="E655" i="1" s="1"/>
  <c r="D656" i="1"/>
  <c r="E656" i="1" s="1"/>
  <c r="D657" i="1"/>
  <c r="E657" i="1" s="1"/>
  <c r="D658" i="1"/>
  <c r="E658" i="1" s="1"/>
  <c r="D659" i="1"/>
  <c r="E659" i="1" s="1"/>
  <c r="D660" i="1"/>
  <c r="E660" i="1" s="1"/>
  <c r="D661" i="1"/>
  <c r="E661" i="1" s="1"/>
  <c r="D662" i="1"/>
  <c r="E662" i="1" s="1"/>
  <c r="D663" i="1"/>
  <c r="E663" i="1" s="1"/>
  <c r="D664" i="1"/>
  <c r="E664" i="1" s="1"/>
  <c r="D665" i="1"/>
  <c r="E665" i="1" s="1"/>
  <c r="D666" i="1"/>
  <c r="E666" i="1" s="1"/>
  <c r="D667" i="1"/>
  <c r="E667" i="1" s="1"/>
  <c r="D668" i="1"/>
  <c r="E668" i="1" s="1"/>
  <c r="D669" i="1"/>
  <c r="E669" i="1" s="1"/>
  <c r="D670" i="1"/>
  <c r="E670" i="1" s="1"/>
  <c r="D671" i="1"/>
  <c r="E671" i="1" s="1"/>
  <c r="D672" i="1"/>
  <c r="E672" i="1" s="1"/>
  <c r="D673" i="1"/>
  <c r="E673" i="1" s="1"/>
  <c r="D674" i="1"/>
  <c r="E674" i="1" s="1"/>
  <c r="D675" i="1"/>
  <c r="E675" i="1" s="1"/>
  <c r="D676" i="1"/>
  <c r="E676" i="1" s="1"/>
  <c r="D677" i="1"/>
  <c r="E677" i="1" s="1"/>
  <c r="D678" i="1"/>
  <c r="E678" i="1" s="1"/>
  <c r="D679" i="1"/>
  <c r="E679" i="1" s="1"/>
  <c r="D680" i="1"/>
  <c r="E680" i="1" s="1"/>
  <c r="D681" i="1"/>
  <c r="E681" i="1" s="1"/>
  <c r="D682" i="1"/>
  <c r="E682" i="1" s="1"/>
  <c r="D683" i="1"/>
  <c r="E683" i="1" s="1"/>
  <c r="D684" i="1"/>
  <c r="E684" i="1" s="1"/>
  <c r="D685" i="1"/>
  <c r="E685" i="1" s="1"/>
  <c r="D686" i="1"/>
  <c r="E686" i="1" s="1"/>
  <c r="D687" i="1"/>
  <c r="E687" i="1" s="1"/>
  <c r="D688" i="1"/>
  <c r="E688" i="1" s="1"/>
  <c r="D689" i="1"/>
  <c r="E689" i="1" s="1"/>
  <c r="D690" i="1"/>
  <c r="E690" i="1" s="1"/>
  <c r="D691" i="1"/>
  <c r="E691" i="1" s="1"/>
  <c r="D692" i="1"/>
  <c r="E692" i="1" s="1"/>
  <c r="D693" i="1"/>
  <c r="E693" i="1" s="1"/>
  <c r="D694" i="1"/>
  <c r="E694" i="1" s="1"/>
  <c r="D695" i="1"/>
  <c r="E695" i="1" s="1"/>
  <c r="D696" i="1"/>
  <c r="E696" i="1" s="1"/>
  <c r="D698" i="1"/>
  <c r="E698" i="1" s="1"/>
  <c r="D699" i="1"/>
  <c r="E699" i="1" s="1"/>
  <c r="D700" i="1"/>
  <c r="E700" i="1" s="1"/>
  <c r="D701" i="1"/>
  <c r="E701" i="1" s="1"/>
  <c r="D702" i="1"/>
  <c r="E702" i="1" s="1"/>
  <c r="D703" i="1"/>
  <c r="E703" i="1" s="1"/>
  <c r="D704" i="1"/>
  <c r="E704" i="1" s="1"/>
  <c r="D705" i="1"/>
  <c r="E705" i="1" s="1"/>
  <c r="D706" i="1"/>
  <c r="E706" i="1" s="1"/>
  <c r="D707" i="1"/>
  <c r="E707" i="1" s="1"/>
  <c r="D708" i="1"/>
  <c r="E708" i="1" s="1"/>
  <c r="D709" i="1"/>
  <c r="E709" i="1" s="1"/>
  <c r="D710" i="1"/>
  <c r="E710" i="1" s="1"/>
  <c r="D711" i="1"/>
  <c r="E711" i="1" s="1"/>
  <c r="D712" i="1"/>
  <c r="E712" i="1" s="1"/>
  <c r="D713" i="1"/>
  <c r="E713" i="1" s="1"/>
  <c r="D714" i="1"/>
  <c r="E714" i="1" s="1"/>
  <c r="D715" i="1"/>
  <c r="E715" i="1" s="1"/>
  <c r="D716" i="1"/>
  <c r="E716" i="1" s="1"/>
  <c r="D717" i="1"/>
  <c r="E717" i="1" s="1"/>
  <c r="D718" i="1"/>
  <c r="E718" i="1" s="1"/>
  <c r="D719" i="1"/>
  <c r="E719" i="1" s="1"/>
  <c r="D720" i="1"/>
  <c r="E720" i="1" s="1"/>
  <c r="D721" i="1"/>
  <c r="E721" i="1" s="1"/>
  <c r="D722" i="1"/>
  <c r="E722" i="1" s="1"/>
  <c r="D723" i="1"/>
  <c r="E723" i="1" s="1"/>
  <c r="D724" i="1"/>
  <c r="E724" i="1" s="1"/>
  <c r="D725" i="1"/>
  <c r="E725" i="1" s="1"/>
  <c r="D726" i="1"/>
  <c r="E726" i="1" s="1"/>
  <c r="D727" i="1"/>
  <c r="E727" i="1" s="1"/>
  <c r="D728" i="1"/>
  <c r="E728" i="1" s="1"/>
  <c r="D729" i="1"/>
  <c r="E729" i="1" s="1"/>
  <c r="D730" i="1"/>
  <c r="E730" i="1" s="1"/>
  <c r="D731" i="1"/>
  <c r="E731" i="1" s="1"/>
  <c r="D732" i="1"/>
  <c r="E732" i="1" s="1"/>
  <c r="D733" i="1"/>
  <c r="E733" i="1" s="1"/>
  <c r="D734" i="1"/>
  <c r="E734" i="1" s="1"/>
  <c r="D735" i="1"/>
  <c r="E735" i="1" s="1"/>
  <c r="D736" i="1"/>
  <c r="E736" i="1" s="1"/>
  <c r="D737" i="1"/>
  <c r="E737" i="1" s="1"/>
  <c r="D738" i="1"/>
  <c r="E738" i="1" s="1"/>
  <c r="D739" i="1"/>
  <c r="E739" i="1" s="1"/>
  <c r="D740" i="1"/>
  <c r="E740" i="1" s="1"/>
  <c r="D741" i="1"/>
  <c r="E741" i="1" s="1"/>
  <c r="D742" i="1"/>
  <c r="E742" i="1" s="1"/>
  <c r="D743" i="1"/>
  <c r="E743" i="1" s="1"/>
  <c r="D744" i="1"/>
  <c r="E744" i="1" s="1"/>
  <c r="D745" i="1"/>
  <c r="E745" i="1" s="1"/>
  <c r="D746" i="1"/>
  <c r="E746" i="1" s="1"/>
  <c r="D747" i="1"/>
  <c r="E747" i="1" s="1"/>
  <c r="D748" i="1"/>
  <c r="E748" i="1" s="1"/>
  <c r="D749" i="1"/>
  <c r="E749" i="1" s="1"/>
  <c r="D750" i="1"/>
  <c r="E750" i="1" s="1"/>
  <c r="D751" i="1"/>
  <c r="E751" i="1" s="1"/>
  <c r="D752" i="1"/>
  <c r="E752" i="1" s="1"/>
  <c r="D753" i="1"/>
  <c r="E753" i="1" s="1"/>
  <c r="D754" i="1"/>
  <c r="E754" i="1" s="1"/>
  <c r="D755" i="1"/>
  <c r="E755" i="1" s="1"/>
  <c r="D756" i="1"/>
  <c r="E756" i="1" s="1"/>
  <c r="D757" i="1"/>
  <c r="E757" i="1" s="1"/>
  <c r="D758" i="1"/>
  <c r="E758" i="1" s="1"/>
  <c r="D759" i="1"/>
  <c r="E759" i="1" s="1"/>
  <c r="D760" i="1"/>
  <c r="E760" i="1" s="1"/>
  <c r="D761" i="1"/>
  <c r="E761" i="1" s="1"/>
  <c r="D762" i="1"/>
  <c r="E762" i="1" s="1"/>
  <c r="D763" i="1"/>
  <c r="E763" i="1" s="1"/>
  <c r="D764" i="1"/>
  <c r="E764" i="1" s="1"/>
  <c r="D765" i="1"/>
  <c r="E765" i="1" s="1"/>
  <c r="D766" i="1"/>
  <c r="E766" i="1" s="1"/>
  <c r="D767" i="1"/>
  <c r="E767" i="1" s="1"/>
  <c r="D768" i="1"/>
  <c r="E768" i="1" s="1"/>
  <c r="D769" i="1"/>
  <c r="E769" i="1" s="1"/>
  <c r="D770" i="1"/>
  <c r="E770" i="1" s="1"/>
  <c r="D771" i="1"/>
  <c r="E771" i="1" s="1"/>
  <c r="D772" i="1"/>
  <c r="E772" i="1" s="1"/>
  <c r="D773" i="1"/>
  <c r="E773" i="1" s="1"/>
  <c r="D774" i="1"/>
  <c r="E774" i="1" s="1"/>
  <c r="D775" i="1"/>
  <c r="E775" i="1" s="1"/>
  <c r="D776" i="1"/>
  <c r="E776" i="1" s="1"/>
  <c r="D777" i="1"/>
  <c r="E777" i="1" s="1"/>
  <c r="D778" i="1"/>
  <c r="E778" i="1" s="1"/>
  <c r="D779" i="1"/>
  <c r="E779" i="1" s="1"/>
  <c r="D780" i="1"/>
  <c r="E780" i="1" s="1"/>
  <c r="D781" i="1"/>
  <c r="E781" i="1" s="1"/>
  <c r="D782" i="1"/>
  <c r="E782" i="1" s="1"/>
  <c r="D783" i="1"/>
  <c r="E783" i="1" s="1"/>
  <c r="D784" i="1"/>
  <c r="E784" i="1" s="1"/>
  <c r="D785" i="1"/>
  <c r="E785" i="1" s="1"/>
  <c r="D786" i="1"/>
  <c r="E786" i="1" s="1"/>
  <c r="D787" i="1"/>
  <c r="E787" i="1" s="1"/>
  <c r="D788" i="1"/>
  <c r="E788" i="1" s="1"/>
  <c r="D789" i="1"/>
  <c r="E789" i="1" s="1"/>
  <c r="D790" i="1"/>
  <c r="E790" i="1" s="1"/>
  <c r="D791" i="1"/>
  <c r="E791" i="1" s="1"/>
  <c r="D792" i="1"/>
  <c r="E792" i="1" s="1"/>
  <c r="D793" i="1"/>
  <c r="E793" i="1" s="1"/>
  <c r="D794" i="1"/>
  <c r="E794" i="1" s="1"/>
  <c r="D795" i="1"/>
  <c r="E795" i="1" s="1"/>
  <c r="D796" i="1"/>
  <c r="E796" i="1" s="1"/>
  <c r="D797" i="1"/>
  <c r="E797" i="1" s="1"/>
  <c r="D798" i="1"/>
  <c r="E798" i="1" s="1"/>
  <c r="D799" i="1"/>
  <c r="E799" i="1" s="1"/>
  <c r="D800" i="1"/>
  <c r="E800" i="1" s="1"/>
  <c r="D801" i="1"/>
  <c r="E801" i="1" s="1"/>
  <c r="D802" i="1"/>
  <c r="E802" i="1" s="1"/>
  <c r="D803" i="1"/>
  <c r="E803" i="1" s="1"/>
  <c r="D804" i="1"/>
  <c r="E804" i="1" s="1"/>
  <c r="D805" i="1"/>
  <c r="E805" i="1" s="1"/>
  <c r="D806" i="1"/>
  <c r="E806" i="1" s="1"/>
  <c r="D807" i="1"/>
  <c r="E807" i="1" s="1"/>
  <c r="D808" i="1"/>
  <c r="E808" i="1" s="1"/>
  <c r="D809" i="1"/>
  <c r="E809" i="1" s="1"/>
  <c r="D810" i="1"/>
  <c r="E810" i="1" s="1"/>
  <c r="D811" i="1"/>
  <c r="E811" i="1" s="1"/>
  <c r="D812" i="1"/>
  <c r="E812" i="1" s="1"/>
  <c r="D813" i="1"/>
  <c r="E813" i="1" s="1"/>
  <c r="D814" i="1"/>
  <c r="E814" i="1" s="1"/>
  <c r="D815" i="1"/>
  <c r="E815" i="1" s="1"/>
  <c r="D816" i="1"/>
  <c r="E816" i="1" s="1"/>
  <c r="D817" i="1"/>
  <c r="E817" i="1" s="1"/>
  <c r="D818" i="1"/>
  <c r="E818" i="1" s="1"/>
  <c r="D819" i="1"/>
  <c r="E819" i="1" s="1"/>
  <c r="D820" i="1"/>
  <c r="E820" i="1" s="1"/>
  <c r="D821" i="1"/>
  <c r="E821" i="1" s="1"/>
  <c r="D822" i="1"/>
  <c r="E822" i="1" s="1"/>
  <c r="D823" i="1"/>
  <c r="E823" i="1" s="1"/>
  <c r="D824" i="1"/>
  <c r="E824" i="1" s="1"/>
  <c r="D825" i="1"/>
  <c r="E825" i="1" s="1"/>
  <c r="D826" i="1"/>
  <c r="E826" i="1" s="1"/>
  <c r="D827" i="1"/>
  <c r="E827" i="1" s="1"/>
  <c r="D828" i="1"/>
  <c r="E828" i="1" s="1"/>
  <c r="D829" i="1"/>
  <c r="E829" i="1" s="1"/>
  <c r="D830" i="1"/>
  <c r="E830" i="1" s="1"/>
  <c r="D831" i="1"/>
  <c r="E831" i="1" s="1"/>
  <c r="D832" i="1"/>
  <c r="E832" i="1" s="1"/>
  <c r="D833" i="1"/>
  <c r="E833" i="1" s="1"/>
  <c r="D834" i="1"/>
  <c r="E834" i="1" s="1"/>
  <c r="D835" i="1"/>
  <c r="E835" i="1" s="1"/>
  <c r="D836" i="1"/>
  <c r="E836" i="1" s="1"/>
  <c r="D837" i="1"/>
  <c r="E837" i="1" s="1"/>
  <c r="D838" i="1"/>
  <c r="E838" i="1" s="1"/>
  <c r="D839" i="1"/>
  <c r="E839" i="1" s="1"/>
  <c r="D840" i="1"/>
  <c r="E840" i="1" s="1"/>
  <c r="D841" i="1"/>
  <c r="E841" i="1" s="1"/>
  <c r="D842" i="1"/>
  <c r="E842" i="1" s="1"/>
  <c r="D843" i="1"/>
  <c r="E843" i="1" s="1"/>
  <c r="D844" i="1"/>
  <c r="E844" i="1" s="1"/>
  <c r="D845" i="1"/>
  <c r="E845" i="1" s="1"/>
  <c r="D846" i="1"/>
  <c r="E846" i="1" s="1"/>
  <c r="D847" i="1"/>
  <c r="E847" i="1" s="1"/>
  <c r="D848" i="1"/>
  <c r="E848" i="1" s="1"/>
  <c r="D849" i="1"/>
  <c r="E849" i="1" s="1"/>
  <c r="D850" i="1"/>
  <c r="E850" i="1" s="1"/>
  <c r="D851" i="1"/>
  <c r="E851" i="1" s="1"/>
  <c r="D852" i="1"/>
  <c r="E852" i="1" s="1"/>
  <c r="D853" i="1"/>
  <c r="E853" i="1" s="1"/>
  <c r="D854" i="1"/>
  <c r="E854" i="1" s="1"/>
  <c r="D855" i="1"/>
  <c r="E855" i="1" s="1"/>
  <c r="D856" i="1"/>
  <c r="E856" i="1" s="1"/>
  <c r="D857" i="1"/>
  <c r="E857" i="1" s="1"/>
  <c r="D858" i="1"/>
  <c r="E858" i="1" s="1"/>
  <c r="D859" i="1"/>
  <c r="E859" i="1" s="1"/>
  <c r="D860" i="1"/>
  <c r="E860" i="1" s="1"/>
  <c r="D861" i="1"/>
  <c r="E861" i="1" s="1"/>
  <c r="D862" i="1"/>
  <c r="E862" i="1" s="1"/>
  <c r="D863" i="1"/>
  <c r="E863" i="1" s="1"/>
  <c r="D864" i="1"/>
  <c r="E864" i="1" s="1"/>
  <c r="D865" i="1"/>
  <c r="E865" i="1" s="1"/>
  <c r="D866" i="1"/>
  <c r="E866" i="1" s="1"/>
  <c r="D867" i="1"/>
  <c r="E867" i="1" s="1"/>
  <c r="D868" i="1"/>
  <c r="E868" i="1" s="1"/>
  <c r="D869" i="1"/>
  <c r="E869" i="1" s="1"/>
  <c r="D870" i="1"/>
  <c r="E870" i="1" s="1"/>
  <c r="D871" i="1"/>
  <c r="E871" i="1" s="1"/>
  <c r="D872" i="1"/>
  <c r="E872" i="1" s="1"/>
  <c r="D873" i="1"/>
  <c r="E873" i="1" s="1"/>
  <c r="D874" i="1"/>
  <c r="E874" i="1" s="1"/>
  <c r="D875" i="1"/>
  <c r="E875" i="1" s="1"/>
  <c r="D876" i="1"/>
  <c r="E876" i="1" s="1"/>
  <c r="D877" i="1"/>
  <c r="E877" i="1" s="1"/>
  <c r="D878" i="1"/>
  <c r="E878" i="1" s="1"/>
  <c r="D879" i="1"/>
  <c r="E879" i="1" s="1"/>
  <c r="D880" i="1"/>
  <c r="E880" i="1" s="1"/>
  <c r="D881" i="1"/>
  <c r="E881" i="1" s="1"/>
  <c r="D882" i="1"/>
  <c r="E882" i="1" s="1"/>
  <c r="D883" i="1"/>
  <c r="E883" i="1" s="1"/>
  <c r="D884" i="1"/>
  <c r="E884" i="1" s="1"/>
  <c r="D885" i="1"/>
  <c r="E885" i="1" s="1"/>
  <c r="D886" i="1"/>
  <c r="E886" i="1" s="1"/>
  <c r="D887" i="1"/>
  <c r="E887" i="1" s="1"/>
  <c r="D888" i="1"/>
  <c r="E888" i="1" s="1"/>
  <c r="D889" i="1"/>
  <c r="E889" i="1" s="1"/>
  <c r="D890" i="1"/>
  <c r="E890" i="1" s="1"/>
  <c r="D891" i="1"/>
  <c r="E891" i="1" s="1"/>
  <c r="D892" i="1"/>
  <c r="E892" i="1" s="1"/>
  <c r="D893" i="1"/>
  <c r="E893" i="1" s="1"/>
  <c r="D894" i="1"/>
  <c r="E894" i="1" s="1"/>
  <c r="D2" i="4"/>
  <c r="D3" i="4"/>
  <c r="D4" i="4"/>
  <c r="D6" i="4"/>
  <c r="D7" i="4"/>
  <c r="D8" i="4"/>
  <c r="D10" i="4"/>
  <c r="D11" i="4"/>
  <c r="D13" i="4"/>
  <c r="D14" i="4"/>
  <c r="D15" i="4"/>
  <c r="D16" i="4"/>
  <c r="D18" i="4"/>
  <c r="D19" i="4"/>
  <c r="D22" i="4"/>
  <c r="D23" i="4"/>
  <c r="D25" i="4"/>
  <c r="D26" i="4"/>
  <c r="D27" i="4"/>
  <c r="D29" i="4"/>
  <c r="D30" i="4"/>
  <c r="D31" i="4"/>
  <c r="D32" i="4"/>
  <c r="D34" i="4"/>
  <c r="D35" i="4"/>
  <c r="D37" i="4"/>
  <c r="D39" i="4"/>
  <c r="D40" i="4"/>
  <c r="D41" i="4"/>
  <c r="D42" i="4"/>
  <c r="D45" i="4"/>
  <c r="D46" i="4"/>
  <c r="D48" i="4"/>
  <c r="D49" i="4"/>
  <c r="D51" i="4"/>
  <c r="D52" i="4"/>
  <c r="D53" i="4"/>
  <c r="D54" i="4"/>
  <c r="D55" i="4"/>
  <c r="D56" i="4"/>
  <c r="D57" i="4"/>
  <c r="D58" i="4"/>
  <c r="D59" i="4"/>
  <c r="D61" i="4"/>
  <c r="D62" i="4"/>
  <c r="D63" i="4"/>
  <c r="D64" i="4"/>
  <c r="D65" i="4"/>
  <c r="D66" i="4"/>
  <c r="D67" i="4"/>
  <c r="D68" i="4"/>
  <c r="D69" i="4"/>
  <c r="D71" i="4"/>
  <c r="D72" i="4"/>
  <c r="D74" i="4"/>
  <c r="D76" i="4"/>
  <c r="D77" i="4"/>
  <c r="D78" i="4"/>
  <c r="D79" i="4"/>
  <c r="D80" i="4"/>
  <c r="D81" i="4"/>
  <c r="D82" i="4"/>
  <c r="D83" i="4"/>
  <c r="D84" i="4"/>
  <c r="D86" i="4"/>
  <c r="D88" i="4"/>
  <c r="D89" i="4"/>
  <c r="D91" i="4"/>
  <c r="D92" i="4"/>
  <c r="D93" i="4"/>
  <c r="D94" i="4"/>
  <c r="D95" i="4"/>
  <c r="D96" i="4"/>
  <c r="D99" i="4"/>
  <c r="D104" i="4"/>
  <c r="D106" i="4"/>
  <c r="D108" i="4"/>
  <c r="D109" i="4"/>
  <c r="D110" i="4"/>
  <c r="D111" i="4"/>
  <c r="D113" i="4"/>
  <c r="D116" i="4"/>
  <c r="D117" i="4"/>
  <c r="D118" i="4"/>
  <c r="D119" i="4"/>
  <c r="D120" i="4"/>
  <c r="D123" i="4"/>
  <c r="D126" i="4"/>
  <c r="D128" i="4"/>
  <c r="D129" i="4"/>
  <c r="D130" i="4"/>
  <c r="D131" i="4"/>
  <c r="D132" i="4"/>
  <c r="D134" i="4"/>
  <c r="D135" i="4"/>
  <c r="D136" i="4"/>
  <c r="D137" i="4"/>
  <c r="D138" i="4"/>
  <c r="D139" i="4"/>
  <c r="D141" i="4"/>
  <c r="D142" i="4"/>
  <c r="D144" i="4"/>
  <c r="D145" i="4"/>
  <c r="D146" i="4"/>
  <c r="D147" i="4"/>
  <c r="D148" i="4"/>
  <c r="D149" i="4"/>
  <c r="D150" i="4"/>
  <c r="D151" i="4"/>
  <c r="D152" i="4"/>
  <c r="D154" i="4"/>
  <c r="D155" i="4"/>
  <c r="D156" i="4"/>
  <c r="D157" i="4"/>
  <c r="D158" i="4"/>
  <c r="D159" i="4"/>
  <c r="D160" i="4"/>
  <c r="D161" i="4"/>
  <c r="D162" i="4"/>
  <c r="D163" i="4"/>
  <c r="D164" i="4"/>
  <c r="D167" i="4"/>
  <c r="D168" i="4"/>
  <c r="D169" i="4"/>
  <c r="D170" i="4"/>
  <c r="D172" i="4"/>
  <c r="D173" i="4"/>
  <c r="D174" i="4"/>
  <c r="D176" i="4"/>
  <c r="D177" i="4"/>
  <c r="D180" i="4"/>
  <c r="D182" i="4"/>
  <c r="D183" i="4"/>
  <c r="D184" i="4"/>
  <c r="D187" i="4"/>
  <c r="D188" i="4"/>
  <c r="D189" i="4"/>
  <c r="D190" i="4"/>
  <c r="D191" i="4"/>
  <c r="D192" i="4"/>
  <c r="D194" i="4"/>
  <c r="D195" i="4"/>
  <c r="D197" i="4"/>
  <c r="D198" i="4"/>
  <c r="D199" i="4"/>
  <c r="D201" i="4"/>
  <c r="D203" i="4"/>
  <c r="D204" i="4"/>
  <c r="D206" i="4"/>
  <c r="D207" i="4"/>
  <c r="D208" i="4"/>
  <c r="D209" i="4"/>
  <c r="D210" i="4"/>
  <c r="D213" i="4"/>
  <c r="D214" i="4"/>
  <c r="D215" i="4"/>
  <c r="D216" i="4"/>
  <c r="D217" i="4"/>
  <c r="D219" i="4"/>
  <c r="D220" i="4"/>
  <c r="D221" i="4"/>
  <c r="D222" i="4"/>
  <c r="D223" i="4"/>
  <c r="D224" i="4"/>
  <c r="D228" i="4"/>
  <c r="D230" i="4"/>
  <c r="D232" i="4"/>
  <c r="D233" i="4"/>
  <c r="D234" i="4"/>
  <c r="D235" i="4"/>
  <c r="D236" i="4"/>
  <c r="D239" i="4"/>
  <c r="D241" i="4"/>
  <c r="D244" i="4"/>
  <c r="D247" i="4"/>
  <c r="D248" i="4"/>
  <c r="D249" i="4"/>
  <c r="D250" i="4"/>
  <c r="D253" i="4"/>
  <c r="D256" i="4"/>
  <c r="D258" i="4"/>
  <c r="D259" i="4"/>
  <c r="D261" i="4"/>
  <c r="D263" i="4"/>
  <c r="D264" i="4"/>
  <c r="D265" i="4"/>
  <c r="D267" i="4"/>
  <c r="D268" i="4"/>
  <c r="D270" i="4"/>
  <c r="D271" i="4"/>
  <c r="D275" i="4"/>
  <c r="D276" i="4"/>
  <c r="D279" i="4"/>
  <c r="D281" i="4"/>
  <c r="D282" i="4"/>
  <c r="D283" i="4"/>
  <c r="D284" i="4"/>
  <c r="D286" i="4"/>
  <c r="D287" i="4"/>
  <c r="D288" i="4"/>
  <c r="D289" i="4"/>
  <c r="D290" i="4"/>
  <c r="D291" i="4"/>
  <c r="D292" i="4"/>
  <c r="D293" i="4"/>
  <c r="D294" i="4"/>
  <c r="D296" i="4"/>
  <c r="D297" i="4"/>
  <c r="D298" i="4"/>
  <c r="D299" i="4"/>
  <c r="D300" i="4"/>
  <c r="D301" i="4"/>
  <c r="D302" i="4"/>
  <c r="D304" i="4"/>
  <c r="D305" i="4"/>
  <c r="D306" i="4"/>
  <c r="D307" i="4"/>
  <c r="D308" i="4"/>
  <c r="D309" i="4"/>
  <c r="D310" i="4"/>
  <c r="D312" i="4"/>
  <c r="D313" i="4"/>
  <c r="D314" i="4"/>
  <c r="D315" i="4"/>
  <c r="D316" i="4"/>
  <c r="D317" i="4"/>
  <c r="D318" i="4"/>
  <c r="D320" i="4"/>
  <c r="D321" i="4"/>
  <c r="D323" i="4"/>
  <c r="D325" i="4"/>
  <c r="D326" i="4"/>
  <c r="D327" i="4"/>
  <c r="D328" i="4"/>
  <c r="D330" i="4"/>
  <c r="D332" i="4"/>
  <c r="D333" i="4"/>
  <c r="D334" i="4"/>
  <c r="D336" i="4"/>
  <c r="D338" i="4"/>
  <c r="D339" i="4"/>
  <c r="D341" i="4"/>
  <c r="D342" i="4"/>
  <c r="D343" i="4"/>
  <c r="D346" i="4"/>
  <c r="D347" i="4"/>
  <c r="D348" i="4"/>
  <c r="D349" i="4"/>
  <c r="D351" i="4"/>
  <c r="D352" i="4"/>
  <c r="D353" i="4"/>
  <c r="D354" i="4"/>
  <c r="D355" i="4"/>
  <c r="D356" i="4"/>
  <c r="D357" i="4"/>
  <c r="D358" i="4"/>
  <c r="D359" i="4"/>
  <c r="D360" i="4"/>
  <c r="D361" i="4"/>
  <c r="D363" i="4"/>
  <c r="D365" i="4"/>
  <c r="D366" i="4"/>
  <c r="D367" i="4"/>
  <c r="D369" i="4"/>
  <c r="D370" i="4"/>
  <c r="D372" i="4"/>
  <c r="D373" i="4"/>
  <c r="D374" i="4"/>
  <c r="D375" i="4"/>
  <c r="D376" i="4"/>
  <c r="D377" i="4"/>
  <c r="D379" i="4"/>
  <c r="D380" i="4"/>
  <c r="D382" i="4"/>
  <c r="D383" i="4"/>
  <c r="D384" i="4"/>
  <c r="D385" i="4"/>
  <c r="D386" i="4"/>
  <c r="D388" i="4"/>
  <c r="D389" i="4"/>
  <c r="D390" i="4"/>
  <c r="D391" i="4"/>
  <c r="D392" i="4"/>
  <c r="D393" i="4"/>
  <c r="D394" i="4"/>
  <c r="D395" i="4"/>
  <c r="D396" i="4"/>
  <c r="D397" i="4"/>
  <c r="D398" i="4"/>
  <c r="D400" i="4"/>
  <c r="D401" i="4"/>
  <c r="D402" i="4"/>
  <c r="D403" i="4"/>
  <c r="D404" i="4"/>
  <c r="D405" i="4"/>
  <c r="D406" i="4"/>
  <c r="D407" i="4"/>
  <c r="D408" i="4"/>
  <c r="D410" i="4"/>
  <c r="D411" i="4"/>
  <c r="D412" i="4"/>
  <c r="D413" i="4"/>
  <c r="D414" i="4"/>
  <c r="D415" i="4"/>
  <c r="D416" i="4"/>
  <c r="D417" i="4"/>
  <c r="D418" i="4"/>
  <c r="D419" i="4"/>
  <c r="D420" i="4"/>
  <c r="D422" i="4"/>
  <c r="D423" i="4"/>
  <c r="D424" i="4"/>
  <c r="D425" i="4"/>
  <c r="D426" i="4"/>
  <c r="D427" i="4"/>
  <c r="D428" i="4"/>
  <c r="D429" i="4"/>
  <c r="D430" i="4"/>
  <c r="D431" i="4"/>
  <c r="D432" i="4"/>
  <c r="D434" i="4"/>
  <c r="D435" i="4"/>
  <c r="D437" i="4"/>
  <c r="D439" i="4"/>
  <c r="D440" i="4"/>
  <c r="D441" i="4"/>
  <c r="D442" i="4"/>
  <c r="D443" i="4"/>
  <c r="D444" i="4"/>
  <c r="D445" i="4"/>
  <c r="D448" i="4"/>
  <c r="D449" i="4"/>
  <c r="D450" i="4"/>
  <c r="D452" i="4"/>
  <c r="D453" i="4"/>
  <c r="D454" i="4"/>
  <c r="D455" i="4"/>
  <c r="D456" i="4"/>
  <c r="D457" i="4"/>
  <c r="D458" i="4"/>
  <c r="D459" i="4"/>
  <c r="D461" i="4"/>
  <c r="D462" i="4"/>
  <c r="D463" i="4"/>
  <c r="D464" i="4"/>
  <c r="D466" i="4"/>
  <c r="D467" i="4"/>
  <c r="D468" i="4"/>
  <c r="D469" i="4"/>
  <c r="D472" i="4"/>
  <c r="D473" i="4"/>
  <c r="D476" i="4"/>
  <c r="D478" i="4"/>
  <c r="D480" i="4"/>
  <c r="D481" i="4"/>
  <c r="D482" i="4"/>
  <c r="D483" i="4"/>
  <c r="D484" i="4"/>
  <c r="D485" i="4"/>
  <c r="D489" i="4"/>
  <c r="D491" i="4"/>
  <c r="D492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8" i="4"/>
  <c r="D510" i="4"/>
  <c r="D511" i="4"/>
  <c r="D512" i="4"/>
  <c r="D513" i="4"/>
  <c r="D514" i="4"/>
  <c r="D515" i="4"/>
  <c r="D516" i="4"/>
  <c r="D517" i="4"/>
  <c r="D518" i="4"/>
  <c r="D521" i="4"/>
  <c r="D523" i="4"/>
  <c r="D525" i="4"/>
  <c r="D526" i="4"/>
  <c r="D527" i="4"/>
  <c r="D528" i="4"/>
  <c r="D530" i="4"/>
  <c r="D531" i="4"/>
  <c r="D532" i="4"/>
  <c r="D533" i="4"/>
  <c r="D534" i="4"/>
  <c r="D535" i="4"/>
  <c r="D536" i="4"/>
  <c r="D539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8" i="4"/>
  <c r="D581" i="4"/>
  <c r="D582" i="4"/>
  <c r="D583" i="4"/>
  <c r="D586" i="4"/>
  <c r="D587" i="4"/>
  <c r="D589" i="4"/>
  <c r="D590" i="4"/>
  <c r="D591" i="4"/>
  <c r="D592" i="4"/>
  <c r="D593" i="4"/>
  <c r="D594" i="4"/>
  <c r="D595" i="4"/>
  <c r="D597" i="4"/>
  <c r="D598" i="4"/>
  <c r="D599" i="4"/>
  <c r="D600" i="4"/>
  <c r="D601" i="4"/>
  <c r="D602" i="4"/>
  <c r="D603" i="4"/>
  <c r="D604" i="4"/>
  <c r="D605" i="4"/>
  <c r="D608" i="4"/>
  <c r="D609" i="4"/>
  <c r="D610" i="4"/>
  <c r="D611" i="4"/>
  <c r="D612" i="4"/>
  <c r="D613" i="4"/>
  <c r="D614" i="4"/>
  <c r="D616" i="4"/>
  <c r="D617" i="4"/>
  <c r="D620" i="4"/>
  <c r="D621" i="4"/>
  <c r="D623" i="4"/>
  <c r="D625" i="4"/>
  <c r="D626" i="4"/>
  <c r="D627" i="4"/>
  <c r="D628" i="4"/>
  <c r="D629" i="4"/>
  <c r="D630" i="4"/>
  <c r="D632" i="4"/>
  <c r="D633" i="4"/>
  <c r="D634" i="4"/>
  <c r="D635" i="4"/>
  <c r="D637" i="4"/>
  <c r="D639" i="4"/>
  <c r="D640" i="4"/>
  <c r="D641" i="4"/>
  <c r="D642" i="4"/>
  <c r="D643" i="4"/>
  <c r="D644" i="4"/>
  <c r="D645" i="4"/>
  <c r="D646" i="4"/>
  <c r="D647" i="4"/>
  <c r="D648" i="4"/>
  <c r="D650" i="4"/>
  <c r="D656" i="4"/>
  <c r="D657" i="4"/>
  <c r="D658" i="4"/>
  <c r="D659" i="4"/>
  <c r="D663" i="4"/>
  <c r="D664" i="4"/>
  <c r="D665" i="4"/>
  <c r="D669" i="4"/>
  <c r="D670" i="4"/>
  <c r="D671" i="4"/>
  <c r="D672" i="4"/>
  <c r="D673" i="4"/>
  <c r="D676" i="4"/>
  <c r="D678" i="4"/>
  <c r="D679" i="4"/>
  <c r="D680" i="4"/>
  <c r="D681" i="4"/>
  <c r="D683" i="4"/>
  <c r="D686" i="4"/>
  <c r="D687" i="4"/>
  <c r="D688" i="4"/>
  <c r="D689" i="4"/>
  <c r="D694" i="4"/>
  <c r="D695" i="4"/>
  <c r="D696" i="4"/>
  <c r="D697" i="4"/>
  <c r="D699" i="4"/>
  <c r="D700" i="4"/>
  <c r="D701" i="4"/>
  <c r="D703" i="4"/>
  <c r="D704" i="4"/>
  <c r="D705" i="4"/>
  <c r="D707" i="4"/>
  <c r="D708" i="4"/>
  <c r="D710" i="4"/>
  <c r="D711" i="4"/>
  <c r="D714" i="4"/>
  <c r="D716" i="4"/>
  <c r="D720" i="4"/>
  <c r="D721" i="4"/>
  <c r="D723" i="4"/>
  <c r="D724" i="4"/>
  <c r="D725" i="4"/>
  <c r="D727" i="4"/>
  <c r="D728" i="4"/>
  <c r="D730" i="4"/>
  <c r="D731" i="4"/>
  <c r="D733" i="4"/>
  <c r="D736" i="4"/>
  <c r="D737" i="4"/>
  <c r="D739" i="4"/>
  <c r="D740" i="4"/>
  <c r="D741" i="4"/>
  <c r="D744" i="4"/>
  <c r="D745" i="4"/>
  <c r="D747" i="4"/>
  <c r="D748" i="4"/>
  <c r="D750" i="4"/>
  <c r="D751" i="4"/>
  <c r="D752" i="4"/>
  <c r="D753" i="4"/>
  <c r="D757" i="4"/>
  <c r="D760" i="4"/>
  <c r="D761" i="4"/>
  <c r="D762" i="4"/>
  <c r="D763" i="4"/>
  <c r="D764" i="4"/>
  <c r="D765" i="4"/>
  <c r="D767" i="4"/>
  <c r="D768" i="4"/>
  <c r="D769" i="4"/>
  <c r="D770" i="4"/>
  <c r="D772" i="4"/>
  <c r="D773" i="4"/>
  <c r="D774" i="4"/>
  <c r="D775" i="4"/>
  <c r="D776" i="4"/>
  <c r="D777" i="4"/>
  <c r="D778" i="4"/>
  <c r="D780" i="4"/>
  <c r="D782" i="4"/>
  <c r="D786" i="4"/>
  <c r="D788" i="4"/>
  <c r="D790" i="4"/>
  <c r="D792" i="4"/>
  <c r="D793" i="4"/>
  <c r="D794" i="4"/>
  <c r="D795" i="4"/>
  <c r="D797" i="4"/>
  <c r="D798" i="4"/>
  <c r="D799" i="4"/>
  <c r="D800" i="4"/>
  <c r="D803" i="4"/>
  <c r="D806" i="4"/>
  <c r="D807" i="4"/>
  <c r="D808" i="4"/>
  <c r="D810" i="4"/>
  <c r="D811" i="4"/>
  <c r="D813" i="4"/>
  <c r="D814" i="4"/>
  <c r="D815" i="4"/>
  <c r="D816" i="4"/>
  <c r="D817" i="4"/>
  <c r="D819" i="4"/>
  <c r="D820" i="4"/>
  <c r="D821" i="4"/>
  <c r="D822" i="4"/>
  <c r="D823" i="4"/>
  <c r="D824" i="4"/>
  <c r="D825" i="4"/>
  <c r="D826" i="4"/>
  <c r="D827" i="4"/>
  <c r="D829" i="4"/>
  <c r="D830" i="4"/>
  <c r="D831" i="4"/>
  <c r="D833" i="4"/>
  <c r="D835" i="4"/>
  <c r="D838" i="4"/>
  <c r="D839" i="4"/>
  <c r="D840" i="4"/>
  <c r="D841" i="4"/>
  <c r="D842" i="4"/>
  <c r="D843" i="4"/>
  <c r="D847" i="4"/>
  <c r="D848" i="4"/>
  <c r="D852" i="4"/>
  <c r="D853" i="4"/>
  <c r="D854" i="4"/>
  <c r="D856" i="4"/>
  <c r="D858" i="4"/>
  <c r="D860" i="4"/>
  <c r="D861" i="4"/>
  <c r="D862" i="4"/>
  <c r="D866" i="4"/>
  <c r="D867" i="4"/>
  <c r="D868" i="4"/>
  <c r="D869" i="4"/>
  <c r="D870" i="4"/>
  <c r="D874" i="4"/>
  <c r="D875" i="4"/>
  <c r="D876" i="4"/>
  <c r="D880" i="4"/>
  <c r="D885" i="4"/>
  <c r="D886" i="4"/>
  <c r="D887" i="4"/>
  <c r="D889" i="4"/>
  <c r="D890" i="4"/>
  <c r="D892" i="4"/>
  <c r="D893" i="4"/>
  <c r="D895" i="4"/>
  <c r="D897" i="4"/>
  <c r="D899" i="4"/>
  <c r="D900" i="4"/>
  <c r="D901" i="4"/>
  <c r="D902" i="4"/>
  <c r="D907" i="4"/>
  <c r="D908" i="4"/>
  <c r="D909" i="4"/>
  <c r="D910" i="4"/>
  <c r="D912" i="4"/>
  <c r="D913" i="4"/>
  <c r="D915" i="4"/>
  <c r="D916" i="4"/>
  <c r="D919" i="4"/>
  <c r="D921" i="4"/>
  <c r="D922" i="4"/>
  <c r="D923" i="4"/>
  <c r="D926" i="4"/>
  <c r="D927" i="4"/>
  <c r="D929" i="4"/>
  <c r="D931" i="4"/>
  <c r="D932" i="4"/>
  <c r="D934" i="4"/>
  <c r="D935" i="4"/>
  <c r="D936" i="4"/>
  <c r="D937" i="4"/>
  <c r="D938" i="4"/>
  <c r="D940" i="4"/>
  <c r="D941" i="4"/>
  <c r="D942" i="4"/>
  <c r="D943" i="4"/>
  <c r="D944" i="4"/>
  <c r="D946" i="4"/>
  <c r="D947" i="4"/>
  <c r="D948" i="4"/>
  <c r="D949" i="4"/>
  <c r="D950" i="4"/>
  <c r="D952" i="4"/>
  <c r="D954" i="4"/>
  <c r="D955" i="4"/>
  <c r="D956" i="4"/>
  <c r="D957" i="4"/>
  <c r="D958" i="4"/>
  <c r="D960" i="4"/>
  <c r="D961" i="4"/>
  <c r="D962" i="4"/>
  <c r="D964" i="4"/>
  <c r="D965" i="4"/>
  <c r="D966" i="4"/>
  <c r="D967" i="4"/>
  <c r="D969" i="4"/>
  <c r="D970" i="4"/>
  <c r="D971" i="4"/>
  <c r="D972" i="4"/>
  <c r="D973" i="4"/>
  <c r="D974" i="4"/>
  <c r="D975" i="4"/>
  <c r="D976" i="4"/>
  <c r="D977" i="4"/>
  <c r="D978" i="4"/>
  <c r="D979" i="4"/>
  <c r="D981" i="4"/>
  <c r="D982" i="4"/>
  <c r="D984" i="4"/>
  <c r="D987" i="4"/>
  <c r="D988" i="4"/>
  <c r="D989" i="4"/>
  <c r="D990" i="4"/>
  <c r="D992" i="4"/>
  <c r="D994" i="4"/>
  <c r="D995" i="4"/>
  <c r="D996" i="4"/>
  <c r="D997" i="4"/>
  <c r="D998" i="4"/>
  <c r="D1000" i="4"/>
  <c r="D1001" i="4"/>
  <c r="D1002" i="4"/>
  <c r="D1003" i="4"/>
  <c r="D1004" i="4"/>
  <c r="D1005" i="4"/>
  <c r="D1006" i="4"/>
  <c r="D1007" i="4"/>
  <c r="D1009" i="4"/>
  <c r="D1013" i="4"/>
  <c r="D1014" i="4"/>
  <c r="D1015" i="4"/>
  <c r="D1016" i="4"/>
  <c r="D1018" i="4"/>
  <c r="D1019" i="4"/>
  <c r="D1022" i="4"/>
  <c r="D1023" i="4"/>
  <c r="D1024" i="4"/>
  <c r="D1025" i="4"/>
  <c r="D1026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3" i="4"/>
  <c r="D1044" i="4"/>
  <c r="D1045" i="4"/>
  <c r="D1046" i="4"/>
  <c r="D1047" i="4"/>
  <c r="D1048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3" i="4"/>
  <c r="D1064" i="4"/>
  <c r="D1065" i="4"/>
  <c r="D1066" i="4"/>
  <c r="D1067" i="4"/>
  <c r="D1068" i="4"/>
  <c r="D1069" i="4"/>
  <c r="D1070" i="4"/>
  <c r="D1071" i="4"/>
  <c r="D1072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2" i="4"/>
  <c r="D1113" i="4"/>
  <c r="D1114" i="4"/>
  <c r="D1115" i="4"/>
  <c r="D1116" i="4"/>
  <c r="D1117" i="4"/>
  <c r="D1118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3" i="4"/>
  <c r="D1144" i="4"/>
  <c r="D1146" i="4"/>
  <c r="D1147" i="4"/>
  <c r="D1148" i="4"/>
  <c r="D1150" i="4"/>
  <c r="D1151" i="4"/>
  <c r="D1158" i="4"/>
  <c r="D1160" i="4"/>
  <c r="D1161" i="4"/>
  <c r="D1163" i="4"/>
  <c r="D1164" i="4"/>
  <c r="D1165" i="4"/>
  <c r="D1166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8" i="4"/>
  <c r="D1189" i="4"/>
  <c r="D1191" i="4"/>
  <c r="D1193" i="4"/>
  <c r="D1194" i="4"/>
  <c r="D1196" i="4"/>
  <c r="D1198" i="4"/>
  <c r="D1199" i="4"/>
  <c r="D1200" i="4"/>
  <c r="D1202" i="4"/>
  <c r="D1203" i="4"/>
  <c r="D1206" i="4"/>
  <c r="D1208" i="4"/>
  <c r="D1210" i="4"/>
  <c r="D1211" i="4"/>
  <c r="D1213" i="4"/>
  <c r="D1216" i="4"/>
  <c r="D1218" i="4"/>
  <c r="D1219" i="4"/>
  <c r="D1220" i="4"/>
  <c r="D1221" i="4"/>
  <c r="D1222" i="4"/>
  <c r="D1223" i="4"/>
  <c r="D1225" i="4"/>
  <c r="D1226" i="4"/>
  <c r="D1228" i="4"/>
  <c r="D1229" i="4"/>
  <c r="D1230" i="4"/>
  <c r="D1231" i="4"/>
  <c r="D1235" i="4"/>
  <c r="D1236" i="4"/>
  <c r="D1237" i="4"/>
  <c r="D1238" i="4"/>
  <c r="D1239" i="4"/>
  <c r="D1240" i="4"/>
  <c r="D1243" i="4"/>
  <c r="D1244" i="4"/>
  <c r="D1245" i="4"/>
  <c r="D1246" i="4"/>
  <c r="D1247" i="4"/>
  <c r="D1248" i="4"/>
  <c r="D1249" i="4"/>
  <c r="D1251" i="4"/>
  <c r="D1252" i="4"/>
  <c r="D1253" i="4"/>
  <c r="D1254" i="4"/>
  <c r="D1257" i="4"/>
  <c r="D1259" i="4"/>
  <c r="D1260" i="4"/>
  <c r="D1261" i="4"/>
  <c r="D1264" i="4"/>
  <c r="D1265" i="4"/>
  <c r="D1268" i="4"/>
  <c r="D1269" i="4"/>
  <c r="D1270" i="4"/>
  <c r="D1272" i="4"/>
  <c r="D1274" i="4"/>
  <c r="D1275" i="4"/>
  <c r="D1276" i="4"/>
  <c r="D1277" i="4"/>
  <c r="D1281" i="4"/>
  <c r="D1282" i="4"/>
  <c r="D1283" i="4"/>
  <c r="D1285" i="4"/>
  <c r="D1286" i="4"/>
  <c r="D1287" i="4"/>
  <c r="D1289" i="4"/>
  <c r="D1290" i="4"/>
  <c r="D1291" i="4"/>
  <c r="D1293" i="4"/>
  <c r="D1294" i="4"/>
  <c r="D1297" i="4"/>
  <c r="D1298" i="4"/>
  <c r="D1299" i="4"/>
  <c r="D1301" i="4"/>
  <c r="D1302" i="4"/>
  <c r="D1303" i="4"/>
  <c r="D1305" i="4"/>
  <c r="D1306" i="4"/>
  <c r="D1307" i="4"/>
  <c r="D1309" i="4"/>
  <c r="D1310" i="4"/>
  <c r="D1311" i="4"/>
  <c r="D1312" i="4"/>
  <c r="D1316" i="4"/>
  <c r="D1317" i="4"/>
  <c r="D1318" i="4"/>
  <c r="D1319" i="4"/>
  <c r="D1322" i="4"/>
  <c r="D1323" i="4"/>
  <c r="D1324" i="4"/>
  <c r="D1326" i="4"/>
  <c r="D1327" i="4"/>
  <c r="D1328" i="4"/>
  <c r="D1330" i="4"/>
  <c r="D1332" i="4"/>
  <c r="D1334" i="4"/>
  <c r="D1335" i="4"/>
  <c r="D1337" i="4"/>
  <c r="D1338" i="4"/>
  <c r="D1340" i="4"/>
  <c r="D1341" i="4"/>
  <c r="D1342" i="4"/>
  <c r="D1343" i="4"/>
  <c r="D1344" i="4"/>
  <c r="D1345" i="4"/>
  <c r="D1346" i="4"/>
  <c r="D1348" i="4"/>
  <c r="D1349" i="4"/>
  <c r="D1350" i="4"/>
  <c r="D1354" i="4"/>
  <c r="D1357" i="4"/>
  <c r="D1359" i="4"/>
  <c r="D1361" i="4"/>
  <c r="D1362" i="4"/>
  <c r="D1363" i="4"/>
  <c r="D1364" i="4"/>
  <c r="D1365" i="4"/>
  <c r="D1367" i="4"/>
  <c r="D1368" i="4"/>
  <c r="D1369" i="4"/>
  <c r="D1370" i="4"/>
  <c r="D1371" i="4"/>
  <c r="D1372" i="4"/>
  <c r="D1376" i="4"/>
  <c r="D1377" i="4"/>
  <c r="D1378" i="4"/>
  <c r="D1380" i="4"/>
  <c r="D1381" i="4"/>
  <c r="D1382" i="4"/>
  <c r="D1383" i="4"/>
  <c r="D1386" i="4"/>
  <c r="D1387" i="4"/>
  <c r="D1390" i="4"/>
  <c r="D1391" i="4"/>
  <c r="D1392" i="4"/>
  <c r="D1394" i="4"/>
  <c r="D1395" i="4"/>
  <c r="D1396" i="4"/>
  <c r="D1397" i="4"/>
  <c r="D1398" i="4"/>
  <c r="D1399" i="4"/>
  <c r="D1400" i="4"/>
  <c r="D1402" i="4"/>
  <c r="D1405" i="4"/>
  <c r="D1407" i="4"/>
  <c r="D1408" i="4"/>
  <c r="D1410" i="4"/>
  <c r="D1412" i="4"/>
  <c r="D1413" i="4"/>
  <c r="D1414" i="4"/>
  <c r="D1418" i="4"/>
  <c r="D1420" i="4"/>
  <c r="D1421" i="4"/>
  <c r="D1423" i="4"/>
  <c r="D1424" i="4"/>
  <c r="D1425" i="4"/>
  <c r="D1428" i="4"/>
  <c r="D1429" i="4"/>
  <c r="D1431" i="4"/>
  <c r="D1432" i="4"/>
  <c r="D1433" i="4"/>
  <c r="D1436" i="4"/>
  <c r="D1438" i="4"/>
  <c r="D1440" i="4"/>
  <c r="D1441" i="4"/>
  <c r="D1442" i="4"/>
  <c r="D1443" i="4"/>
  <c r="D1444" i="4"/>
  <c r="D1445" i="4"/>
  <c r="D1446" i="4"/>
  <c r="D1449" i="4"/>
  <c r="D1450" i="4"/>
  <c r="D1452" i="4"/>
  <c r="D1453" i="4"/>
  <c r="D1454" i="4"/>
  <c r="D1456" i="4"/>
  <c r="D1457" i="4"/>
  <c r="D1458" i="4"/>
  <c r="D1460" i="4"/>
  <c r="D1461" i="4"/>
  <c r="D1462" i="4"/>
  <c r="D1463" i="4"/>
  <c r="D1467" i="4"/>
  <c r="D1469" i="4"/>
  <c r="D1470" i="4"/>
  <c r="D1471" i="4"/>
  <c r="D1472" i="4"/>
  <c r="D1473" i="4"/>
  <c r="D1474" i="4"/>
  <c r="D1475" i="4"/>
  <c r="D1476" i="4"/>
  <c r="D1478" i="4"/>
  <c r="D1479" i="4"/>
  <c r="D1481" i="4"/>
  <c r="D1482" i="4"/>
  <c r="D1483" i="4"/>
  <c r="D1484" i="4"/>
  <c r="D1485" i="4"/>
  <c r="D1486" i="4"/>
  <c r="D1488" i="4"/>
  <c r="D1490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6" i="4"/>
  <c r="D1507" i="4"/>
  <c r="D1508" i="4"/>
  <c r="D1509" i="4"/>
  <c r="D1510" i="4"/>
  <c r="D1511" i="4"/>
  <c r="D1512" i="4"/>
  <c r="D1517" i="4"/>
  <c r="D1518" i="4"/>
  <c r="D1519" i="4"/>
  <c r="D1520" i="4"/>
  <c r="D1522" i="4"/>
  <c r="D1524" i="4"/>
  <c r="D1525" i="4"/>
  <c r="D1526" i="4"/>
  <c r="D1527" i="4"/>
  <c r="D1528" i="4"/>
  <c r="D1530" i="4"/>
  <c r="D1531" i="4"/>
  <c r="D1533" i="4"/>
  <c r="D1536" i="4"/>
  <c r="D1537" i="4"/>
  <c r="D1539" i="4"/>
  <c r="D1540" i="4"/>
  <c r="D1541" i="4"/>
  <c r="D1542" i="4"/>
  <c r="D1545" i="4"/>
  <c r="D1547" i="4"/>
  <c r="D1548" i="4"/>
  <c r="D1549" i="4"/>
  <c r="D1551" i="4"/>
  <c r="D1553" i="4"/>
  <c r="D1555" i="4"/>
  <c r="D1556" i="4"/>
  <c r="D1557" i="4"/>
  <c r="D1558" i="4"/>
  <c r="D1561" i="4"/>
  <c r="D1562" i="4"/>
  <c r="D1563" i="4"/>
  <c r="D1564" i="4"/>
  <c r="D1565" i="4"/>
  <c r="D1566" i="4"/>
  <c r="D1567" i="4"/>
  <c r="D1568" i="4"/>
  <c r="D1569" i="4"/>
  <c r="D1570" i="4"/>
  <c r="D1572" i="4"/>
  <c r="D1574" i="4"/>
  <c r="D1575" i="4"/>
  <c r="D1577" i="4"/>
  <c r="D1578" i="4"/>
  <c r="D1579" i="4"/>
  <c r="D1580" i="4"/>
  <c r="D1581" i="4"/>
  <c r="D1582" i="4"/>
  <c r="D1583" i="4"/>
  <c r="D1584" i="4"/>
  <c r="D1587" i="4"/>
  <c r="D1588" i="4"/>
  <c r="D1589" i="4"/>
  <c r="D1590" i="4"/>
  <c r="D1591" i="4"/>
  <c r="D1592" i="4"/>
  <c r="D1593" i="4"/>
  <c r="D1595" i="4"/>
  <c r="D1596" i="4"/>
  <c r="D1597" i="4"/>
  <c r="D1599" i="4"/>
  <c r="D1600" i="4"/>
  <c r="D1603" i="4"/>
  <c r="D1604" i="4"/>
  <c r="D1605" i="4"/>
  <c r="D1607" i="4"/>
  <c r="D1609" i="4"/>
  <c r="D1610" i="4"/>
  <c r="D1611" i="4"/>
  <c r="D1612" i="4"/>
  <c r="D1613" i="4"/>
  <c r="D1614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5" i="4"/>
  <c r="D1636" i="4"/>
  <c r="D1638" i="4"/>
  <c r="D1640" i="4"/>
  <c r="D1642" i="4"/>
  <c r="D1645" i="4"/>
  <c r="D1646" i="4"/>
  <c r="D1648" i="4"/>
  <c r="D1650" i="4"/>
  <c r="D1651" i="4"/>
  <c r="D1652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1" i="4"/>
  <c r="D1692" i="4"/>
  <c r="D1693" i="4"/>
  <c r="D1694" i="4"/>
  <c r="D1695" i="4"/>
  <c r="D1696" i="4"/>
  <c r="D1697" i="4"/>
  <c r="D1698" i="4"/>
  <c r="D1699" i="4"/>
  <c r="D1700" i="4"/>
  <c r="D1706" i="4"/>
  <c r="D1707" i="4"/>
  <c r="D1708" i="4"/>
  <c r="D1709" i="4"/>
  <c r="D1710" i="4"/>
  <c r="D1711" i="4"/>
  <c r="D1713" i="4"/>
  <c r="D1714" i="4"/>
  <c r="D1715" i="4"/>
  <c r="D1716" i="4"/>
  <c r="D1717" i="4"/>
  <c r="D1718" i="4"/>
  <c r="D1720" i="4"/>
  <c r="D1721" i="4"/>
  <c r="D1725" i="4"/>
  <c r="D1726" i="4"/>
  <c r="D1727" i="4"/>
  <c r="D1728" i="4"/>
  <c r="D1730" i="4"/>
  <c r="D1733" i="4"/>
  <c r="D1735" i="4"/>
  <c r="D1736" i="4"/>
  <c r="D1738" i="4"/>
  <c r="D1741" i="4"/>
  <c r="D1743" i="4"/>
  <c r="D1744" i="4"/>
  <c r="D1745" i="4"/>
  <c r="D1748" i="4"/>
  <c r="D1750" i="4"/>
  <c r="D1751" i="4"/>
  <c r="D1754" i="4"/>
  <c r="D1755" i="4"/>
  <c r="D1756" i="4"/>
  <c r="D1757" i="4"/>
  <c r="D1759" i="4"/>
  <c r="D1762" i="4"/>
  <c r="D1765" i="4"/>
  <c r="D1766" i="4"/>
  <c r="D1771" i="4"/>
  <c r="D1772" i="4"/>
  <c r="D1773" i="4"/>
  <c r="D1775" i="4"/>
  <c r="D1779" i="4"/>
  <c r="D1781" i="4"/>
  <c r="D1782" i="4"/>
  <c r="D1783" i="4"/>
  <c r="D1785" i="4"/>
  <c r="D1787" i="4"/>
  <c r="D1789" i="4"/>
  <c r="D1791" i="4"/>
  <c r="D1792" i="4"/>
  <c r="D1793" i="4"/>
  <c r="D1794" i="4"/>
  <c r="D1795" i="4"/>
  <c r="D1796" i="4"/>
  <c r="D1797" i="4"/>
  <c r="D1798" i="4"/>
  <c r="D1799" i="4"/>
  <c r="D1800" i="4"/>
  <c r="D1801" i="4"/>
  <c r="D1805" i="4"/>
  <c r="D1806" i="4"/>
  <c r="D1807" i="4"/>
  <c r="D1808" i="4"/>
  <c r="D1809" i="4"/>
  <c r="D1811" i="4"/>
  <c r="D1812" i="4"/>
  <c r="D1813" i="4"/>
  <c r="D1814" i="4"/>
  <c r="D1815" i="4"/>
  <c r="D1816" i="4"/>
  <c r="D1817" i="4"/>
  <c r="D1820" i="4"/>
  <c r="D1821" i="4"/>
  <c r="D1822" i="4"/>
  <c r="D1823" i="4"/>
  <c r="D1827" i="4"/>
  <c r="D1828" i="4"/>
  <c r="D1829" i="4"/>
  <c r="D1830" i="4"/>
  <c r="D1831" i="4"/>
  <c r="D1832" i="4"/>
  <c r="D1834" i="4"/>
  <c r="D1835" i="4"/>
  <c r="D1836" i="4"/>
  <c r="D1838" i="4"/>
  <c r="D1839" i="4"/>
  <c r="D1840" i="4"/>
  <c r="D1842" i="4"/>
  <c r="D1843" i="4"/>
  <c r="D1846" i="4"/>
  <c r="D1849" i="4"/>
  <c r="D1851" i="4"/>
  <c r="D1854" i="4"/>
  <c r="D1855" i="4"/>
  <c r="D1857" i="4"/>
  <c r="D1858" i="4"/>
  <c r="D1859" i="4"/>
  <c r="D1860" i="4"/>
  <c r="D1861" i="4"/>
  <c r="D1862" i="4"/>
  <c r="D1864" i="4"/>
  <c r="D1865" i="4"/>
  <c r="D1868" i="4"/>
  <c r="D1869" i="4"/>
  <c r="D1870" i="4"/>
  <c r="D1872" i="4"/>
  <c r="D1873" i="4"/>
  <c r="D1874" i="4"/>
  <c r="D1875" i="4"/>
  <c r="D1876" i="4"/>
  <c r="D1877" i="4"/>
  <c r="D1878" i="4"/>
  <c r="D1883" i="4"/>
  <c r="D1885" i="4"/>
  <c r="D1886" i="4"/>
  <c r="D1887" i="4"/>
  <c r="D1888" i="4"/>
  <c r="D1889" i="4"/>
  <c r="D1890" i="4"/>
  <c r="D1891" i="4"/>
  <c r="D1892" i="4"/>
  <c r="D1893" i="4"/>
  <c r="D1895" i="4"/>
  <c r="D1896" i="4"/>
  <c r="D1897" i="4"/>
  <c r="D1898" i="4"/>
  <c r="D1899" i="4"/>
  <c r="D1901" i="4"/>
  <c r="D1902" i="4"/>
  <c r="D1906" i="4"/>
  <c r="D1910" i="4"/>
  <c r="D1913" i="4"/>
  <c r="D1915" i="4"/>
  <c r="D1917" i="4"/>
  <c r="D1921" i="4"/>
  <c r="D1922" i="4"/>
  <c r="D1923" i="4"/>
  <c r="D1924" i="4"/>
  <c r="D1925" i="4"/>
  <c r="D1926" i="4"/>
  <c r="D1927" i="4"/>
  <c r="D1928" i="4"/>
  <c r="D1929" i="4"/>
  <c r="D1930" i="4"/>
  <c r="D1932" i="4"/>
  <c r="D1933" i="4"/>
  <c r="D1934" i="4"/>
  <c r="D1938" i="4"/>
  <c r="D1939" i="4"/>
  <c r="D1940" i="4"/>
  <c r="D1941" i="4"/>
  <c r="D1942" i="4"/>
  <c r="D1944" i="4"/>
  <c r="D1945" i="4"/>
  <c r="D1946" i="4"/>
  <c r="D1948" i="4"/>
  <c r="D1949" i="4"/>
  <c r="D1952" i="4"/>
  <c r="D1954" i="4"/>
  <c r="D1958" i="4"/>
  <c r="D1959" i="4"/>
  <c r="D1960" i="4"/>
  <c r="D1962" i="4"/>
  <c r="D1965" i="4"/>
  <c r="D1967" i="4"/>
  <c r="D1968" i="4"/>
  <c r="D1969" i="4"/>
  <c r="D1970" i="4"/>
  <c r="D1972" i="4"/>
  <c r="D1973" i="4"/>
  <c r="D1976" i="4"/>
  <c r="D1978" i="4"/>
  <c r="D1979" i="4"/>
  <c r="D1981" i="4"/>
  <c r="D1982" i="4"/>
  <c r="D1983" i="4"/>
  <c r="D1984" i="4"/>
  <c r="D1985" i="4"/>
  <c r="D1986" i="4"/>
  <c r="D1987" i="4"/>
  <c r="D1988" i="4"/>
  <c r="D1989" i="4"/>
  <c r="D1991" i="4"/>
  <c r="D1992" i="4"/>
  <c r="D1993" i="4"/>
  <c r="D1995" i="4"/>
  <c r="D1996" i="4"/>
  <c r="D1997" i="4"/>
  <c r="D1999" i="4"/>
  <c r="D2000" i="4"/>
  <c r="D2001" i="4"/>
  <c r="D2003" i="4"/>
  <c r="D2004" i="4"/>
  <c r="D2005" i="4"/>
  <c r="D2006" i="4"/>
  <c r="D2007" i="4"/>
  <c r="D2009" i="4"/>
  <c r="D2010" i="4"/>
  <c r="D2015" i="4"/>
  <c r="D2016" i="4"/>
  <c r="D2019" i="4"/>
  <c r="D2020" i="4"/>
  <c r="D2021" i="4"/>
  <c r="D2022" i="4"/>
  <c r="D2023" i="4"/>
  <c r="D2024" i="4"/>
  <c r="D2025" i="4"/>
  <c r="D2027" i="4"/>
  <c r="D2030" i="4"/>
  <c r="D2031" i="4"/>
  <c r="D2032" i="4"/>
  <c r="D2033" i="4"/>
  <c r="D2034" i="4"/>
  <c r="D2035" i="4"/>
  <c r="D2036" i="4"/>
  <c r="D2037" i="4"/>
  <c r="D2038" i="4"/>
  <c r="D2039" i="4"/>
  <c r="D2042" i="4"/>
  <c r="D2043" i="4"/>
  <c r="D2044" i="4"/>
  <c r="D2045" i="4"/>
  <c r="D2046" i="4"/>
  <c r="D2047" i="4"/>
  <c r="D2048" i="4"/>
  <c r="D2049" i="4"/>
  <c r="D2050" i="4"/>
  <c r="D2052" i="4"/>
  <c r="D2053" i="4"/>
  <c r="D2054" i="4"/>
  <c r="D2055" i="4"/>
  <c r="D2056" i="4"/>
  <c r="D2057" i="4"/>
  <c r="D2058" i="4"/>
  <c r="D2061" i="4"/>
  <c r="D2062" i="4"/>
  <c r="D2064" i="4"/>
  <c r="D2066" i="4"/>
  <c r="D2067" i="4"/>
  <c r="D2068" i="4"/>
  <c r="D2069" i="4"/>
  <c r="D2070" i="4"/>
  <c r="D2071" i="4"/>
  <c r="D2072" i="4"/>
  <c r="D2073" i="4"/>
  <c r="D2076" i="4"/>
  <c r="D2077" i="4"/>
  <c r="D2079" i="4"/>
  <c r="D2083" i="4"/>
  <c r="D2084" i="4"/>
  <c r="D2086" i="4"/>
  <c r="D2087" i="4"/>
  <c r="D2090" i="4"/>
  <c r="D2091" i="4"/>
  <c r="D2092" i="4"/>
  <c r="D2093" i="4"/>
  <c r="D2097" i="4"/>
  <c r="D2098" i="4"/>
  <c r="D2101" i="4"/>
  <c r="D2102" i="4"/>
  <c r="D2103" i="4"/>
  <c r="D2104" i="4"/>
  <c r="D2107" i="4"/>
  <c r="D2108" i="4"/>
  <c r="D2110" i="4"/>
  <c r="D2111" i="4"/>
  <c r="D2112" i="4"/>
  <c r="D2113" i="4"/>
  <c r="D2114" i="4"/>
  <c r="D2115" i="4"/>
  <c r="D2116" i="4"/>
  <c r="D2117" i="4"/>
  <c r="D2118" i="4"/>
  <c r="D2119" i="4"/>
  <c r="D2122" i="4"/>
  <c r="D2123" i="4"/>
  <c r="D2125" i="4"/>
  <c r="D2126" i="4"/>
  <c r="D2127" i="4"/>
  <c r="D2129" i="4"/>
  <c r="D2130" i="4"/>
  <c r="D2131" i="4"/>
  <c r="D2134" i="4"/>
  <c r="D2135" i="4"/>
  <c r="D2136" i="4"/>
  <c r="D2137" i="4"/>
  <c r="D2138" i="4"/>
  <c r="D2139" i="4"/>
  <c r="D2144" i="4"/>
  <c r="D2145" i="4"/>
  <c r="D2147" i="4"/>
  <c r="D2151" i="4"/>
  <c r="D2152" i="4"/>
  <c r="D2153" i="4"/>
  <c r="D2155" i="4"/>
  <c r="D2158" i="4"/>
  <c r="D2160" i="4"/>
  <c r="D2161" i="4"/>
  <c r="D2162" i="4"/>
  <c r="D2163" i="4"/>
  <c r="D2164" i="4"/>
  <c r="D2166" i="4"/>
  <c r="D2168" i="4"/>
  <c r="D2169" i="4"/>
  <c r="D2171" i="4"/>
  <c r="D2172" i="4"/>
  <c r="D2173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3" i="4"/>
  <c r="D2194" i="4"/>
  <c r="D2196" i="4"/>
  <c r="D2197" i="4"/>
  <c r="D2198" i="4"/>
  <c r="D2199" i="4"/>
  <c r="D2200" i="4"/>
  <c r="D2201" i="4"/>
  <c r="D2202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4" i="4"/>
  <c r="D2225" i="4"/>
  <c r="D2226" i="4"/>
  <c r="D2227" i="4"/>
  <c r="D2228" i="4"/>
  <c r="D2229" i="4"/>
  <c r="D2230" i="4"/>
  <c r="D2233" i="4"/>
  <c r="D2235" i="4"/>
  <c r="D2236" i="4"/>
  <c r="D2237" i="4"/>
  <c r="D2239" i="4"/>
  <c r="D2240" i="4"/>
  <c r="D2241" i="4"/>
  <c r="D2243" i="4"/>
  <c r="D2244" i="4"/>
  <c r="D2246" i="4"/>
  <c r="D2247" i="4"/>
  <c r="D2248" i="4"/>
  <c r="D2249" i="4"/>
  <c r="D2250" i="4"/>
  <c r="D2251" i="4"/>
  <c r="D2252" i="4"/>
  <c r="D2255" i="4"/>
  <c r="D2256" i="4"/>
  <c r="D2257" i="4"/>
  <c r="D2259" i="4"/>
  <c r="D2261" i="4"/>
  <c r="D2263" i="4"/>
  <c r="D2266" i="4"/>
  <c r="D2267" i="4"/>
  <c r="D2268" i="4"/>
  <c r="D2269" i="4"/>
  <c r="D2270" i="4"/>
  <c r="D2271" i="4"/>
  <c r="D2272" i="4"/>
  <c r="D2273" i="4"/>
  <c r="D2275" i="4"/>
  <c r="D2281" i="4"/>
  <c r="D2282" i="4"/>
  <c r="D2283" i="4"/>
  <c r="D2284" i="4"/>
  <c r="D2285" i="4"/>
  <c r="D2288" i="4"/>
  <c r="D2289" i="4"/>
  <c r="D2290" i="4"/>
  <c r="D2292" i="4"/>
  <c r="D2294" i="4"/>
  <c r="D2296" i="4"/>
  <c r="D2297" i="4"/>
  <c r="D2298" i="4"/>
  <c r="D2299" i="4"/>
  <c r="D2302" i="4"/>
  <c r="D2305" i="4"/>
  <c r="D2306" i="4"/>
  <c r="D2307" i="4"/>
  <c r="D2309" i="4"/>
  <c r="D2310" i="4"/>
  <c r="D2311" i="4"/>
  <c r="D2312" i="4"/>
  <c r="D2314" i="4"/>
  <c r="D2315" i="4"/>
  <c r="D2316" i="4"/>
  <c r="D2317" i="4"/>
  <c r="D2318" i="4"/>
  <c r="D2320" i="4"/>
  <c r="D2323" i="4"/>
  <c r="D2324" i="4"/>
  <c r="D2325" i="4"/>
  <c r="D2327" i="4"/>
  <c r="D2328" i="4"/>
  <c r="D2329" i="4"/>
  <c r="D2330" i="4"/>
  <c r="D2331" i="4"/>
  <c r="D2332" i="4"/>
  <c r="D2333" i="4"/>
  <c r="D2334" i="4"/>
  <c r="D2335" i="4"/>
  <c r="D2336" i="4"/>
  <c r="D2337" i="4"/>
  <c r="D2338" i="4"/>
  <c r="D2339" i="4"/>
  <c r="D2340" i="4"/>
  <c r="D2341" i="4"/>
  <c r="D2342" i="4"/>
  <c r="D2343" i="4"/>
  <c r="D2344" i="4"/>
  <c r="D2345" i="4"/>
  <c r="D2346" i="4"/>
  <c r="D2347" i="4"/>
  <c r="D2349" i="4"/>
  <c r="D2350" i="4"/>
  <c r="D2351" i="4"/>
  <c r="D2352" i="4"/>
  <c r="D2354" i="4"/>
  <c r="D2355" i="4"/>
  <c r="D2356" i="4"/>
  <c r="D2358" i="4"/>
  <c r="D2359" i="4"/>
  <c r="D2361" i="4"/>
  <c r="D2362" i="4"/>
  <c r="D2363" i="4"/>
  <c r="D2364" i="4"/>
  <c r="D2366" i="4"/>
  <c r="D2367" i="4"/>
  <c r="D2368" i="4"/>
  <c r="D2369" i="4"/>
  <c r="D2370" i="4"/>
  <c r="D2373" i="4"/>
  <c r="D2374" i="4"/>
  <c r="D2375" i="4"/>
  <c r="D2376" i="4"/>
  <c r="D2377" i="4"/>
  <c r="D2380" i="4"/>
  <c r="D2381" i="4"/>
  <c r="D2382" i="4"/>
  <c r="D2383" i="4"/>
  <c r="D2384" i="4"/>
  <c r="D2385" i="4"/>
  <c r="D2387" i="4"/>
  <c r="D2388" i="4"/>
  <c r="D2389" i="4"/>
  <c r="D2390" i="4"/>
  <c r="D2391" i="4"/>
  <c r="D2392" i="4"/>
  <c r="D2393" i="4"/>
  <c r="D2394" i="4"/>
  <c r="D2395" i="4"/>
  <c r="D2396" i="4"/>
  <c r="D2397" i="4"/>
  <c r="D2398" i="4"/>
  <c r="D2399" i="4"/>
  <c r="D2400" i="4"/>
  <c r="D2401" i="4"/>
  <c r="D2402" i="4"/>
  <c r="D2404" i="4"/>
  <c r="D2405" i="4"/>
  <c r="D2407" i="4"/>
  <c r="D2409" i="4"/>
  <c r="D2410" i="4"/>
  <c r="D2413" i="4"/>
  <c r="D2414" i="4"/>
  <c r="D2417" i="4"/>
  <c r="D2424" i="4"/>
  <c r="D2426" i="4"/>
  <c r="D2429" i="4"/>
  <c r="D2430" i="4"/>
  <c r="D2431" i="4"/>
  <c r="D2435" i="4"/>
  <c r="D2438" i="4"/>
  <c r="D2439" i="4"/>
  <c r="D2440" i="4"/>
  <c r="D2441" i="4"/>
  <c r="D2444" i="4"/>
  <c r="D2445" i="4"/>
  <c r="D2446" i="4"/>
  <c r="D2449" i="4"/>
  <c r="D2452" i="4"/>
  <c r="D2456" i="4"/>
  <c r="D2459" i="4"/>
  <c r="D2461" i="4"/>
  <c r="D2462" i="4"/>
  <c r="D2463" i="4"/>
  <c r="D2467" i="4"/>
  <c r="D2470" i="4"/>
  <c r="D2473" i="4"/>
  <c r="D2479" i="4"/>
  <c r="D2485" i="4"/>
  <c r="D2490" i="4"/>
  <c r="D2491" i="4"/>
  <c r="D2492" i="4"/>
  <c r="D2496" i="4"/>
  <c r="D2499" i="4"/>
  <c r="D2501" i="4"/>
  <c r="D2502" i="4"/>
  <c r="D2505" i="4"/>
  <c r="D2507" i="4"/>
  <c r="D2509" i="4"/>
  <c r="D2512" i="4"/>
  <c r="D2513" i="4"/>
  <c r="D2515" i="4"/>
  <c r="D2517" i="4"/>
  <c r="D2520" i="4"/>
  <c r="D2521" i="4"/>
  <c r="D2522" i="4"/>
  <c r="D2523" i="4"/>
  <c r="D2524" i="4"/>
  <c r="D2525" i="4"/>
  <c r="D2526" i="4"/>
  <c r="D2528" i="4"/>
  <c r="D2531" i="4"/>
  <c r="D2532" i="4"/>
  <c r="D2533" i="4"/>
  <c r="D2535" i="4"/>
  <c r="D2538" i="4"/>
  <c r="D2540" i="4"/>
  <c r="D2541" i="4"/>
  <c r="D2542" i="4"/>
  <c r="D2545" i="4"/>
  <c r="D2546" i="4"/>
  <c r="D2547" i="4"/>
  <c r="D2549" i="4"/>
  <c r="D2550" i="4"/>
  <c r="D2552" i="4"/>
  <c r="D2553" i="4"/>
  <c r="D2554" i="4"/>
  <c r="D2555" i="4"/>
  <c r="D2556" i="4"/>
  <c r="D2557" i="4"/>
  <c r="D2558" i="4"/>
  <c r="D2560" i="4"/>
  <c r="D2561" i="4"/>
  <c r="D2562" i="4"/>
  <c r="D2564" i="4"/>
  <c r="D2565" i="4"/>
  <c r="D2566" i="4"/>
  <c r="D2570" i="4"/>
  <c r="D2572" i="4"/>
  <c r="D2573" i="4"/>
  <c r="D2574" i="4"/>
  <c r="D2575" i="4"/>
  <c r="D2579" i="4"/>
  <c r="D2580" i="4"/>
  <c r="D2583" i="4"/>
  <c r="D2584" i="4"/>
  <c r="D2587" i="4"/>
  <c r="D2589" i="4"/>
  <c r="D2590" i="4"/>
  <c r="D2593" i="4"/>
  <c r="D2594" i="4"/>
  <c r="D2595" i="4"/>
  <c r="D2597" i="4"/>
  <c r="D2599" i="4"/>
  <c r="D2600" i="4"/>
  <c r="D2601" i="4"/>
  <c r="D2602" i="4"/>
  <c r="F4" i="12"/>
  <c r="A8" i="12"/>
  <c r="A4" i="12"/>
  <c r="D3" i="2" a="1"/>
  <c r="D3" i="2"/>
  <c r="D4" i="2" a="1"/>
  <c r="D4" i="2"/>
  <c r="D5" i="2" a="1"/>
  <c r="D5" i="2"/>
  <c r="D6" i="2" a="1"/>
  <c r="D6" i="2"/>
  <c r="D7" i="2" a="1"/>
  <c r="D7" i="2"/>
  <c r="D8" i="2" a="1"/>
  <c r="D8" i="2"/>
  <c r="D9" i="2" a="1"/>
  <c r="D9" i="2"/>
  <c r="D10" i="2" a="1"/>
  <c r="D10" i="2"/>
  <c r="D11" i="2" a="1"/>
  <c r="D11" i="2"/>
  <c r="D12" i="2" a="1"/>
  <c r="D12" i="2"/>
  <c r="D13" i="2" a="1"/>
  <c r="D13" i="2"/>
  <c r="D14" i="2" a="1"/>
  <c r="D14" i="2"/>
  <c r="D15" i="2" a="1"/>
  <c r="D15" i="2"/>
  <c r="D16" i="2" a="1"/>
  <c r="D16" i="2"/>
  <c r="D17" i="2" a="1"/>
  <c r="D17" i="2"/>
  <c r="D18" i="2" a="1"/>
  <c r="D18" i="2"/>
  <c r="D19" i="2" a="1"/>
  <c r="D19" i="2"/>
  <c r="D20" i="2" a="1"/>
  <c r="D20" i="2"/>
  <c r="D21" i="2" a="1"/>
  <c r="D21" i="2"/>
  <c r="D22" i="2" a="1"/>
  <c r="D22" i="2"/>
  <c r="D23" i="2" a="1"/>
  <c r="D23" i="2"/>
  <c r="D24" i="2" a="1"/>
  <c r="D24" i="2"/>
  <c r="D25" i="2" a="1"/>
  <c r="D25" i="2"/>
  <c r="D26" i="2" a="1"/>
  <c r="D26" i="2"/>
  <c r="D27" i="2" a="1"/>
  <c r="D27" i="2"/>
  <c r="D28" i="2" a="1"/>
  <c r="D28" i="2"/>
  <c r="D29" i="2" a="1"/>
  <c r="D29" i="2"/>
  <c r="D30" i="2" a="1"/>
  <c r="D30" i="2"/>
  <c r="D31" i="2" a="1"/>
  <c r="D31" i="2"/>
  <c r="D32" i="2" a="1"/>
  <c r="D32" i="2"/>
  <c r="D33" i="2" a="1"/>
  <c r="D33" i="2"/>
  <c r="D34" i="2" a="1"/>
  <c r="D34" i="2"/>
  <c r="D35" i="2" a="1"/>
  <c r="D35" i="2"/>
  <c r="D36" i="2" a="1"/>
  <c r="D36" i="2"/>
  <c r="D37" i="2" a="1"/>
  <c r="D37" i="2"/>
  <c r="D38" i="2" a="1"/>
  <c r="D38" i="2"/>
  <c r="D39" i="2" a="1"/>
  <c r="D39" i="2"/>
  <c r="D40" i="2" a="1"/>
  <c r="D40" i="2"/>
  <c r="D41" i="2" a="1"/>
  <c r="D41" i="2"/>
  <c r="D42" i="2" a="1"/>
  <c r="D42" i="2"/>
  <c r="D43" i="2" a="1"/>
  <c r="D43" i="2"/>
  <c r="D44" i="2" a="1"/>
  <c r="D44" i="2"/>
  <c r="D45" i="2" a="1"/>
  <c r="D45" i="2"/>
  <c r="D46" i="2" a="1"/>
  <c r="D46" i="2"/>
  <c r="D47" i="2" a="1"/>
  <c r="D47" i="2"/>
  <c r="D48" i="2" a="1"/>
  <c r="D48" i="2"/>
  <c r="D49" i="2" a="1"/>
  <c r="D49" i="2"/>
  <c r="D50" i="2" a="1"/>
  <c r="D50" i="2"/>
  <c r="D51" i="2" a="1"/>
  <c r="D51" i="2"/>
  <c r="D52" i="2" a="1"/>
  <c r="D52" i="2"/>
  <c r="D53" i="2" a="1"/>
  <c r="D53" i="2"/>
  <c r="D54" i="2" a="1"/>
  <c r="D54" i="2"/>
  <c r="D55" i="2" a="1"/>
  <c r="D55" i="2"/>
  <c r="D56" i="2" a="1"/>
  <c r="D56" i="2"/>
  <c r="D57" i="2" a="1"/>
  <c r="D57" i="2"/>
  <c r="D58" i="2" a="1"/>
  <c r="D58" i="2"/>
  <c r="D59" i="2" a="1"/>
  <c r="D59" i="2"/>
  <c r="D60" i="2" a="1"/>
  <c r="D60" i="2"/>
  <c r="D61" i="2" a="1"/>
  <c r="D61" i="2"/>
  <c r="D62" i="2" a="1"/>
  <c r="D62" i="2"/>
  <c r="D63" i="2" a="1"/>
  <c r="D63" i="2"/>
  <c r="D64" i="2" a="1"/>
  <c r="D64" i="2"/>
  <c r="D65" i="2" a="1"/>
  <c r="D65" i="2"/>
  <c r="D66" i="2" a="1"/>
  <c r="D66" i="2"/>
  <c r="D67" i="2" a="1"/>
  <c r="D67" i="2"/>
  <c r="D68" i="2" a="1"/>
  <c r="D68" i="2"/>
  <c r="D69" i="2" a="1"/>
  <c r="D69" i="2"/>
  <c r="D70" i="2" a="1"/>
  <c r="D70" i="2"/>
  <c r="D71" i="2" a="1"/>
  <c r="D71" i="2"/>
  <c r="D72" i="2" a="1"/>
  <c r="D72" i="2"/>
  <c r="D73" i="2" a="1"/>
  <c r="D73" i="2"/>
  <c r="D74" i="2" a="1"/>
  <c r="D74" i="2"/>
  <c r="D75" i="2" a="1"/>
  <c r="D75" i="2"/>
  <c r="D76" i="2" a="1"/>
  <c r="D76" i="2"/>
  <c r="D77" i="2" a="1"/>
  <c r="D77" i="2"/>
  <c r="D78" i="2" a="1"/>
  <c r="D78" i="2"/>
  <c r="D79" i="2" a="1"/>
  <c r="D79" i="2"/>
  <c r="D80" i="2" a="1"/>
  <c r="D80" i="2"/>
  <c r="D81" i="2" a="1"/>
  <c r="D81" i="2"/>
  <c r="D82" i="2" a="1"/>
  <c r="D82" i="2"/>
  <c r="D83" i="2" a="1"/>
  <c r="D83" i="2"/>
  <c r="D84" i="2" a="1"/>
  <c r="D84" i="2"/>
  <c r="D85" i="2" a="1"/>
  <c r="D85" i="2"/>
  <c r="D86" i="2" a="1"/>
  <c r="D86" i="2"/>
  <c r="D87" i="2" a="1"/>
  <c r="D87" i="2"/>
  <c r="D88" i="2" a="1"/>
  <c r="D88" i="2"/>
  <c r="D89" i="2" a="1"/>
  <c r="D89" i="2"/>
  <c r="D90" i="2" a="1"/>
  <c r="D90" i="2"/>
  <c r="D91" i="2" a="1"/>
  <c r="D91" i="2"/>
  <c r="D92" i="2" a="1"/>
  <c r="D92" i="2"/>
  <c r="D93" i="2" a="1"/>
  <c r="D93" i="2"/>
  <c r="D94" i="2" a="1"/>
  <c r="D94" i="2"/>
  <c r="D95" i="2" a="1"/>
  <c r="D95" i="2"/>
  <c r="D96" i="2" a="1"/>
  <c r="D96" i="2"/>
  <c r="D97" i="2" a="1"/>
  <c r="D97" i="2"/>
  <c r="D98" i="2" a="1"/>
  <c r="D98" i="2"/>
  <c r="D99" i="2" a="1"/>
  <c r="D99" i="2"/>
  <c r="D100" i="2" a="1"/>
  <c r="D100" i="2"/>
  <c r="D101" i="2" a="1"/>
  <c r="D101" i="2"/>
  <c r="D102" i="2" a="1"/>
  <c r="D102" i="2"/>
  <c r="D103" i="2" a="1"/>
  <c r="D103" i="2"/>
  <c r="D104" i="2" a="1"/>
  <c r="D104" i="2"/>
  <c r="D105" i="2" a="1"/>
  <c r="D105" i="2"/>
  <c r="D106" i="2" a="1"/>
  <c r="D106" i="2"/>
  <c r="D107" i="2" a="1"/>
  <c r="D107" i="2"/>
  <c r="D108" i="2" a="1"/>
  <c r="D108" i="2"/>
  <c r="D109" i="2" a="1"/>
  <c r="D109" i="2"/>
  <c r="D110" i="2" a="1"/>
  <c r="D110" i="2"/>
  <c r="D111" i="2" a="1"/>
  <c r="D111" i="2"/>
  <c r="D112" i="2" a="1"/>
  <c r="D112" i="2"/>
  <c r="D113" i="2" a="1"/>
  <c r="D113" i="2"/>
  <c r="D114" i="2" a="1"/>
  <c r="D114" i="2"/>
  <c r="D115" i="2" a="1"/>
  <c r="D115" i="2"/>
  <c r="D116" i="2" a="1"/>
  <c r="D116" i="2"/>
  <c r="D117" i="2" a="1"/>
  <c r="D117" i="2"/>
  <c r="D118" i="2" a="1"/>
  <c r="D118" i="2"/>
  <c r="D119" i="2" a="1"/>
  <c r="D119" i="2"/>
  <c r="D120" i="2" a="1"/>
  <c r="D120" i="2"/>
  <c r="D121" i="2" a="1"/>
  <c r="D121" i="2"/>
  <c r="D122" i="2" a="1"/>
  <c r="D122" i="2"/>
  <c r="D123" i="2" a="1"/>
  <c r="D123" i="2"/>
  <c r="D124" i="2" a="1"/>
  <c r="D124" i="2"/>
  <c r="D125" i="2" a="1"/>
  <c r="D125" i="2"/>
  <c r="D126" i="2" a="1"/>
  <c r="D126" i="2"/>
  <c r="D127" i="2" a="1"/>
  <c r="D127" i="2"/>
  <c r="D128" i="2" a="1"/>
  <c r="D128" i="2"/>
  <c r="D129" i="2" a="1"/>
  <c r="D129" i="2"/>
  <c r="D130" i="2" a="1"/>
  <c r="D130" i="2"/>
  <c r="D131" i="2" a="1"/>
  <c r="D131" i="2"/>
  <c r="D132" i="2" a="1"/>
  <c r="D132" i="2"/>
  <c r="D133" i="2" a="1"/>
  <c r="D133" i="2"/>
  <c r="D134" i="2" a="1"/>
  <c r="D134" i="2"/>
  <c r="D135" i="2" a="1"/>
  <c r="D135" i="2"/>
  <c r="D136" i="2" a="1"/>
  <c r="D136" i="2"/>
  <c r="D137" i="2" a="1"/>
  <c r="D137" i="2"/>
  <c r="D138" i="2" a="1"/>
  <c r="D138" i="2"/>
  <c r="D139" i="2" a="1"/>
  <c r="D139" i="2"/>
  <c r="D140" i="2" a="1"/>
  <c r="D140" i="2"/>
  <c r="D141" i="2" a="1"/>
  <c r="D141" i="2"/>
  <c r="D142" i="2" a="1"/>
  <c r="D142" i="2"/>
  <c r="D143" i="2" a="1"/>
  <c r="D143" i="2"/>
  <c r="D144" i="2" a="1"/>
  <c r="D144" i="2"/>
  <c r="D145" i="2" a="1"/>
  <c r="D145" i="2"/>
  <c r="D146" i="2" a="1"/>
  <c r="D146" i="2"/>
  <c r="D147" i="2" a="1"/>
  <c r="D147" i="2"/>
  <c r="D148" i="2" a="1"/>
  <c r="D148" i="2"/>
  <c r="D149" i="2" a="1"/>
  <c r="D149" i="2"/>
  <c r="D150" i="2" a="1"/>
  <c r="D150" i="2"/>
  <c r="D151" i="2" a="1"/>
  <c r="D151" i="2"/>
  <c r="D152" i="2" a="1"/>
  <c r="D152" i="2"/>
  <c r="D153" i="2" a="1"/>
  <c r="D153" i="2"/>
  <c r="D154" i="2" a="1"/>
  <c r="D154" i="2"/>
  <c r="D155" i="2" a="1"/>
  <c r="D155" i="2"/>
  <c r="D156" i="2" a="1"/>
  <c r="D156" i="2"/>
  <c r="D157" i="2" a="1"/>
  <c r="D157" i="2"/>
  <c r="D158" i="2" a="1"/>
  <c r="D158" i="2"/>
  <c r="D159" i="2" a="1"/>
  <c r="D159" i="2"/>
  <c r="D160" i="2" a="1"/>
  <c r="D160" i="2"/>
  <c r="D161" i="2" a="1"/>
  <c r="D161" i="2"/>
  <c r="D162" i="2" a="1"/>
  <c r="D162" i="2"/>
  <c r="D163" i="2" a="1"/>
  <c r="D163" i="2"/>
  <c r="D164" i="2" a="1"/>
  <c r="D164" i="2"/>
  <c r="D165" i="2" a="1"/>
  <c r="D165" i="2"/>
  <c r="D166" i="2" a="1"/>
  <c r="D166" i="2"/>
  <c r="D167" i="2" a="1"/>
  <c r="D167" i="2"/>
  <c r="D168" i="2" a="1"/>
  <c r="D168" i="2"/>
  <c r="D169" i="2" a="1"/>
  <c r="D169" i="2"/>
  <c r="D170" i="2" a="1"/>
  <c r="D170" i="2"/>
  <c r="D171" i="2" a="1"/>
  <c r="D171" i="2"/>
  <c r="D172" i="2" a="1"/>
  <c r="D172" i="2"/>
  <c r="D173" i="2" a="1"/>
  <c r="D173" i="2"/>
  <c r="D174" i="2" a="1"/>
  <c r="D174" i="2"/>
  <c r="D175" i="2" a="1"/>
  <c r="D175" i="2"/>
  <c r="D176" i="2" a="1"/>
  <c r="D176" i="2"/>
  <c r="D177" i="2" a="1"/>
  <c r="D177" i="2"/>
  <c r="D178" i="2" a="1"/>
  <c r="D178" i="2"/>
  <c r="D179" i="2" a="1"/>
  <c r="D179" i="2"/>
  <c r="D180" i="2" a="1"/>
  <c r="D180" i="2"/>
  <c r="D181" i="2" a="1"/>
  <c r="D181" i="2"/>
  <c r="D182" i="2" a="1"/>
  <c r="D182" i="2"/>
  <c r="D183" i="2" a="1"/>
  <c r="D183" i="2"/>
  <c r="D184" i="2" a="1"/>
  <c r="D184" i="2"/>
  <c r="D185" i="2" a="1"/>
  <c r="D185" i="2"/>
  <c r="D186" i="2" a="1"/>
  <c r="D186" i="2"/>
  <c r="D187" i="2" a="1"/>
  <c r="D187" i="2"/>
  <c r="D188" i="2" a="1"/>
  <c r="D188" i="2"/>
  <c r="D189" i="2" a="1"/>
  <c r="D189" i="2"/>
  <c r="D190" i="2" a="1"/>
  <c r="D190" i="2"/>
  <c r="D191" i="2" a="1"/>
  <c r="D191" i="2"/>
  <c r="D192" i="2" a="1"/>
  <c r="D192" i="2"/>
  <c r="D193" i="2" a="1"/>
  <c r="D193" i="2"/>
  <c r="D194" i="2" a="1"/>
  <c r="D194" i="2"/>
  <c r="D195" i="2" a="1"/>
  <c r="D195" i="2"/>
  <c r="D196" i="2" a="1"/>
  <c r="D196" i="2"/>
  <c r="D197" i="2" a="1"/>
  <c r="D197" i="2"/>
  <c r="D198" i="2" a="1"/>
  <c r="D198" i="2"/>
  <c r="D199" i="2" a="1"/>
  <c r="D199" i="2"/>
  <c r="D200" i="2" a="1"/>
  <c r="D200" i="2"/>
  <c r="D201" i="2" a="1"/>
  <c r="D201" i="2"/>
  <c r="D202" i="2" a="1"/>
  <c r="D202" i="2"/>
  <c r="D203" i="2" a="1"/>
  <c r="D203" i="2"/>
  <c r="D204" i="2" a="1"/>
  <c r="D204" i="2"/>
  <c r="D205" i="2" a="1"/>
  <c r="D205" i="2"/>
  <c r="D206" i="2" a="1"/>
  <c r="D206" i="2"/>
  <c r="D207" i="2" a="1"/>
  <c r="D207" i="2"/>
  <c r="D208" i="2" a="1"/>
  <c r="D208" i="2"/>
  <c r="D209" i="2" a="1"/>
  <c r="D209" i="2"/>
  <c r="D210" i="2" a="1"/>
  <c r="D210" i="2"/>
  <c r="D211" i="2" a="1"/>
  <c r="D211" i="2"/>
  <c r="D212" i="2" a="1"/>
  <c r="D212" i="2"/>
  <c r="D213" i="2" a="1"/>
  <c r="D213" i="2"/>
  <c r="D214" i="2" a="1"/>
  <c r="D214" i="2"/>
  <c r="D215" i="2" a="1"/>
  <c r="D215" i="2"/>
  <c r="D216" i="2" a="1"/>
  <c r="D216" i="2"/>
  <c r="D217" i="2" a="1"/>
  <c r="D217" i="2"/>
  <c r="D218" i="2" a="1"/>
  <c r="D218" i="2"/>
  <c r="D219" i="2" a="1"/>
  <c r="D219" i="2"/>
  <c r="D220" i="2" a="1"/>
  <c r="D220" i="2"/>
  <c r="D221" i="2" a="1"/>
  <c r="D221" i="2"/>
  <c r="D222" i="2" a="1"/>
  <c r="D222" i="2"/>
  <c r="D223" i="2" a="1"/>
  <c r="D223" i="2"/>
  <c r="D224" i="2" a="1"/>
  <c r="D224" i="2"/>
  <c r="D225" i="2" a="1"/>
  <c r="D225" i="2"/>
  <c r="D226" i="2" a="1"/>
  <c r="D226" i="2"/>
  <c r="D227" i="2" a="1"/>
  <c r="D227" i="2"/>
  <c r="D228" i="2" a="1"/>
  <c r="D228" i="2"/>
  <c r="D229" i="2" a="1"/>
  <c r="D229" i="2"/>
  <c r="D230" i="2" a="1"/>
  <c r="D230" i="2"/>
  <c r="D231" i="2" a="1"/>
  <c r="D231" i="2"/>
  <c r="D232" i="2" a="1"/>
  <c r="D232" i="2"/>
  <c r="D233" i="2" a="1"/>
  <c r="D233" i="2"/>
  <c r="D234" i="2" a="1"/>
  <c r="D234" i="2"/>
  <c r="D235" i="2" a="1"/>
  <c r="D235" i="2"/>
  <c r="D236" i="2" a="1"/>
  <c r="D236" i="2"/>
  <c r="D237" i="2" a="1"/>
  <c r="D237" i="2"/>
  <c r="D238" i="2" a="1"/>
  <c r="D238" i="2"/>
  <c r="D239" i="2" a="1"/>
  <c r="D239" i="2"/>
  <c r="D240" i="2" a="1"/>
  <c r="D240" i="2"/>
  <c r="D241" i="2" a="1"/>
  <c r="D241" i="2"/>
  <c r="D242" i="2" a="1"/>
  <c r="D242" i="2"/>
  <c r="D243" i="2" a="1"/>
  <c r="D243" i="2"/>
  <c r="D244" i="2" a="1"/>
  <c r="D244" i="2"/>
  <c r="D245" i="2" a="1"/>
  <c r="D245" i="2"/>
  <c r="D246" i="2" a="1"/>
  <c r="D246" i="2"/>
  <c r="D247" i="2" a="1"/>
  <c r="D247" i="2"/>
  <c r="D248" i="2" a="1"/>
  <c r="D248" i="2"/>
  <c r="D249" i="2" a="1"/>
  <c r="D249" i="2"/>
  <c r="D250" i="2" a="1"/>
  <c r="D250" i="2"/>
  <c r="D251" i="2" a="1"/>
  <c r="D251" i="2"/>
  <c r="D252" i="2" a="1"/>
  <c r="D252" i="2"/>
  <c r="D253" i="2" a="1"/>
  <c r="D253" i="2"/>
  <c r="D254" i="2" a="1"/>
  <c r="D254" i="2"/>
  <c r="D255" i="2" a="1"/>
  <c r="D255" i="2"/>
  <c r="D256" i="2" a="1"/>
  <c r="D256" i="2"/>
  <c r="D257" i="2" a="1"/>
  <c r="D257" i="2"/>
  <c r="D258" i="2" a="1"/>
  <c r="D258" i="2"/>
  <c r="D259" i="2" a="1"/>
  <c r="D259" i="2"/>
  <c r="D260" i="2" a="1"/>
  <c r="D260" i="2"/>
  <c r="D261" i="2" a="1"/>
  <c r="D261" i="2"/>
  <c r="D262" i="2" a="1"/>
  <c r="D262" i="2"/>
  <c r="D263" i="2" a="1"/>
  <c r="D263" i="2"/>
  <c r="D264" i="2" a="1"/>
  <c r="D264" i="2"/>
  <c r="D265" i="2" a="1"/>
  <c r="D265" i="2"/>
  <c r="D266" i="2" a="1"/>
  <c r="D266" i="2"/>
  <c r="D267" i="2" a="1"/>
  <c r="D267" i="2"/>
  <c r="D268" i="2" a="1"/>
  <c r="D268" i="2"/>
  <c r="D269" i="2" a="1"/>
  <c r="D269" i="2"/>
  <c r="D270" i="2" a="1"/>
  <c r="D270" i="2"/>
  <c r="D271" i="2" a="1"/>
  <c r="D271" i="2"/>
  <c r="D272" i="2" a="1"/>
  <c r="D272" i="2"/>
  <c r="D273" i="2" a="1"/>
  <c r="D273" i="2"/>
  <c r="D274" i="2" a="1"/>
  <c r="D274" i="2"/>
  <c r="D275" i="2" a="1"/>
  <c r="D275" i="2"/>
  <c r="D276" i="2" a="1"/>
  <c r="D276" i="2"/>
  <c r="D277" i="2" a="1"/>
  <c r="D277" i="2"/>
  <c r="D278" i="2" a="1"/>
  <c r="D278" i="2"/>
  <c r="D279" i="2" a="1"/>
  <c r="D279" i="2"/>
  <c r="D280" i="2" a="1"/>
  <c r="D280" i="2"/>
  <c r="D281" i="2" a="1"/>
  <c r="D281" i="2"/>
  <c r="D282" i="2" a="1"/>
  <c r="D282" i="2"/>
  <c r="D283" i="2" a="1"/>
  <c r="D283" i="2"/>
  <c r="D284" i="2" a="1"/>
  <c r="D284" i="2"/>
  <c r="D285" i="2" a="1"/>
  <c r="D285" i="2"/>
  <c r="D286" i="2" a="1"/>
  <c r="D286" i="2"/>
  <c r="D287" i="2" a="1"/>
  <c r="D287" i="2"/>
  <c r="D288" i="2" a="1"/>
  <c r="D288" i="2"/>
  <c r="D289" i="2" a="1"/>
  <c r="D289" i="2"/>
  <c r="D290" i="2" a="1"/>
  <c r="D290" i="2"/>
  <c r="D291" i="2" a="1"/>
  <c r="D291" i="2"/>
  <c r="D292" i="2" a="1"/>
  <c r="D292" i="2"/>
  <c r="D293" i="2" a="1"/>
  <c r="D293" i="2"/>
  <c r="D294" i="2" a="1"/>
  <c r="D294" i="2"/>
  <c r="D295" i="2" a="1"/>
  <c r="D295" i="2"/>
  <c r="D296" i="2" a="1"/>
  <c r="D296" i="2"/>
  <c r="D297" i="2" a="1"/>
  <c r="D297" i="2"/>
  <c r="D298" i="2" a="1"/>
  <c r="D298" i="2"/>
  <c r="D299" i="2" a="1"/>
  <c r="D299" i="2"/>
  <c r="D300" i="2" a="1"/>
  <c r="D300" i="2"/>
  <c r="D301" i="2" a="1"/>
  <c r="D301" i="2"/>
  <c r="D302" i="2" a="1"/>
  <c r="D302" i="2"/>
  <c r="D303" i="2" a="1"/>
  <c r="D303" i="2"/>
  <c r="D304" i="2" a="1"/>
  <c r="D304" i="2"/>
  <c r="D305" i="2" a="1"/>
  <c r="D305" i="2"/>
  <c r="D306" i="2" a="1"/>
  <c r="D306" i="2"/>
  <c r="D307" i="2" a="1"/>
  <c r="D307" i="2"/>
  <c r="D308" i="2" a="1"/>
  <c r="D308" i="2"/>
  <c r="D309" i="2" a="1"/>
  <c r="D309" i="2"/>
  <c r="D310" i="2" a="1"/>
  <c r="D310" i="2"/>
  <c r="D311" i="2" a="1"/>
  <c r="D311" i="2"/>
  <c r="D312" i="2" a="1"/>
  <c r="D312" i="2"/>
  <c r="D313" i="2" a="1"/>
  <c r="D313" i="2"/>
  <c r="D314" i="2" a="1"/>
  <c r="D314" i="2"/>
  <c r="D315" i="2" a="1"/>
  <c r="D315" i="2"/>
  <c r="D316" i="2" a="1"/>
  <c r="D316" i="2"/>
  <c r="D317" i="2" a="1"/>
  <c r="D317" i="2"/>
  <c r="D318" i="2" a="1"/>
  <c r="D318" i="2"/>
  <c r="D319" i="2" a="1"/>
  <c r="D319" i="2"/>
  <c r="D320" i="2" a="1"/>
  <c r="D320" i="2"/>
  <c r="D321" i="2" a="1"/>
  <c r="D321" i="2"/>
  <c r="D322" i="2" a="1"/>
  <c r="D322" i="2"/>
  <c r="D323" i="2" a="1"/>
  <c r="D323" i="2"/>
  <c r="D324" i="2" a="1"/>
  <c r="D324" i="2"/>
  <c r="D325" i="2" a="1"/>
  <c r="D325" i="2"/>
  <c r="D326" i="2" a="1"/>
  <c r="D326" i="2"/>
  <c r="D327" i="2" a="1"/>
  <c r="D327" i="2"/>
  <c r="D328" i="2" a="1"/>
  <c r="D328" i="2"/>
  <c r="D329" i="2" a="1"/>
  <c r="D329" i="2"/>
  <c r="D330" i="2" a="1"/>
  <c r="D330" i="2"/>
  <c r="D331" i="2" a="1"/>
  <c r="D331" i="2"/>
  <c r="D332" i="2" a="1"/>
  <c r="D332" i="2"/>
  <c r="D333" i="2" a="1"/>
  <c r="D333" i="2"/>
  <c r="D334" i="2" a="1"/>
  <c r="D334" i="2"/>
  <c r="D335" i="2" a="1"/>
  <c r="D335" i="2"/>
  <c r="D336" i="2" a="1"/>
  <c r="D336" i="2"/>
  <c r="D337" i="2" a="1"/>
  <c r="D337" i="2"/>
  <c r="D338" i="2" a="1"/>
  <c r="D338" i="2"/>
  <c r="D339" i="2" a="1"/>
  <c r="D339" i="2"/>
  <c r="D340" i="2" a="1"/>
  <c r="D340" i="2"/>
  <c r="D341" i="2" a="1"/>
  <c r="D341" i="2"/>
  <c r="D342" i="2" a="1"/>
  <c r="D342" i="2"/>
  <c r="D343" i="2" a="1"/>
  <c r="D343" i="2"/>
  <c r="D344" i="2" a="1"/>
  <c r="D344" i="2"/>
  <c r="D345" i="2" a="1"/>
  <c r="D345" i="2"/>
  <c r="D346" i="2" a="1"/>
  <c r="D346" i="2"/>
  <c r="D347" i="2" a="1"/>
  <c r="D347" i="2"/>
  <c r="D348" i="2" a="1"/>
  <c r="D348" i="2"/>
  <c r="D349" i="2" a="1"/>
  <c r="D349" i="2"/>
  <c r="D350" i="2" a="1"/>
  <c r="D350" i="2"/>
  <c r="D351" i="2" a="1"/>
  <c r="D351" i="2"/>
  <c r="D352" i="2" a="1"/>
  <c r="D352" i="2"/>
  <c r="D353" i="2" a="1"/>
  <c r="D353" i="2"/>
  <c r="D354" i="2" a="1"/>
  <c r="D354" i="2"/>
  <c r="D355" i="2" a="1"/>
  <c r="D355" i="2"/>
  <c r="D356" i="2" a="1"/>
  <c r="D356" i="2"/>
  <c r="D357" i="2" a="1"/>
  <c r="D357" i="2"/>
  <c r="D358" i="2" a="1"/>
  <c r="D358" i="2"/>
  <c r="D359" i="2" a="1"/>
  <c r="D359" i="2"/>
  <c r="D360" i="2" a="1"/>
  <c r="D360" i="2"/>
  <c r="D361" i="2" a="1"/>
  <c r="D361" i="2"/>
  <c r="D362" i="2" a="1"/>
  <c r="D362" i="2"/>
  <c r="D363" i="2" a="1"/>
  <c r="D363" i="2"/>
  <c r="D364" i="2" a="1"/>
  <c r="D364" i="2"/>
  <c r="D365" i="2" a="1"/>
  <c r="D365" i="2"/>
  <c r="D366" i="2" a="1"/>
  <c r="D366" i="2"/>
  <c r="D367" i="2" a="1"/>
  <c r="D367" i="2"/>
  <c r="D368" i="2" a="1"/>
  <c r="D368" i="2"/>
  <c r="D369" i="2" a="1"/>
  <c r="D369" i="2"/>
  <c r="D370" i="2" a="1"/>
  <c r="D370" i="2"/>
  <c r="D371" i="2" a="1"/>
  <c r="D371" i="2"/>
  <c r="D372" i="2" a="1"/>
  <c r="D372" i="2"/>
  <c r="D373" i="2" a="1"/>
  <c r="D373" i="2"/>
  <c r="D374" i="2" a="1"/>
  <c r="D374" i="2"/>
  <c r="D375" i="2" a="1"/>
  <c r="D375" i="2"/>
  <c r="D376" i="2" a="1"/>
  <c r="D376" i="2"/>
  <c r="D377" i="2" a="1"/>
  <c r="D377" i="2"/>
  <c r="D378" i="2" a="1"/>
  <c r="D378" i="2"/>
  <c r="D379" i="2" a="1"/>
  <c r="D379" i="2"/>
  <c r="D380" i="2" a="1"/>
  <c r="D380" i="2"/>
  <c r="D381" i="2" a="1"/>
  <c r="D381" i="2"/>
  <c r="D382" i="2" a="1"/>
  <c r="D382" i="2"/>
  <c r="D383" i="2" a="1"/>
  <c r="D383" i="2"/>
  <c r="D384" i="2" a="1"/>
  <c r="D384" i="2"/>
  <c r="D385" i="2" a="1"/>
  <c r="D385" i="2"/>
  <c r="D386" i="2" a="1"/>
  <c r="D386" i="2"/>
  <c r="D387" i="2" a="1"/>
  <c r="D387" i="2"/>
  <c r="D388" i="2" a="1"/>
  <c r="D388" i="2"/>
  <c r="D389" i="2" a="1"/>
  <c r="D389" i="2"/>
  <c r="D390" i="2" a="1"/>
  <c r="D390" i="2"/>
  <c r="D391" i="2" a="1"/>
  <c r="D391" i="2"/>
  <c r="D392" i="2" a="1"/>
  <c r="D392" i="2"/>
  <c r="D393" i="2" a="1"/>
  <c r="D393" i="2"/>
  <c r="D394" i="2" a="1"/>
  <c r="D394" i="2"/>
  <c r="D395" i="2" a="1"/>
  <c r="D395" i="2"/>
  <c r="D396" i="2" a="1"/>
  <c r="D396" i="2"/>
  <c r="D397" i="2" a="1"/>
  <c r="D397" i="2"/>
  <c r="D398" i="2" a="1"/>
  <c r="D398" i="2"/>
  <c r="D399" i="2" a="1"/>
  <c r="D399" i="2"/>
  <c r="D400" i="2" a="1"/>
  <c r="D400" i="2"/>
  <c r="D401" i="2" a="1"/>
  <c r="D401" i="2"/>
  <c r="D402" i="2" a="1"/>
  <c r="D402" i="2"/>
  <c r="D403" i="2" a="1"/>
  <c r="D403" i="2"/>
  <c r="D404" i="2" a="1"/>
  <c r="D404" i="2"/>
  <c r="D405" i="2" a="1"/>
  <c r="D405" i="2"/>
  <c r="D406" i="2" a="1"/>
  <c r="D406" i="2"/>
  <c r="D407" i="2" a="1"/>
  <c r="D407" i="2"/>
  <c r="D408" i="2" a="1"/>
  <c r="D408" i="2"/>
  <c r="D409" i="2" a="1"/>
  <c r="D409" i="2"/>
  <c r="D410" i="2" a="1"/>
  <c r="D410" i="2"/>
  <c r="D411" i="2" a="1"/>
  <c r="D411" i="2"/>
  <c r="D412" i="2" a="1"/>
  <c r="D412" i="2"/>
  <c r="D413" i="2" a="1"/>
  <c r="D413" i="2"/>
  <c r="D414" i="2" a="1"/>
  <c r="D414" i="2"/>
  <c r="D415" i="2" a="1"/>
  <c r="D415" i="2"/>
  <c r="D416" i="2" a="1"/>
  <c r="D416" i="2"/>
  <c r="D417" i="2" a="1"/>
  <c r="D417" i="2"/>
  <c r="D418" i="2" a="1"/>
  <c r="D418" i="2"/>
  <c r="D419" i="2" a="1"/>
  <c r="D419" i="2"/>
  <c r="D420" i="2" a="1"/>
  <c r="D420" i="2"/>
  <c r="D421" i="2" a="1"/>
  <c r="D421" i="2"/>
  <c r="D422" i="2" a="1"/>
  <c r="D422" i="2"/>
  <c r="D423" i="2" a="1"/>
  <c r="D423" i="2"/>
  <c r="D424" i="2" a="1"/>
  <c r="D424" i="2"/>
  <c r="D425" i="2" a="1"/>
  <c r="D425" i="2"/>
  <c r="D426" i="2" a="1"/>
  <c r="D426" i="2"/>
  <c r="D427" i="2" a="1"/>
  <c r="D427" i="2"/>
  <c r="D428" i="2" a="1"/>
  <c r="D428" i="2"/>
  <c r="D429" i="2" a="1"/>
  <c r="D429" i="2"/>
  <c r="D430" i="2" a="1"/>
  <c r="D430" i="2"/>
  <c r="D431" i="2" a="1"/>
  <c r="D431" i="2"/>
  <c r="D432" i="2" a="1"/>
  <c r="D432" i="2"/>
  <c r="D433" i="2" a="1"/>
  <c r="D433" i="2"/>
  <c r="D434" i="2" a="1"/>
  <c r="D434" i="2"/>
  <c r="D435" i="2" a="1"/>
  <c r="D435" i="2"/>
  <c r="D436" i="2" a="1"/>
  <c r="D436" i="2"/>
  <c r="D437" i="2" a="1"/>
  <c r="D437" i="2"/>
  <c r="D438" i="2" a="1"/>
  <c r="D438" i="2"/>
  <c r="D439" i="2" a="1"/>
  <c r="D439" i="2"/>
  <c r="D440" i="2" a="1"/>
  <c r="D440" i="2"/>
  <c r="D441" i="2" a="1"/>
  <c r="D441" i="2"/>
  <c r="D442" i="2" a="1"/>
  <c r="D442" i="2"/>
  <c r="D443" i="2" a="1"/>
  <c r="D443" i="2"/>
  <c r="D444" i="2" a="1"/>
  <c r="D444" i="2"/>
  <c r="D445" i="2" a="1"/>
  <c r="D445" i="2"/>
  <c r="D446" i="2" a="1"/>
  <c r="D446" i="2"/>
  <c r="D447" i="2" a="1"/>
  <c r="D447" i="2"/>
  <c r="D448" i="2" a="1"/>
  <c r="D448" i="2"/>
  <c r="D449" i="2" a="1"/>
  <c r="D449" i="2"/>
  <c r="D450" i="2" a="1"/>
  <c r="D450" i="2"/>
  <c r="D451" i="2" a="1"/>
  <c r="D451" i="2"/>
  <c r="D452" i="2" a="1"/>
  <c r="D452" i="2"/>
  <c r="D453" i="2" a="1"/>
  <c r="D453" i="2"/>
  <c r="D454" i="2" a="1"/>
  <c r="D454" i="2"/>
  <c r="D455" i="2" a="1"/>
  <c r="D455" i="2"/>
  <c r="D456" i="2" a="1"/>
  <c r="D456" i="2"/>
  <c r="D457" i="2" a="1"/>
  <c r="D457" i="2"/>
  <c r="D458" i="2" a="1"/>
  <c r="D458" i="2"/>
  <c r="D459" i="2" a="1"/>
  <c r="D459" i="2"/>
  <c r="D460" i="2" a="1"/>
  <c r="D460" i="2"/>
  <c r="D461" i="2" a="1"/>
  <c r="D461" i="2"/>
  <c r="D462" i="2" a="1"/>
  <c r="D462" i="2"/>
  <c r="D463" i="2" a="1"/>
  <c r="D463" i="2"/>
  <c r="D464" i="2" a="1"/>
  <c r="D464" i="2"/>
  <c r="D465" i="2" a="1"/>
  <c r="D465" i="2"/>
  <c r="D466" i="2" a="1"/>
  <c r="D466" i="2"/>
  <c r="D467" i="2" a="1"/>
  <c r="D467" i="2"/>
  <c r="D468" i="2" a="1"/>
  <c r="D468" i="2"/>
  <c r="D469" i="2" a="1"/>
  <c r="D469" i="2"/>
  <c r="D470" i="2" a="1"/>
  <c r="D470" i="2"/>
  <c r="D471" i="2" a="1"/>
  <c r="D471" i="2"/>
  <c r="D472" i="2" a="1"/>
  <c r="D472" i="2"/>
  <c r="D473" i="2" a="1"/>
  <c r="D473" i="2"/>
  <c r="D474" i="2" a="1"/>
  <c r="D474" i="2"/>
  <c r="D475" i="2" a="1"/>
  <c r="D475" i="2"/>
  <c r="D476" i="2" a="1"/>
  <c r="D476" i="2"/>
  <c r="D477" i="2" a="1"/>
  <c r="D477" i="2"/>
  <c r="D478" i="2" a="1"/>
  <c r="D478" i="2"/>
  <c r="D479" i="2" a="1"/>
  <c r="D479" i="2"/>
  <c r="D480" i="2" a="1"/>
  <c r="D480" i="2"/>
  <c r="D481" i="2" a="1"/>
  <c r="D481" i="2"/>
  <c r="D482" i="2" a="1"/>
  <c r="D482" i="2"/>
  <c r="D483" i="2" a="1"/>
  <c r="D483" i="2"/>
  <c r="D484" i="2" a="1"/>
  <c r="D484" i="2"/>
  <c r="D485" i="2" a="1"/>
  <c r="D485" i="2"/>
  <c r="D486" i="2" a="1"/>
  <c r="D486" i="2"/>
  <c r="D487" i="2" a="1"/>
  <c r="D487" i="2"/>
  <c r="D488" i="2" a="1"/>
  <c r="D488" i="2"/>
  <c r="D489" i="2" a="1"/>
  <c r="D489" i="2"/>
  <c r="D490" i="2" a="1"/>
  <c r="D490" i="2"/>
  <c r="D491" i="2" a="1"/>
  <c r="D491" i="2"/>
  <c r="D492" i="2" a="1"/>
  <c r="D492" i="2"/>
  <c r="D493" i="2" a="1"/>
  <c r="D493" i="2"/>
  <c r="D494" i="2" a="1"/>
  <c r="D494" i="2"/>
  <c r="D495" i="2" a="1"/>
  <c r="D495" i="2"/>
  <c r="D496" i="2" a="1"/>
  <c r="D496" i="2"/>
  <c r="D497" i="2" a="1"/>
  <c r="D497" i="2"/>
  <c r="D498" i="2" a="1"/>
  <c r="D498" i="2"/>
  <c r="D499" i="2" a="1"/>
  <c r="D499" i="2"/>
  <c r="D500" i="2" a="1"/>
  <c r="D500" i="2"/>
  <c r="D501" i="2" a="1"/>
  <c r="D501" i="2"/>
  <c r="D502" i="2" a="1"/>
  <c r="D502" i="2"/>
  <c r="D503" i="2" a="1"/>
  <c r="D503" i="2"/>
  <c r="D504" i="2" a="1"/>
  <c r="D504" i="2"/>
  <c r="D505" i="2" a="1"/>
  <c r="D505" i="2"/>
  <c r="D506" i="2" a="1"/>
  <c r="D506" i="2"/>
  <c r="D507" i="2" a="1"/>
  <c r="D507" i="2"/>
  <c r="D508" i="2" a="1"/>
  <c r="D508" i="2"/>
  <c r="D509" i="2" a="1"/>
  <c r="D509" i="2"/>
  <c r="D510" i="2" a="1"/>
  <c r="D510" i="2"/>
  <c r="D511" i="2" a="1"/>
  <c r="D511" i="2"/>
  <c r="D512" i="2" a="1"/>
  <c r="D512" i="2"/>
  <c r="D513" i="2" a="1"/>
  <c r="D513" i="2"/>
  <c r="D514" i="2" a="1"/>
  <c r="D514" i="2"/>
  <c r="D515" i="2" a="1"/>
  <c r="D515" i="2"/>
  <c r="D516" i="2" a="1"/>
  <c r="D516" i="2"/>
  <c r="D517" i="2" a="1"/>
  <c r="D517" i="2"/>
  <c r="D518" i="2" a="1"/>
  <c r="D518" i="2"/>
  <c r="D519" i="2" a="1"/>
  <c r="D519" i="2"/>
  <c r="D520" i="2" a="1"/>
  <c r="D520" i="2"/>
  <c r="D521" i="2" a="1"/>
  <c r="D521" i="2"/>
  <c r="D522" i="2" a="1"/>
  <c r="D522" i="2"/>
  <c r="D523" i="2" a="1"/>
  <c r="D523" i="2"/>
  <c r="D524" i="2" a="1"/>
  <c r="D524" i="2"/>
  <c r="D525" i="2" a="1"/>
  <c r="D525" i="2"/>
  <c r="D526" i="2" a="1"/>
  <c r="D526" i="2"/>
  <c r="D527" i="2" a="1"/>
  <c r="D527" i="2"/>
  <c r="D528" i="2" a="1"/>
  <c r="D528" i="2"/>
  <c r="D529" i="2" a="1"/>
  <c r="D529" i="2"/>
  <c r="D530" i="2" a="1"/>
  <c r="D530" i="2"/>
  <c r="D531" i="2" a="1"/>
  <c r="D531" i="2"/>
  <c r="D532" i="2" a="1"/>
  <c r="D532" i="2"/>
  <c r="D533" i="2" a="1"/>
  <c r="D533" i="2"/>
  <c r="D534" i="2" a="1"/>
  <c r="D534" i="2"/>
  <c r="D535" i="2" a="1"/>
  <c r="D535" i="2"/>
  <c r="D536" i="2" a="1"/>
  <c r="D536" i="2"/>
  <c r="D537" i="2" a="1"/>
  <c r="D537" i="2"/>
  <c r="D538" i="2" a="1"/>
  <c r="D538" i="2"/>
  <c r="D539" i="2" a="1"/>
  <c r="D539" i="2"/>
  <c r="D540" i="2" a="1"/>
  <c r="D540" i="2"/>
  <c r="D541" i="2" a="1"/>
  <c r="D541" i="2"/>
  <c r="D542" i="2" a="1"/>
  <c r="D542" i="2"/>
  <c r="D543" i="2" a="1"/>
  <c r="D543" i="2"/>
  <c r="D544" i="2" a="1"/>
  <c r="D544" i="2"/>
  <c r="D545" i="2" a="1"/>
  <c r="D545" i="2"/>
  <c r="D546" i="2" a="1"/>
  <c r="D546" i="2"/>
  <c r="D547" i="2" a="1"/>
  <c r="D547" i="2"/>
  <c r="D548" i="2" a="1"/>
  <c r="D548" i="2"/>
  <c r="D549" i="2" a="1"/>
  <c r="D549" i="2"/>
  <c r="D550" i="2" a="1"/>
  <c r="D550" i="2"/>
  <c r="D551" i="2" a="1"/>
  <c r="D551" i="2"/>
  <c r="D552" i="2" a="1"/>
  <c r="D552" i="2"/>
  <c r="D553" i="2" a="1"/>
  <c r="D553" i="2"/>
  <c r="D554" i="2" a="1"/>
  <c r="D554" i="2"/>
  <c r="D555" i="2" a="1"/>
  <c r="D555" i="2"/>
  <c r="D556" i="2" a="1"/>
  <c r="D556" i="2"/>
  <c r="D557" i="2" a="1"/>
  <c r="D557" i="2"/>
  <c r="D558" i="2" a="1"/>
  <c r="D558" i="2"/>
  <c r="D559" i="2" a="1"/>
  <c r="D559" i="2"/>
  <c r="D560" i="2" a="1"/>
  <c r="D560" i="2"/>
  <c r="D561" i="2" a="1"/>
  <c r="D561" i="2"/>
  <c r="D562" i="2" a="1"/>
  <c r="D562" i="2"/>
  <c r="D563" i="2" a="1"/>
  <c r="D563" i="2"/>
  <c r="D564" i="2" a="1"/>
  <c r="D564" i="2"/>
  <c r="D565" i="2" a="1"/>
  <c r="D565" i="2"/>
  <c r="D566" i="2" a="1"/>
  <c r="D566" i="2"/>
  <c r="D567" i="2" a="1"/>
  <c r="D567" i="2"/>
  <c r="D568" i="2" a="1"/>
  <c r="D568" i="2"/>
  <c r="D569" i="2" a="1"/>
  <c r="D569" i="2"/>
  <c r="D570" i="2" a="1"/>
  <c r="D570" i="2"/>
  <c r="D571" i="2" a="1"/>
  <c r="D571" i="2"/>
  <c r="D572" i="2" a="1"/>
  <c r="D572" i="2"/>
  <c r="D573" i="2" a="1"/>
  <c r="D573" i="2"/>
  <c r="D574" i="2" a="1"/>
  <c r="D574" i="2"/>
  <c r="D575" i="2" a="1"/>
  <c r="D575" i="2"/>
  <c r="D576" i="2" a="1"/>
  <c r="D576" i="2"/>
  <c r="D577" i="2" a="1"/>
  <c r="D577" i="2"/>
  <c r="D578" i="2" a="1"/>
  <c r="D578" i="2"/>
  <c r="D579" i="2" a="1"/>
  <c r="D579" i="2"/>
  <c r="D580" i="2" a="1"/>
  <c r="D580" i="2"/>
  <c r="D581" i="2" a="1"/>
  <c r="D581" i="2"/>
  <c r="D582" i="2" a="1"/>
  <c r="D582" i="2"/>
  <c r="D583" i="2" a="1"/>
  <c r="D583" i="2"/>
  <c r="D584" i="2" a="1"/>
  <c r="D584" i="2"/>
  <c r="D585" i="2" a="1"/>
  <c r="D585" i="2"/>
  <c r="D586" i="2" a="1"/>
  <c r="D586" i="2"/>
  <c r="D587" i="2" a="1"/>
  <c r="D587" i="2"/>
  <c r="D588" i="2" a="1"/>
  <c r="D588" i="2"/>
  <c r="D589" i="2" a="1"/>
  <c r="D589" i="2"/>
  <c r="D590" i="2" a="1"/>
  <c r="D590" i="2"/>
  <c r="D591" i="2" a="1"/>
  <c r="D591" i="2"/>
  <c r="D592" i="2" a="1"/>
  <c r="D592" i="2"/>
  <c r="D593" i="2" a="1"/>
  <c r="D593" i="2"/>
  <c r="D594" i="2" a="1"/>
  <c r="D594" i="2"/>
  <c r="D595" i="2" a="1"/>
  <c r="D595" i="2"/>
  <c r="D596" i="2" a="1"/>
  <c r="D596" i="2"/>
  <c r="D597" i="2" a="1"/>
  <c r="D597" i="2"/>
  <c r="D598" i="2" a="1"/>
  <c r="D598" i="2"/>
  <c r="D599" i="2" a="1"/>
  <c r="D599" i="2"/>
  <c r="D600" i="2" a="1"/>
  <c r="D600" i="2"/>
  <c r="D601" i="2" a="1"/>
  <c r="D601" i="2"/>
  <c r="D602" i="2" a="1"/>
  <c r="D602" i="2"/>
  <c r="D603" i="2" a="1"/>
  <c r="D603" i="2"/>
  <c r="D604" i="2" a="1"/>
  <c r="D604" i="2"/>
  <c r="D605" i="2" a="1"/>
  <c r="D605" i="2"/>
  <c r="D606" i="2" a="1"/>
  <c r="D606" i="2"/>
  <c r="D607" i="2" a="1"/>
  <c r="D607" i="2"/>
  <c r="D608" i="2" a="1"/>
  <c r="D608" i="2"/>
  <c r="D609" i="2" a="1"/>
  <c r="D609" i="2"/>
  <c r="D610" i="2" a="1"/>
  <c r="D610" i="2"/>
  <c r="D611" i="2" a="1"/>
  <c r="D611" i="2"/>
  <c r="D612" i="2" a="1"/>
  <c r="D612" i="2"/>
  <c r="D613" i="2" a="1"/>
  <c r="D613" i="2"/>
  <c r="D614" i="2" a="1"/>
  <c r="D614" i="2"/>
  <c r="D615" i="2" a="1"/>
  <c r="D615" i="2"/>
  <c r="D616" i="2" a="1"/>
  <c r="D616" i="2"/>
  <c r="D617" i="2" a="1"/>
  <c r="D617" i="2"/>
  <c r="D618" i="2" a="1"/>
  <c r="D618" i="2"/>
  <c r="D619" i="2" a="1"/>
  <c r="D619" i="2"/>
  <c r="D620" i="2" a="1"/>
  <c r="D620" i="2"/>
  <c r="D621" i="2" a="1"/>
  <c r="D621" i="2"/>
  <c r="D622" i="2" a="1"/>
  <c r="D622" i="2"/>
  <c r="D623" i="2" a="1"/>
  <c r="D623" i="2"/>
  <c r="D624" i="2" a="1"/>
  <c r="D624" i="2"/>
  <c r="D625" i="2" a="1"/>
  <c r="D625" i="2"/>
  <c r="D626" i="2" a="1"/>
  <c r="D626" i="2"/>
  <c r="D627" i="2" a="1"/>
  <c r="D627" i="2"/>
  <c r="D628" i="2" a="1"/>
  <c r="D628" i="2"/>
  <c r="D629" i="2" a="1"/>
  <c r="D629" i="2"/>
  <c r="D630" i="2" a="1"/>
  <c r="D630" i="2"/>
  <c r="D631" i="2" a="1"/>
  <c r="D631" i="2"/>
  <c r="D632" i="2" a="1"/>
  <c r="D632" i="2"/>
  <c r="D633" i="2" a="1"/>
  <c r="D633" i="2"/>
  <c r="D634" i="2" a="1"/>
  <c r="D634" i="2"/>
  <c r="D635" i="2" a="1"/>
  <c r="D635" i="2"/>
  <c r="D636" i="2" a="1"/>
  <c r="D636" i="2"/>
  <c r="D637" i="2" a="1"/>
  <c r="D637" i="2"/>
  <c r="D638" i="2" a="1"/>
  <c r="D638" i="2"/>
  <c r="D639" i="2" a="1"/>
  <c r="D639" i="2"/>
  <c r="D640" i="2" a="1"/>
  <c r="D640" i="2"/>
  <c r="D641" i="2" a="1"/>
  <c r="D641" i="2"/>
  <c r="D642" i="2" a="1"/>
  <c r="D642" i="2"/>
  <c r="D643" i="2" a="1"/>
  <c r="D643" i="2"/>
  <c r="D644" i="2" a="1"/>
  <c r="D644" i="2"/>
  <c r="D645" i="2" a="1"/>
  <c r="D645" i="2"/>
  <c r="D646" i="2" a="1"/>
  <c r="D646" i="2"/>
  <c r="D647" i="2" a="1"/>
  <c r="D647" i="2"/>
  <c r="D648" i="2" a="1"/>
  <c r="D648" i="2"/>
  <c r="D649" i="2" a="1"/>
  <c r="D649" i="2"/>
  <c r="D650" i="2" a="1"/>
  <c r="D650" i="2"/>
  <c r="D651" i="2" a="1"/>
  <c r="D651" i="2"/>
  <c r="D652" i="2" a="1"/>
  <c r="D652" i="2"/>
  <c r="D653" i="2" a="1"/>
  <c r="D653" i="2"/>
  <c r="D654" i="2" a="1"/>
  <c r="D654" i="2"/>
  <c r="D655" i="2" a="1"/>
  <c r="D655" i="2"/>
  <c r="D656" i="2" a="1"/>
  <c r="D656" i="2"/>
  <c r="D657" i="2" a="1"/>
  <c r="D657" i="2"/>
  <c r="D658" i="2" a="1"/>
  <c r="D658" i="2"/>
  <c r="D659" i="2" a="1"/>
  <c r="D659" i="2"/>
  <c r="D660" i="2" a="1"/>
  <c r="D660" i="2"/>
  <c r="D661" i="2" a="1"/>
  <c r="D661" i="2"/>
  <c r="D662" i="2" a="1"/>
  <c r="D662" i="2"/>
  <c r="D663" i="2" a="1"/>
  <c r="D663" i="2"/>
  <c r="D664" i="2" a="1"/>
  <c r="D664" i="2"/>
  <c r="D665" i="2" a="1"/>
  <c r="D665" i="2"/>
  <c r="D666" i="2" a="1"/>
  <c r="D666" i="2"/>
  <c r="D667" i="2" a="1"/>
  <c r="D667" i="2"/>
  <c r="D668" i="2" a="1"/>
  <c r="D668" i="2"/>
  <c r="D669" i="2" a="1"/>
  <c r="D669" i="2"/>
  <c r="D670" i="2" a="1"/>
  <c r="D670" i="2"/>
  <c r="D671" i="2" a="1"/>
  <c r="D671" i="2"/>
  <c r="D672" i="2" a="1"/>
  <c r="D672" i="2"/>
  <c r="D673" i="2" a="1"/>
  <c r="D673" i="2"/>
  <c r="D674" i="2" a="1"/>
  <c r="D674" i="2"/>
  <c r="D675" i="2" a="1"/>
  <c r="D675" i="2"/>
  <c r="D676" i="2" a="1"/>
  <c r="D676" i="2"/>
  <c r="D677" i="2" a="1"/>
  <c r="D677" i="2"/>
  <c r="D678" i="2" a="1"/>
  <c r="D678" i="2"/>
  <c r="D679" i="2" a="1"/>
  <c r="D679" i="2"/>
  <c r="D680" i="2" a="1"/>
  <c r="D680" i="2"/>
  <c r="D681" i="2" a="1"/>
  <c r="D681" i="2"/>
  <c r="D682" i="2" a="1"/>
  <c r="D682" i="2"/>
  <c r="D683" i="2" a="1"/>
  <c r="D683" i="2"/>
  <c r="D684" i="2" a="1"/>
  <c r="D684" i="2"/>
  <c r="D685" i="2" a="1"/>
  <c r="D685" i="2"/>
  <c r="D686" i="2" a="1"/>
  <c r="D686" i="2"/>
  <c r="D687" i="2" a="1"/>
  <c r="D687" i="2"/>
  <c r="D688" i="2" a="1"/>
  <c r="D688" i="2"/>
  <c r="D689" i="2" a="1"/>
  <c r="D689" i="2"/>
  <c r="D690" i="2" a="1"/>
  <c r="D690" i="2"/>
  <c r="D691" i="2" a="1"/>
  <c r="D691" i="2"/>
  <c r="D692" i="2" a="1"/>
  <c r="D692" i="2"/>
  <c r="D693" i="2" a="1"/>
  <c r="D693" i="2"/>
  <c r="D694" i="2" a="1"/>
  <c r="D694" i="2"/>
  <c r="D695" i="2" a="1"/>
  <c r="D695" i="2"/>
  <c r="D696" i="2" a="1"/>
  <c r="D696" i="2"/>
  <c r="D697" i="2" a="1"/>
  <c r="D697" i="2"/>
  <c r="D698" i="2" a="1"/>
  <c r="D698" i="2"/>
  <c r="D699" i="2" a="1"/>
  <c r="D699" i="2"/>
  <c r="D700" i="2" a="1"/>
  <c r="D700" i="2"/>
  <c r="D701" i="2" a="1"/>
  <c r="D701" i="2"/>
  <c r="D702" i="2" a="1"/>
  <c r="D702" i="2"/>
  <c r="D703" i="2" a="1"/>
  <c r="D703" i="2"/>
  <c r="D704" i="2" a="1"/>
  <c r="D704" i="2"/>
  <c r="D705" i="2" a="1"/>
  <c r="D705" i="2"/>
  <c r="D706" i="2" a="1"/>
  <c r="D706" i="2"/>
  <c r="D707" i="2" a="1"/>
  <c r="D707" i="2"/>
  <c r="D708" i="2" a="1"/>
  <c r="D708" i="2"/>
  <c r="D709" i="2" a="1"/>
  <c r="D709" i="2"/>
  <c r="D710" i="2" a="1"/>
  <c r="D710" i="2"/>
  <c r="D711" i="2" a="1"/>
  <c r="D711" i="2"/>
  <c r="D712" i="2" a="1"/>
  <c r="D712" i="2"/>
  <c r="D713" i="2" a="1"/>
  <c r="D713" i="2"/>
  <c r="D714" i="2" a="1"/>
  <c r="D714" i="2"/>
  <c r="D715" i="2" a="1"/>
  <c r="D715" i="2"/>
  <c r="D716" i="2" a="1"/>
  <c r="D716" i="2"/>
  <c r="D717" i="2" a="1"/>
  <c r="D717" i="2"/>
  <c r="D718" i="2" a="1"/>
  <c r="D718" i="2"/>
  <c r="D719" i="2" a="1"/>
  <c r="D719" i="2"/>
  <c r="D720" i="2" a="1"/>
  <c r="D720" i="2"/>
  <c r="D721" i="2" a="1"/>
  <c r="D721" i="2"/>
  <c r="D722" i="2" a="1"/>
  <c r="D722" i="2"/>
  <c r="D723" i="2" a="1"/>
  <c r="D723" i="2"/>
  <c r="D724" i="2" a="1"/>
  <c r="D724" i="2"/>
  <c r="D725" i="2" a="1"/>
  <c r="D725" i="2"/>
  <c r="D726" i="2" a="1"/>
  <c r="D726" i="2"/>
  <c r="D727" i="2" a="1"/>
  <c r="D727" i="2"/>
  <c r="D728" i="2" a="1"/>
  <c r="D728" i="2"/>
  <c r="D729" i="2" a="1"/>
  <c r="D729" i="2"/>
  <c r="D730" i="2" a="1"/>
  <c r="D730" i="2"/>
  <c r="D731" i="2" a="1"/>
  <c r="D731" i="2"/>
  <c r="D732" i="2" a="1"/>
  <c r="D732" i="2"/>
  <c r="D733" i="2" a="1"/>
  <c r="D733" i="2"/>
  <c r="D734" i="2" a="1"/>
  <c r="D734" i="2"/>
  <c r="D735" i="2" a="1"/>
  <c r="D735" i="2"/>
  <c r="D736" i="2" a="1"/>
  <c r="D736" i="2"/>
  <c r="D737" i="2" a="1"/>
  <c r="D737" i="2"/>
  <c r="D738" i="2" a="1"/>
  <c r="D738" i="2"/>
  <c r="D739" i="2" a="1"/>
  <c r="D739" i="2"/>
  <c r="D740" i="2" a="1"/>
  <c r="D740" i="2"/>
  <c r="D741" i="2" a="1"/>
  <c r="D741" i="2"/>
  <c r="D742" i="2" a="1"/>
  <c r="D742" i="2"/>
  <c r="D743" i="2" a="1"/>
  <c r="D743" i="2"/>
  <c r="D744" i="2" a="1"/>
  <c r="D744" i="2"/>
  <c r="D745" i="2" a="1"/>
  <c r="D745" i="2"/>
  <c r="D746" i="2" a="1"/>
  <c r="D746" i="2"/>
  <c r="D747" i="2" a="1"/>
  <c r="D747" i="2"/>
  <c r="D748" i="2" a="1"/>
  <c r="D748" i="2"/>
  <c r="D749" i="2" a="1"/>
  <c r="D749" i="2"/>
  <c r="D750" i="2" a="1"/>
  <c r="D750" i="2"/>
  <c r="D751" i="2" a="1"/>
  <c r="D751" i="2"/>
  <c r="D752" i="2" a="1"/>
  <c r="D752" i="2"/>
  <c r="D753" i="2" a="1"/>
  <c r="D753" i="2"/>
  <c r="D754" i="2" a="1"/>
  <c r="D754" i="2"/>
  <c r="D755" i="2" a="1"/>
  <c r="D755" i="2"/>
  <c r="D756" i="2" a="1"/>
  <c r="D756" i="2"/>
  <c r="D757" i="2" a="1"/>
  <c r="D757" i="2"/>
  <c r="D758" i="2" a="1"/>
  <c r="D758" i="2"/>
  <c r="D759" i="2" a="1"/>
  <c r="D759" i="2"/>
  <c r="D760" i="2" a="1"/>
  <c r="D760" i="2"/>
  <c r="D761" i="2" a="1"/>
  <c r="D761" i="2"/>
  <c r="D762" i="2" a="1"/>
  <c r="D762" i="2"/>
  <c r="D763" i="2" a="1"/>
  <c r="D763" i="2"/>
  <c r="D764" i="2" a="1"/>
  <c r="D764" i="2"/>
  <c r="D765" i="2" a="1"/>
  <c r="D765" i="2"/>
  <c r="D766" i="2" a="1"/>
  <c r="D766" i="2"/>
  <c r="D767" i="2" a="1"/>
  <c r="D767" i="2"/>
  <c r="D768" i="2" a="1"/>
  <c r="D768" i="2"/>
  <c r="D769" i="2" a="1"/>
  <c r="D769" i="2"/>
  <c r="D770" i="2" a="1"/>
  <c r="D770" i="2"/>
  <c r="D771" i="2" a="1"/>
  <c r="D771" i="2"/>
  <c r="D772" i="2" a="1"/>
  <c r="D772" i="2"/>
  <c r="D773" i="2" a="1"/>
  <c r="D773" i="2"/>
  <c r="D774" i="2" a="1"/>
  <c r="D774" i="2"/>
  <c r="D775" i="2" a="1"/>
  <c r="D775" i="2"/>
  <c r="D776" i="2" a="1"/>
  <c r="D776" i="2"/>
  <c r="D777" i="2" a="1"/>
  <c r="D777" i="2"/>
  <c r="D778" i="2" a="1"/>
  <c r="D778" i="2"/>
  <c r="D779" i="2" a="1"/>
  <c r="D779" i="2"/>
  <c r="D780" i="2" a="1"/>
  <c r="D780" i="2"/>
  <c r="D781" i="2" a="1"/>
  <c r="D781" i="2"/>
  <c r="D782" i="2" a="1"/>
  <c r="D782" i="2"/>
  <c r="D783" i="2" a="1"/>
  <c r="D783" i="2"/>
  <c r="D784" i="2" a="1"/>
  <c r="D784" i="2"/>
  <c r="D785" i="2" a="1"/>
  <c r="D785" i="2"/>
  <c r="D786" i="2" a="1"/>
  <c r="D786" i="2"/>
  <c r="D787" i="2" a="1"/>
  <c r="D787" i="2"/>
  <c r="D788" i="2" a="1"/>
  <c r="D788" i="2"/>
  <c r="D789" i="2" a="1"/>
  <c r="D789" i="2"/>
  <c r="D790" i="2" a="1"/>
  <c r="D790" i="2"/>
  <c r="D791" i="2" a="1"/>
  <c r="D791" i="2"/>
  <c r="D792" i="2" a="1"/>
  <c r="D792" i="2"/>
  <c r="D793" i="2" a="1"/>
  <c r="D793" i="2"/>
  <c r="D794" i="2" a="1"/>
  <c r="D794" i="2"/>
  <c r="D795" i="2" a="1"/>
  <c r="D795" i="2"/>
  <c r="D796" i="2" a="1"/>
  <c r="D796" i="2"/>
  <c r="D797" i="2" a="1"/>
  <c r="D797" i="2"/>
  <c r="D798" i="2" a="1"/>
  <c r="D798" i="2"/>
  <c r="D799" i="2" a="1"/>
  <c r="D799" i="2"/>
  <c r="D800" i="2" a="1"/>
  <c r="D800" i="2"/>
  <c r="D801" i="2" a="1"/>
  <c r="D801" i="2"/>
  <c r="D802" i="2" a="1"/>
  <c r="D802" i="2"/>
  <c r="D803" i="2" a="1"/>
  <c r="D803" i="2"/>
  <c r="D804" i="2" a="1"/>
  <c r="D804" i="2"/>
  <c r="D805" i="2" a="1"/>
  <c r="D805" i="2"/>
  <c r="D806" i="2" a="1"/>
  <c r="D806" i="2"/>
  <c r="D807" i="2" a="1"/>
  <c r="D807" i="2"/>
  <c r="D808" i="2" a="1"/>
  <c r="D808" i="2"/>
  <c r="D809" i="2" a="1"/>
  <c r="D809" i="2"/>
  <c r="D810" i="2" a="1"/>
  <c r="D810" i="2"/>
  <c r="D811" i="2" a="1"/>
  <c r="D811" i="2"/>
  <c r="D812" i="2" a="1"/>
  <c r="D812" i="2"/>
  <c r="D813" i="2" a="1"/>
  <c r="D813" i="2"/>
  <c r="D814" i="2" a="1"/>
  <c r="D814" i="2"/>
  <c r="D815" i="2" a="1"/>
  <c r="D815" i="2"/>
  <c r="D816" i="2" a="1"/>
  <c r="D816" i="2"/>
  <c r="D817" i="2" a="1"/>
  <c r="D817" i="2"/>
  <c r="D818" i="2" a="1"/>
  <c r="D818" i="2"/>
  <c r="D819" i="2" a="1"/>
  <c r="D819" i="2"/>
  <c r="D820" i="2" a="1"/>
  <c r="D820" i="2"/>
  <c r="D821" i="2" a="1"/>
  <c r="D821" i="2"/>
  <c r="D822" i="2" a="1"/>
  <c r="D822" i="2"/>
  <c r="D823" i="2" a="1"/>
  <c r="D823" i="2"/>
  <c r="D824" i="2" a="1"/>
  <c r="D824" i="2"/>
  <c r="D825" i="2" a="1"/>
  <c r="D825" i="2"/>
  <c r="D826" i="2" a="1"/>
  <c r="D826" i="2"/>
  <c r="D827" i="2" a="1"/>
  <c r="D827" i="2"/>
  <c r="D828" i="2" a="1"/>
  <c r="D828" i="2"/>
  <c r="D829" i="2" a="1"/>
  <c r="D829" i="2"/>
  <c r="D830" i="2" a="1"/>
  <c r="D830" i="2"/>
  <c r="D831" i="2" a="1"/>
  <c r="D831" i="2"/>
  <c r="D832" i="2" a="1"/>
  <c r="D832" i="2"/>
  <c r="D833" i="2" a="1"/>
  <c r="D833" i="2"/>
  <c r="D834" i="2" a="1"/>
  <c r="D834" i="2"/>
  <c r="D835" i="2" a="1"/>
  <c r="D835" i="2"/>
  <c r="D836" i="2" a="1"/>
  <c r="D836" i="2"/>
  <c r="D837" i="2" a="1"/>
  <c r="D837" i="2"/>
  <c r="D838" i="2" a="1"/>
  <c r="D838" i="2"/>
  <c r="D839" i="2" a="1"/>
  <c r="D839" i="2"/>
  <c r="D840" i="2" a="1"/>
  <c r="D840" i="2"/>
  <c r="D841" i="2" a="1"/>
  <c r="D841" i="2"/>
  <c r="D842" i="2" a="1"/>
  <c r="D842" i="2"/>
  <c r="D843" i="2" a="1"/>
  <c r="D843" i="2"/>
  <c r="D844" i="2" a="1"/>
  <c r="D844" i="2"/>
  <c r="D845" i="2" a="1"/>
  <c r="D845" i="2"/>
  <c r="D846" i="2" a="1"/>
  <c r="D846" i="2"/>
  <c r="D847" i="2" a="1"/>
  <c r="D847" i="2"/>
  <c r="D848" i="2" a="1"/>
  <c r="D848" i="2"/>
  <c r="D849" i="2" a="1"/>
  <c r="D849" i="2"/>
  <c r="D850" i="2" a="1"/>
  <c r="D850" i="2"/>
  <c r="D851" i="2" a="1"/>
  <c r="D851" i="2"/>
  <c r="D852" i="2" a="1"/>
  <c r="D852" i="2"/>
  <c r="D853" i="2" a="1"/>
  <c r="D853" i="2"/>
  <c r="D854" i="2" a="1"/>
  <c r="D854" i="2"/>
  <c r="D855" i="2" a="1"/>
  <c r="D855" i="2"/>
  <c r="D856" i="2" a="1"/>
  <c r="D856" i="2"/>
  <c r="D857" i="2" a="1"/>
  <c r="D857" i="2"/>
  <c r="D858" i="2" a="1"/>
  <c r="D858" i="2"/>
  <c r="D859" i="2" a="1"/>
  <c r="D859" i="2"/>
  <c r="D860" i="2" a="1"/>
  <c r="D860" i="2"/>
  <c r="D861" i="2" a="1"/>
  <c r="D861" i="2"/>
  <c r="D862" i="2" a="1"/>
  <c r="D862" i="2"/>
  <c r="D863" i="2" a="1"/>
  <c r="D863" i="2"/>
  <c r="D864" i="2" a="1"/>
  <c r="D864" i="2"/>
  <c r="D865" i="2" a="1"/>
  <c r="D865" i="2"/>
  <c r="D866" i="2" a="1"/>
  <c r="D866" i="2"/>
  <c r="D867" i="2" a="1"/>
  <c r="D867" i="2"/>
  <c r="D868" i="2" a="1"/>
  <c r="D868" i="2"/>
  <c r="D869" i="2" a="1"/>
  <c r="D869" i="2"/>
  <c r="D870" i="2" a="1"/>
  <c r="D870" i="2"/>
  <c r="D871" i="2" a="1"/>
  <c r="D871" i="2"/>
  <c r="D872" i="2" a="1"/>
  <c r="D872" i="2"/>
  <c r="D873" i="2" a="1"/>
  <c r="D873" i="2"/>
  <c r="D874" i="2" a="1"/>
  <c r="D874" i="2"/>
  <c r="D875" i="2" a="1"/>
  <c r="D875" i="2"/>
  <c r="D876" i="2" a="1"/>
  <c r="D876" i="2"/>
  <c r="D877" i="2" a="1"/>
  <c r="D877" i="2"/>
  <c r="D878" i="2" a="1"/>
  <c r="D878" i="2"/>
  <c r="D879" i="2" a="1"/>
  <c r="D879" i="2"/>
  <c r="D880" i="2" a="1"/>
  <c r="D880" i="2"/>
  <c r="D881" i="2" a="1"/>
  <c r="D881" i="2"/>
  <c r="D882" i="2" a="1"/>
  <c r="D882" i="2"/>
  <c r="D883" i="2" a="1"/>
  <c r="D883" i="2"/>
  <c r="D884" i="2" a="1"/>
  <c r="D884" i="2"/>
  <c r="D885" i="2" a="1"/>
  <c r="D885" i="2"/>
  <c r="D886" i="2" a="1"/>
  <c r="D886" i="2"/>
  <c r="D887" i="2" a="1"/>
  <c r="D887" i="2"/>
  <c r="D888" i="2" a="1"/>
  <c r="D888" i="2"/>
  <c r="D889" i="2" a="1"/>
  <c r="D889" i="2"/>
  <c r="D890" i="2" a="1"/>
  <c r="D890" i="2"/>
  <c r="D891" i="2" a="1"/>
  <c r="D891" i="2"/>
  <c r="D892" i="2" a="1"/>
  <c r="D892" i="2"/>
  <c r="D893" i="2" a="1"/>
  <c r="D893" i="2"/>
  <c r="D894" i="2" a="1"/>
  <c r="D894" i="2"/>
  <c r="D895" i="2" a="1"/>
  <c r="D895" i="2"/>
  <c r="D896" i="2" a="1"/>
  <c r="D896" i="2"/>
  <c r="D897" i="2" a="1"/>
  <c r="D897" i="2"/>
  <c r="D898" i="2" a="1"/>
  <c r="D898" i="2"/>
  <c r="D899" i="2" a="1"/>
  <c r="D899" i="2"/>
  <c r="D900" i="2" a="1"/>
  <c r="D900" i="2"/>
  <c r="D901" i="2" a="1"/>
  <c r="D901" i="2"/>
  <c r="D902" i="2" a="1"/>
  <c r="D902" i="2"/>
  <c r="D903" i="2" a="1"/>
  <c r="D903" i="2"/>
  <c r="D904" i="2" a="1"/>
  <c r="D904" i="2"/>
  <c r="D905" i="2" a="1"/>
  <c r="D905" i="2"/>
  <c r="D906" i="2" a="1"/>
  <c r="D906" i="2"/>
  <c r="D907" i="2" a="1"/>
  <c r="D907" i="2"/>
  <c r="D908" i="2" a="1"/>
  <c r="D908" i="2"/>
  <c r="D909" i="2" a="1"/>
  <c r="D909" i="2"/>
  <c r="D910" i="2" a="1"/>
  <c r="D910" i="2"/>
  <c r="D911" i="2" a="1"/>
  <c r="D911" i="2"/>
  <c r="D912" i="2" a="1"/>
  <c r="D912" i="2"/>
  <c r="D913" i="2" a="1"/>
  <c r="D913" i="2"/>
  <c r="D914" i="2" a="1"/>
  <c r="D914" i="2"/>
  <c r="D915" i="2" a="1"/>
  <c r="D915" i="2"/>
  <c r="D916" i="2" a="1"/>
  <c r="D916" i="2"/>
  <c r="D917" i="2" a="1"/>
  <c r="D917" i="2"/>
  <c r="D918" i="2" a="1"/>
  <c r="D918" i="2"/>
  <c r="D919" i="2" a="1"/>
  <c r="D919" i="2"/>
  <c r="D920" i="2" a="1"/>
  <c r="D920" i="2"/>
  <c r="D921" i="2" a="1"/>
  <c r="D921" i="2"/>
  <c r="D922" i="2" a="1"/>
  <c r="D922" i="2"/>
  <c r="D923" i="2" a="1"/>
  <c r="D923" i="2"/>
  <c r="D924" i="2" a="1"/>
  <c r="D924" i="2"/>
  <c r="D925" i="2" a="1"/>
  <c r="D925" i="2"/>
  <c r="D926" i="2" a="1"/>
  <c r="D926" i="2"/>
  <c r="D927" i="2" a="1"/>
  <c r="D927" i="2"/>
  <c r="D928" i="2" a="1"/>
  <c r="D928" i="2"/>
  <c r="D929" i="2" a="1"/>
  <c r="D929" i="2"/>
  <c r="D930" i="2" a="1"/>
  <c r="D930" i="2"/>
  <c r="D931" i="2" a="1"/>
  <c r="D931" i="2"/>
  <c r="D932" i="2" a="1"/>
  <c r="D932" i="2"/>
  <c r="D933" i="2" a="1"/>
  <c r="D933" i="2"/>
  <c r="D934" i="2" a="1"/>
  <c r="D934" i="2"/>
  <c r="D935" i="2" a="1"/>
  <c r="D935" i="2"/>
  <c r="D936" i="2" a="1"/>
  <c r="D936" i="2"/>
  <c r="D937" i="2" a="1"/>
  <c r="D937" i="2"/>
  <c r="D938" i="2" a="1"/>
  <c r="D938" i="2"/>
  <c r="D939" i="2" a="1"/>
  <c r="D939" i="2"/>
  <c r="D940" i="2" a="1"/>
  <c r="D940" i="2"/>
  <c r="D941" i="2" a="1"/>
  <c r="D941" i="2"/>
  <c r="D942" i="2" a="1"/>
  <c r="D942" i="2"/>
  <c r="D943" i="2" a="1"/>
  <c r="D943" i="2"/>
  <c r="D944" i="2" a="1"/>
  <c r="D944" i="2"/>
  <c r="D945" i="2" a="1"/>
  <c r="D945" i="2"/>
  <c r="D946" i="2" a="1"/>
  <c r="D946" i="2"/>
  <c r="D947" i="2" a="1"/>
  <c r="D947" i="2"/>
  <c r="D948" i="2" a="1"/>
  <c r="D948" i="2"/>
  <c r="D949" i="2" a="1"/>
  <c r="D949" i="2"/>
  <c r="D950" i="2" a="1"/>
  <c r="D950" i="2"/>
  <c r="D951" i="2" a="1"/>
  <c r="D951" i="2"/>
  <c r="D952" i="2" a="1"/>
  <c r="D952" i="2"/>
  <c r="D953" i="2" a="1"/>
  <c r="D953" i="2"/>
  <c r="D954" i="2" a="1"/>
  <c r="D954" i="2"/>
  <c r="D955" i="2" a="1"/>
  <c r="D955" i="2"/>
  <c r="D956" i="2" a="1"/>
  <c r="D956" i="2"/>
  <c r="D957" i="2" a="1"/>
  <c r="D957" i="2"/>
  <c r="D958" i="2" a="1"/>
  <c r="D958" i="2"/>
  <c r="D959" i="2" a="1"/>
  <c r="D959" i="2"/>
  <c r="D960" i="2" a="1"/>
  <c r="D960" i="2"/>
  <c r="D961" i="2" a="1"/>
  <c r="D961" i="2"/>
  <c r="D962" i="2" a="1"/>
  <c r="D962" i="2"/>
  <c r="D963" i="2" a="1"/>
  <c r="D963" i="2"/>
  <c r="D964" i="2" a="1"/>
  <c r="D964" i="2"/>
  <c r="D965" i="2" a="1"/>
  <c r="D965" i="2"/>
  <c r="D966" i="2" a="1"/>
  <c r="D966" i="2"/>
  <c r="D967" i="2" a="1"/>
  <c r="D967" i="2"/>
  <c r="D968" i="2" a="1"/>
  <c r="D968" i="2"/>
  <c r="D969" i="2" a="1"/>
  <c r="D969" i="2"/>
  <c r="D970" i="2" a="1"/>
  <c r="D970" i="2"/>
  <c r="D971" i="2" a="1"/>
  <c r="D971" i="2"/>
  <c r="D972" i="2" a="1"/>
  <c r="D972" i="2"/>
  <c r="D973" i="2" a="1"/>
  <c r="D973" i="2"/>
  <c r="D974" i="2" a="1"/>
  <c r="D974" i="2"/>
  <c r="D975" i="2" a="1"/>
  <c r="D975" i="2"/>
  <c r="D976" i="2" a="1"/>
  <c r="D976" i="2"/>
  <c r="D977" i="2" a="1"/>
  <c r="D977" i="2"/>
  <c r="D978" i="2" a="1"/>
  <c r="D978" i="2"/>
  <c r="D979" i="2" a="1"/>
  <c r="D979" i="2"/>
  <c r="D980" i="2" a="1"/>
  <c r="D980" i="2"/>
  <c r="D981" i="2" a="1"/>
  <c r="D981" i="2"/>
  <c r="D982" i="2" a="1"/>
  <c r="D982" i="2"/>
  <c r="D983" i="2" a="1"/>
  <c r="D983" i="2"/>
  <c r="D984" i="2" a="1"/>
  <c r="D984" i="2"/>
  <c r="D985" i="2" a="1"/>
  <c r="D985" i="2"/>
  <c r="D986" i="2" a="1"/>
  <c r="D986" i="2"/>
  <c r="D987" i="2" a="1"/>
  <c r="D987" i="2"/>
  <c r="D988" i="2" a="1"/>
  <c r="D988" i="2"/>
  <c r="D989" i="2" a="1"/>
  <c r="D989" i="2"/>
  <c r="D990" i="2" a="1"/>
  <c r="D990" i="2"/>
  <c r="D991" i="2" a="1"/>
  <c r="D991" i="2"/>
  <c r="D992" i="2" a="1"/>
  <c r="D992" i="2"/>
  <c r="D993" i="2" a="1"/>
  <c r="D993" i="2"/>
  <c r="D994" i="2" a="1"/>
  <c r="D994" i="2"/>
  <c r="D995" i="2" a="1"/>
  <c r="D995" i="2"/>
  <c r="D996" i="2" a="1"/>
  <c r="D996" i="2"/>
  <c r="D997" i="2" a="1"/>
  <c r="D997" i="2"/>
  <c r="D998" i="2" a="1"/>
  <c r="D998" i="2"/>
  <c r="D999" i="2" a="1"/>
  <c r="D999" i="2"/>
  <c r="D1000" i="2" a="1"/>
  <c r="D1000" i="2"/>
  <c r="D1001" i="2" a="1"/>
  <c r="D1001" i="2"/>
  <c r="D1002" i="2" a="1"/>
  <c r="D1002" i="2"/>
  <c r="D1003" i="2" a="1"/>
  <c r="D1003" i="2"/>
  <c r="D1004" i="2" a="1"/>
  <c r="D1004" i="2"/>
  <c r="D1005" i="2" a="1"/>
  <c r="D1005" i="2"/>
  <c r="D1006" i="2" a="1"/>
  <c r="D1006" i="2"/>
  <c r="D1007" i="2" a="1"/>
  <c r="D1007" i="2"/>
  <c r="D1008" i="2" a="1"/>
  <c r="D1008" i="2"/>
  <c r="D1009" i="2" a="1"/>
  <c r="D1009" i="2"/>
  <c r="D1010" i="2" a="1"/>
  <c r="D1010" i="2"/>
  <c r="D1011" i="2" a="1"/>
  <c r="D1011" i="2"/>
  <c r="D1012" i="2" a="1"/>
  <c r="D1012" i="2"/>
  <c r="D1013" i="2" a="1"/>
  <c r="D1013" i="2"/>
  <c r="D1014" i="2" a="1"/>
  <c r="D1014" i="2"/>
  <c r="D1015" i="2" a="1"/>
  <c r="D1015" i="2"/>
  <c r="D1016" i="2" a="1"/>
  <c r="D1016" i="2"/>
  <c r="D1017" i="2" a="1"/>
  <c r="D1017" i="2"/>
  <c r="D1018" i="2" a="1"/>
  <c r="D1018" i="2"/>
  <c r="D1019" i="2" a="1"/>
  <c r="D1019" i="2"/>
  <c r="D1020" i="2" a="1"/>
  <c r="D1020" i="2"/>
  <c r="D1021" i="2" a="1"/>
  <c r="D1021" i="2"/>
  <c r="D1022" i="2" a="1"/>
  <c r="D1022" i="2"/>
  <c r="D1023" i="2" a="1"/>
  <c r="D1023" i="2"/>
  <c r="D1024" i="2" a="1"/>
  <c r="D1024" i="2"/>
  <c r="D1025" i="2" a="1"/>
  <c r="D1025" i="2"/>
  <c r="D1026" i="2" a="1"/>
  <c r="D1026" i="2"/>
  <c r="D1027" i="2" a="1"/>
  <c r="D1027" i="2"/>
  <c r="D1028" i="2" a="1"/>
  <c r="D1028" i="2"/>
  <c r="D1029" i="2" a="1"/>
  <c r="D1029" i="2"/>
  <c r="D1030" i="2" a="1"/>
  <c r="D1030" i="2"/>
  <c r="D1031" i="2" a="1"/>
  <c r="D1031" i="2"/>
  <c r="D1032" i="2" a="1"/>
  <c r="D1032" i="2"/>
  <c r="D1033" i="2" a="1"/>
  <c r="D1033" i="2"/>
  <c r="D1034" i="2" a="1"/>
  <c r="D1034" i="2"/>
  <c r="D1035" i="2" a="1"/>
  <c r="D1035" i="2"/>
  <c r="D1036" i="2" a="1"/>
  <c r="D1036" i="2"/>
  <c r="D1037" i="2" a="1"/>
  <c r="D1037" i="2"/>
  <c r="D1038" i="2" a="1"/>
  <c r="D1038" i="2"/>
  <c r="D1039" i="2" a="1"/>
  <c r="D1039" i="2"/>
  <c r="D1040" i="2" a="1"/>
  <c r="D1040" i="2"/>
  <c r="D1041" i="2" a="1"/>
  <c r="D1041" i="2"/>
  <c r="D1042" i="2" a="1"/>
  <c r="D1042" i="2"/>
  <c r="D1043" i="2" a="1"/>
  <c r="D1043" i="2"/>
  <c r="D1044" i="2" a="1"/>
  <c r="D1044" i="2"/>
  <c r="D1045" i="2" a="1"/>
  <c r="D1045" i="2"/>
  <c r="D1046" i="2" a="1"/>
  <c r="D1046" i="2"/>
  <c r="D1047" i="2" a="1"/>
  <c r="D1047" i="2"/>
  <c r="D1048" i="2" a="1"/>
  <c r="D1048" i="2"/>
  <c r="D1049" i="2" a="1"/>
  <c r="D1049" i="2"/>
  <c r="D1050" i="2" a="1"/>
  <c r="D1050" i="2"/>
  <c r="D1051" i="2" a="1"/>
  <c r="D1051" i="2"/>
  <c r="D1052" i="2" a="1"/>
  <c r="D1052" i="2"/>
  <c r="D1053" i="2" a="1"/>
  <c r="D1053" i="2"/>
  <c r="D1054" i="2" a="1"/>
  <c r="D1054" i="2"/>
  <c r="D1055" i="2" a="1"/>
  <c r="D1055" i="2"/>
  <c r="D1056" i="2" a="1"/>
  <c r="D1056" i="2"/>
  <c r="D1057" i="2" a="1"/>
  <c r="D1057" i="2"/>
  <c r="D1058" i="2" a="1"/>
  <c r="D1058" i="2"/>
  <c r="D1059" i="2" a="1"/>
  <c r="D1059" i="2"/>
  <c r="D1060" i="2" a="1"/>
  <c r="D1060" i="2"/>
  <c r="D1061" i="2" a="1"/>
  <c r="D1061" i="2"/>
  <c r="D1062" i="2" a="1"/>
  <c r="D1062" i="2"/>
  <c r="D1063" i="2" a="1"/>
  <c r="D1063" i="2"/>
  <c r="D1064" i="2" a="1"/>
  <c r="D1064" i="2"/>
  <c r="D1065" i="2" a="1"/>
  <c r="D1065" i="2"/>
  <c r="D1066" i="2" a="1"/>
  <c r="D1066" i="2"/>
  <c r="D1067" i="2" a="1"/>
  <c r="D1067" i="2"/>
  <c r="D1068" i="2" a="1"/>
  <c r="D1068" i="2"/>
  <c r="D1069" i="2" a="1"/>
  <c r="D1069" i="2"/>
  <c r="D1070" i="2" a="1"/>
  <c r="D1070" i="2"/>
  <c r="D1071" i="2" a="1"/>
  <c r="D1071" i="2"/>
  <c r="D1072" i="2" a="1"/>
  <c r="D1072" i="2"/>
  <c r="D1073" i="2" a="1"/>
  <c r="D1073" i="2"/>
  <c r="D1074" i="2" a="1"/>
  <c r="D1074" i="2"/>
  <c r="D1075" i="2" a="1"/>
  <c r="D1075" i="2"/>
  <c r="D1076" i="2" a="1"/>
  <c r="D1076" i="2"/>
  <c r="D1077" i="2" a="1"/>
  <c r="D1077" i="2"/>
  <c r="D1078" i="2" a="1"/>
  <c r="D1078" i="2"/>
  <c r="D1079" i="2" a="1"/>
  <c r="D1079" i="2"/>
  <c r="D1080" i="2" a="1"/>
  <c r="D1080" i="2"/>
  <c r="D1081" i="2" a="1"/>
  <c r="D1081" i="2"/>
  <c r="D1082" i="2" a="1"/>
  <c r="D1082" i="2"/>
  <c r="D1083" i="2" a="1"/>
  <c r="D1083" i="2"/>
  <c r="D1084" i="2" a="1"/>
  <c r="D1084" i="2"/>
  <c r="D1085" i="2" a="1"/>
  <c r="D1085" i="2"/>
  <c r="D1086" i="2" a="1"/>
  <c r="D1086" i="2"/>
  <c r="D1087" i="2" a="1"/>
  <c r="D1087" i="2"/>
  <c r="D1088" i="2" a="1"/>
  <c r="D1088" i="2"/>
  <c r="D1089" i="2" a="1"/>
  <c r="D1089" i="2"/>
  <c r="D1090" i="2" a="1"/>
  <c r="D1090" i="2"/>
  <c r="D1091" i="2" a="1"/>
  <c r="D1091" i="2"/>
  <c r="D1092" i="2" a="1"/>
  <c r="D1092" i="2"/>
  <c r="D1093" i="2" a="1"/>
  <c r="D1093" i="2"/>
  <c r="D1094" i="2" a="1"/>
  <c r="D1094" i="2"/>
  <c r="D1095" i="2" a="1"/>
  <c r="D1095" i="2"/>
  <c r="D1096" i="2" a="1"/>
  <c r="D1096" i="2"/>
  <c r="D1097" i="2" a="1"/>
  <c r="D1097" i="2"/>
  <c r="D1098" i="2" a="1"/>
  <c r="D1098" i="2"/>
  <c r="D1099" i="2" a="1"/>
  <c r="D1099" i="2"/>
  <c r="D1100" i="2" a="1"/>
  <c r="D1100" i="2"/>
  <c r="D1101" i="2" a="1"/>
  <c r="D1101" i="2"/>
  <c r="D1102" i="2" a="1"/>
  <c r="D1102" i="2"/>
  <c r="D1103" i="2" a="1"/>
  <c r="D1103" i="2"/>
  <c r="D1104" i="2" a="1"/>
  <c r="D1104" i="2"/>
  <c r="D1105" i="2" a="1"/>
  <c r="D1105" i="2"/>
  <c r="D1106" i="2" a="1"/>
  <c r="D1106" i="2"/>
  <c r="D1107" i="2" a="1"/>
  <c r="D1107" i="2"/>
  <c r="D1108" i="2" a="1"/>
  <c r="D1108" i="2"/>
  <c r="D1109" i="2" a="1"/>
  <c r="D1109" i="2"/>
  <c r="D1110" i="2" a="1"/>
  <c r="D1110" i="2"/>
  <c r="D1111" i="2" a="1"/>
  <c r="D1111" i="2"/>
  <c r="D1112" i="2" a="1"/>
  <c r="D1112" i="2"/>
  <c r="D1113" i="2" a="1"/>
  <c r="D1113" i="2"/>
  <c r="D1114" i="2" a="1"/>
  <c r="D1114" i="2"/>
  <c r="D1115" i="2" a="1"/>
  <c r="D1115" i="2"/>
  <c r="D1116" i="2" a="1"/>
  <c r="D1116" i="2"/>
  <c r="D1117" i="2" a="1"/>
  <c r="D1117" i="2"/>
  <c r="D1118" i="2" a="1"/>
  <c r="D1118" i="2"/>
  <c r="D1119" i="2" a="1"/>
  <c r="D1119" i="2"/>
  <c r="D1120" i="2" a="1"/>
  <c r="D1120" i="2"/>
  <c r="D1121" i="2" a="1"/>
  <c r="D1121" i="2"/>
  <c r="D1122" i="2" a="1"/>
  <c r="D1122" i="2"/>
  <c r="D1123" i="2" a="1"/>
  <c r="D1123" i="2"/>
  <c r="D1124" i="2" a="1"/>
  <c r="D1124" i="2"/>
  <c r="D1125" i="2" a="1"/>
  <c r="D1125" i="2"/>
  <c r="D1126" i="2" a="1"/>
  <c r="D1126" i="2"/>
  <c r="D1127" i="2" a="1"/>
  <c r="D1127" i="2"/>
  <c r="D1128" i="2" a="1"/>
  <c r="D1128" i="2"/>
  <c r="D1129" i="2" a="1"/>
  <c r="D1129" i="2"/>
  <c r="D1130" i="2" a="1"/>
  <c r="D1130" i="2"/>
  <c r="D1131" i="2" a="1"/>
  <c r="D1131" i="2"/>
  <c r="D1132" i="2" a="1"/>
  <c r="D1132" i="2"/>
  <c r="D1133" i="2" a="1"/>
  <c r="D1133" i="2"/>
  <c r="D1134" i="2" a="1"/>
  <c r="D1134" i="2"/>
  <c r="D1135" i="2" a="1"/>
  <c r="D1135" i="2"/>
  <c r="D1136" i="2" a="1"/>
  <c r="D1136" i="2"/>
  <c r="D1137" i="2" a="1"/>
  <c r="D1137" i="2"/>
  <c r="D1138" i="2" a="1"/>
  <c r="D1138" i="2"/>
  <c r="D1139" i="2" a="1"/>
  <c r="D1139" i="2"/>
  <c r="D1140" i="2" a="1"/>
  <c r="D1140" i="2"/>
  <c r="D1141" i="2" a="1"/>
  <c r="D1141" i="2"/>
  <c r="D1142" i="2" a="1"/>
  <c r="D1142" i="2"/>
  <c r="D1143" i="2" a="1"/>
  <c r="D1143" i="2"/>
  <c r="D1144" i="2" a="1"/>
  <c r="D1144" i="2"/>
  <c r="D1145" i="2" a="1"/>
  <c r="D1145" i="2"/>
  <c r="D1146" i="2" a="1"/>
  <c r="D1146" i="2"/>
  <c r="D1147" i="2" a="1"/>
  <c r="D1147" i="2"/>
  <c r="D1148" i="2" a="1"/>
  <c r="D1148" i="2"/>
  <c r="D1149" i="2" a="1"/>
  <c r="D1149" i="2"/>
  <c r="D1150" i="2" a="1"/>
  <c r="D1150" i="2"/>
  <c r="D1151" i="2" a="1"/>
  <c r="D1151" i="2"/>
  <c r="D1152" i="2" a="1"/>
  <c r="D1152" i="2"/>
  <c r="D1153" i="2" a="1"/>
  <c r="D1153" i="2"/>
  <c r="D1154" i="2" a="1"/>
  <c r="D1154" i="2"/>
  <c r="D1155" i="2" a="1"/>
  <c r="D1155" i="2"/>
  <c r="D1156" i="2" a="1"/>
  <c r="D1156" i="2"/>
  <c r="D1157" i="2" a="1"/>
  <c r="D1157" i="2"/>
  <c r="D1158" i="2" a="1"/>
  <c r="D1158" i="2"/>
  <c r="D1159" i="2" a="1"/>
  <c r="D1159" i="2"/>
  <c r="D1160" i="2" a="1"/>
  <c r="D1160" i="2"/>
  <c r="D1161" i="2" a="1"/>
  <c r="D1161" i="2"/>
  <c r="D1162" i="2" a="1"/>
  <c r="D1162" i="2"/>
  <c r="D1163" i="2" a="1"/>
  <c r="D1163" i="2"/>
  <c r="D1164" i="2" a="1"/>
  <c r="D1164" i="2"/>
  <c r="D1165" i="2" a="1"/>
  <c r="D1165" i="2"/>
  <c r="D1166" i="2" a="1"/>
  <c r="D1166" i="2"/>
  <c r="D1167" i="2" a="1"/>
  <c r="D1167" i="2"/>
  <c r="D1168" i="2" a="1"/>
  <c r="D1168" i="2"/>
  <c r="D1169" i="2" a="1"/>
  <c r="D1169" i="2"/>
  <c r="D1170" i="2" a="1"/>
  <c r="D1170" i="2"/>
  <c r="D1171" i="2" a="1"/>
  <c r="D1171" i="2"/>
  <c r="D1172" i="2" a="1"/>
  <c r="D1172" i="2"/>
  <c r="D1173" i="2" a="1"/>
  <c r="D1173" i="2"/>
  <c r="D1174" i="2" a="1"/>
  <c r="D1174" i="2"/>
  <c r="D1175" i="2" a="1"/>
  <c r="D1175" i="2"/>
  <c r="D1176" i="2" a="1"/>
  <c r="D1176" i="2"/>
  <c r="D1177" i="2" a="1"/>
  <c r="D1177" i="2"/>
  <c r="D1178" i="2" a="1"/>
  <c r="D1178" i="2"/>
  <c r="D1179" i="2" a="1"/>
  <c r="D1179" i="2"/>
  <c r="D1180" i="2" a="1"/>
  <c r="D1180" i="2"/>
  <c r="D1181" i="2" a="1"/>
  <c r="D1181" i="2"/>
  <c r="D1182" i="2" a="1"/>
  <c r="D1182" i="2"/>
  <c r="D1183" i="2" a="1"/>
  <c r="D1183" i="2"/>
  <c r="D1184" i="2" a="1"/>
  <c r="D1184" i="2"/>
  <c r="D1185" i="2" a="1"/>
  <c r="D1185" i="2"/>
  <c r="D1186" i="2" a="1"/>
  <c r="D1186" i="2"/>
  <c r="D1187" i="2" a="1"/>
  <c r="D1187" i="2"/>
  <c r="D1188" i="2" a="1"/>
  <c r="D1188" i="2"/>
  <c r="D1189" i="2" a="1"/>
  <c r="D1189" i="2"/>
  <c r="D1190" i="2" a="1"/>
  <c r="D1190" i="2"/>
  <c r="D1191" i="2" a="1"/>
  <c r="D1191" i="2"/>
  <c r="D1192" i="2" a="1"/>
  <c r="D1192" i="2"/>
  <c r="D1193" i="2" a="1"/>
  <c r="D1193" i="2"/>
  <c r="D1194" i="2" a="1"/>
  <c r="D1194" i="2"/>
  <c r="D1195" i="2" a="1"/>
  <c r="D1195" i="2"/>
  <c r="D1196" i="2" a="1"/>
  <c r="D1196" i="2"/>
  <c r="D1197" i="2" a="1"/>
  <c r="D1197" i="2"/>
  <c r="D1198" i="2" a="1"/>
  <c r="D1198" i="2"/>
  <c r="D1199" i="2" a="1"/>
  <c r="D1199" i="2"/>
  <c r="D1200" i="2" a="1"/>
  <c r="D1200" i="2"/>
  <c r="D1201" i="2" a="1"/>
  <c r="D1201" i="2"/>
  <c r="D1202" i="2" a="1"/>
  <c r="D1202" i="2"/>
  <c r="D1203" i="2" a="1"/>
  <c r="D1203" i="2"/>
  <c r="D1204" i="2" a="1"/>
  <c r="D1204" i="2"/>
  <c r="D1205" i="2" a="1"/>
  <c r="D1205" i="2"/>
  <c r="D1206" i="2" a="1"/>
  <c r="D1206" i="2"/>
  <c r="D1207" i="2" a="1"/>
  <c r="D1207" i="2"/>
  <c r="D1208" i="2" a="1"/>
  <c r="D1208" i="2"/>
  <c r="D1209" i="2" a="1"/>
  <c r="D1209" i="2"/>
  <c r="D1210" i="2" a="1"/>
  <c r="D1210" i="2"/>
  <c r="D1211" i="2" a="1"/>
  <c r="D1211" i="2"/>
  <c r="D1212" i="2" a="1"/>
  <c r="D1212" i="2"/>
  <c r="D1213" i="2" a="1"/>
  <c r="D1213" i="2"/>
  <c r="D1214" i="2" a="1"/>
  <c r="D1214" i="2"/>
  <c r="D1215" i="2" a="1"/>
  <c r="D1215" i="2"/>
  <c r="D1216" i="2" a="1"/>
  <c r="D1216" i="2"/>
  <c r="D1217" i="2" a="1"/>
  <c r="D1217" i="2"/>
  <c r="D1218" i="2" a="1"/>
  <c r="D1218" i="2"/>
  <c r="D1219" i="2" a="1"/>
  <c r="D1219" i="2"/>
  <c r="D1220" i="2" a="1"/>
  <c r="D1220" i="2"/>
  <c r="D1221" i="2" a="1"/>
  <c r="D1221" i="2"/>
  <c r="D1222" i="2" a="1"/>
  <c r="D1222" i="2"/>
  <c r="D1223" i="2" a="1"/>
  <c r="D1223" i="2"/>
  <c r="D1224" i="2" a="1"/>
  <c r="D1224" i="2"/>
  <c r="D1225" i="2" a="1"/>
  <c r="D1225" i="2"/>
  <c r="D1226" i="2" a="1"/>
  <c r="D1226" i="2"/>
  <c r="D1227" i="2" a="1"/>
  <c r="D1227" i="2"/>
  <c r="D1228" i="2" a="1"/>
  <c r="D1228" i="2"/>
  <c r="D1229" i="2" a="1"/>
  <c r="D1229" i="2"/>
  <c r="D1230" i="2" a="1"/>
  <c r="D1230" i="2"/>
  <c r="D1231" i="2" a="1"/>
  <c r="D1231" i="2"/>
  <c r="D1232" i="2" a="1"/>
  <c r="D1232" i="2"/>
  <c r="D1233" i="2" a="1"/>
  <c r="D1233" i="2"/>
  <c r="D1234" i="2" a="1"/>
  <c r="D1234" i="2"/>
  <c r="D1235" i="2" a="1"/>
  <c r="D1235" i="2"/>
  <c r="D1236" i="2" a="1"/>
  <c r="D1236" i="2"/>
  <c r="D1237" i="2" a="1"/>
  <c r="D1237" i="2"/>
  <c r="D1238" i="2" a="1"/>
  <c r="D1238" i="2"/>
  <c r="D1239" i="2" a="1"/>
  <c r="D1239" i="2"/>
  <c r="D1240" i="2" a="1"/>
  <c r="D1240" i="2"/>
  <c r="D1241" i="2" a="1"/>
  <c r="D1241" i="2"/>
  <c r="D1242" i="2" a="1"/>
  <c r="D1242" i="2"/>
  <c r="D1243" i="2" a="1"/>
  <c r="D1243" i="2"/>
  <c r="D1244" i="2" a="1"/>
  <c r="D1244" i="2"/>
  <c r="D1245" i="2" a="1"/>
  <c r="D1245" i="2"/>
  <c r="D1246" i="2" a="1"/>
  <c r="D1246" i="2"/>
  <c r="D1247" i="2" a="1"/>
  <c r="D1247" i="2"/>
  <c r="D1248" i="2" a="1"/>
  <c r="D1248" i="2"/>
  <c r="D1249" i="2" a="1"/>
  <c r="D1249" i="2"/>
  <c r="D1250" i="2" a="1"/>
  <c r="D1250" i="2"/>
  <c r="D1251" i="2" a="1"/>
  <c r="D1251" i="2"/>
  <c r="D1252" i="2" a="1"/>
  <c r="D1252" i="2"/>
  <c r="D1253" i="2" a="1"/>
  <c r="D1253" i="2"/>
  <c r="D1254" i="2" a="1"/>
  <c r="D1254" i="2"/>
  <c r="D1255" i="2" a="1"/>
  <c r="D1255" i="2"/>
  <c r="D1256" i="2" a="1"/>
  <c r="D1256" i="2"/>
  <c r="D1257" i="2" a="1"/>
  <c r="D1257" i="2"/>
  <c r="D1258" i="2" a="1"/>
  <c r="D1258" i="2"/>
  <c r="D1259" i="2" a="1"/>
  <c r="D1259" i="2"/>
  <c r="D1260" i="2" a="1"/>
  <c r="D1260" i="2"/>
  <c r="D1261" i="2" a="1"/>
  <c r="D1261" i="2"/>
  <c r="D1262" i="2" a="1"/>
  <c r="D1262" i="2"/>
  <c r="D1263" i="2" a="1"/>
  <c r="D1263" i="2"/>
  <c r="D1264" i="2" a="1"/>
  <c r="D1264" i="2"/>
  <c r="D1265" i="2" a="1"/>
  <c r="D1265" i="2"/>
  <c r="D1266" i="2" a="1"/>
  <c r="D1266" i="2"/>
  <c r="D1267" i="2" a="1"/>
  <c r="D1267" i="2"/>
  <c r="D1268" i="2" a="1"/>
  <c r="D1268" i="2"/>
  <c r="D1269" i="2" a="1"/>
  <c r="D1269" i="2"/>
  <c r="D1270" i="2" a="1"/>
  <c r="D1270" i="2"/>
  <c r="D1271" i="2" a="1"/>
  <c r="D1271" i="2"/>
  <c r="D1272" i="2" a="1"/>
  <c r="D1272" i="2"/>
  <c r="D1273" i="2" a="1"/>
  <c r="D1273" i="2"/>
  <c r="D1274" i="2" a="1"/>
  <c r="D1274" i="2"/>
  <c r="D1275" i="2" a="1"/>
  <c r="D1275" i="2"/>
  <c r="D1276" i="2" a="1"/>
  <c r="D1276" i="2"/>
  <c r="D1277" i="2" a="1"/>
  <c r="D1277" i="2"/>
  <c r="D1278" i="2" a="1"/>
  <c r="D1278" i="2"/>
  <c r="D1279" i="2" a="1"/>
  <c r="D1279" i="2"/>
  <c r="D1280" i="2" a="1"/>
  <c r="D1280" i="2"/>
  <c r="D1281" i="2" a="1"/>
  <c r="D1281" i="2"/>
  <c r="D1282" i="2" a="1"/>
  <c r="D1282" i="2"/>
  <c r="D1283" i="2" a="1"/>
  <c r="D1283" i="2"/>
  <c r="D1284" i="2" a="1"/>
  <c r="D1284" i="2"/>
  <c r="D1285" i="2" a="1"/>
  <c r="D1285" i="2"/>
  <c r="D1286" i="2" a="1"/>
  <c r="D1286" i="2"/>
  <c r="D1287" i="2" a="1"/>
  <c r="D1287" i="2"/>
  <c r="D1288" i="2" a="1"/>
  <c r="D1288" i="2"/>
  <c r="D1289" i="2" a="1"/>
  <c r="D1289" i="2"/>
  <c r="D1290" i="2" a="1"/>
  <c r="D1290" i="2"/>
  <c r="D1291" i="2" a="1"/>
  <c r="D1291" i="2"/>
  <c r="D1292" i="2" a="1"/>
  <c r="D1292" i="2"/>
  <c r="D1293" i="2" a="1"/>
  <c r="D1293" i="2"/>
  <c r="D1294" i="2" a="1"/>
  <c r="D1294" i="2"/>
  <c r="D1295" i="2" a="1"/>
  <c r="D1295" i="2"/>
  <c r="D1296" i="2" a="1"/>
  <c r="D1296" i="2"/>
  <c r="D1297" i="2" a="1"/>
  <c r="D1297" i="2"/>
  <c r="D1298" i="2" a="1"/>
  <c r="D1298" i="2"/>
  <c r="D1299" i="2" a="1"/>
  <c r="D1299" i="2"/>
  <c r="D1300" i="2" a="1"/>
  <c r="D1300" i="2"/>
  <c r="D1301" i="2" a="1"/>
  <c r="D1301" i="2"/>
  <c r="D2" i="2" a="1"/>
  <c r="D2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C4" i="3"/>
  <c r="D4" i="3" s="1"/>
  <c r="C5" i="3"/>
  <c r="D5" i="3" s="1"/>
  <c r="C6" i="3"/>
  <c r="D6" i="3" s="1"/>
  <c r="C7" i="3"/>
  <c r="D7" i="3" s="1"/>
  <c r="C8" i="3"/>
  <c r="D8" i="3" s="1"/>
  <c r="C9" i="3"/>
  <c r="D9" i="3" s="1"/>
  <c r="C10" i="3"/>
  <c r="D10" i="3" s="1"/>
  <c r="C11" i="3"/>
  <c r="D11" i="3" s="1"/>
  <c r="C12" i="3"/>
  <c r="D12" i="3" s="1"/>
  <c r="C13" i="3"/>
  <c r="D13" i="3" s="1"/>
  <c r="C14" i="3"/>
  <c r="D14" i="3" s="1"/>
  <c r="C15" i="3"/>
  <c r="D15" i="3" s="1"/>
  <c r="C16" i="3"/>
  <c r="D16" i="3" s="1"/>
  <c r="C17" i="3"/>
  <c r="D17" i="3" s="1"/>
  <c r="C18" i="3"/>
  <c r="D18" i="3" s="1"/>
  <c r="C19" i="3"/>
  <c r="D19" i="3" s="1"/>
  <c r="C20" i="3"/>
  <c r="D20" i="3" s="1"/>
  <c r="C21" i="3"/>
  <c r="D21" i="3" s="1"/>
  <c r="C22" i="3"/>
  <c r="D22" i="3" s="1"/>
  <c r="C23" i="3"/>
  <c r="D23" i="3" s="1"/>
  <c r="C24" i="3"/>
  <c r="D24" i="3" s="1"/>
  <c r="C25" i="3"/>
  <c r="D25" i="3" s="1"/>
  <c r="C26" i="3"/>
  <c r="D26" i="3" s="1"/>
  <c r="C27" i="3"/>
  <c r="D27" i="3" s="1"/>
  <c r="C28" i="3"/>
  <c r="D28" i="3" s="1"/>
  <c r="C29" i="3"/>
  <c r="D29" i="3" s="1"/>
  <c r="C30" i="3"/>
  <c r="D30" i="3" s="1"/>
  <c r="C31" i="3"/>
  <c r="D31" i="3" s="1"/>
  <c r="C32" i="3"/>
  <c r="D32" i="3" s="1"/>
  <c r="C33" i="3"/>
  <c r="D33" i="3" s="1"/>
  <c r="C34" i="3"/>
  <c r="D34" i="3" s="1"/>
  <c r="C35" i="3"/>
  <c r="D35" i="3" s="1"/>
  <c r="C36" i="3"/>
  <c r="D36" i="3" s="1"/>
  <c r="C37" i="3"/>
  <c r="D37" i="3" s="1"/>
  <c r="C38" i="3"/>
  <c r="D38" i="3" s="1"/>
  <c r="C39" i="3"/>
  <c r="D39" i="3" s="1"/>
  <c r="C40" i="3"/>
  <c r="D40" i="3" s="1"/>
  <c r="C41" i="3"/>
  <c r="D41" i="3" s="1"/>
  <c r="C42" i="3"/>
  <c r="D42" i="3" s="1"/>
  <c r="C43" i="3"/>
  <c r="D43" i="3" s="1"/>
  <c r="C44" i="3"/>
  <c r="D44" i="3" s="1"/>
  <c r="C45" i="3"/>
  <c r="D45" i="3" s="1"/>
  <c r="C46" i="3"/>
  <c r="D46" i="3" s="1"/>
  <c r="C47" i="3"/>
  <c r="D47" i="3" s="1"/>
  <c r="C48" i="3"/>
  <c r="D48" i="3" s="1"/>
  <c r="C49" i="3"/>
  <c r="D49" i="3" s="1"/>
  <c r="C50" i="3"/>
  <c r="D50" i="3" s="1"/>
  <c r="C51" i="3"/>
  <c r="D51" i="3" s="1"/>
  <c r="C52" i="3"/>
  <c r="D52" i="3" s="1"/>
  <c r="C53" i="3"/>
  <c r="D53" i="3" s="1"/>
  <c r="C54" i="3"/>
  <c r="D54" i="3" s="1"/>
  <c r="C55" i="3"/>
  <c r="D55" i="3" s="1"/>
  <c r="C56" i="3"/>
  <c r="D56" i="3" s="1"/>
  <c r="C57" i="3"/>
  <c r="D57" i="3" s="1"/>
  <c r="C58" i="3"/>
  <c r="D58" i="3" s="1"/>
  <c r="C59" i="3"/>
  <c r="D59" i="3" s="1"/>
  <c r="C60" i="3"/>
  <c r="D60" i="3" s="1"/>
  <c r="C61" i="3"/>
  <c r="D61" i="3" s="1"/>
  <c r="C62" i="3"/>
  <c r="D62" i="3" s="1"/>
  <c r="C63" i="3"/>
  <c r="D63" i="3" s="1"/>
  <c r="C64" i="3"/>
  <c r="D64" i="3" s="1"/>
  <c r="C65" i="3"/>
  <c r="D65" i="3" s="1"/>
  <c r="C66" i="3"/>
  <c r="D66" i="3" s="1"/>
  <c r="C67" i="3"/>
  <c r="D67" i="3" s="1"/>
  <c r="C68" i="3"/>
  <c r="D68" i="3" s="1"/>
  <c r="C69" i="3"/>
  <c r="D69" i="3" s="1"/>
  <c r="C70" i="3"/>
  <c r="D70" i="3" s="1"/>
  <c r="C71" i="3"/>
  <c r="D71" i="3" s="1"/>
  <c r="C72" i="3"/>
  <c r="D72" i="3" s="1"/>
  <c r="C73" i="3"/>
  <c r="D73" i="3" s="1"/>
  <c r="C74" i="3"/>
  <c r="D74" i="3" s="1"/>
  <c r="C75" i="3"/>
  <c r="D75" i="3" s="1"/>
  <c r="C76" i="3"/>
  <c r="D76" i="3" s="1"/>
  <c r="C77" i="3"/>
  <c r="D77" i="3" s="1"/>
  <c r="C78" i="3"/>
  <c r="D78" i="3" s="1"/>
  <c r="C79" i="3"/>
  <c r="D79" i="3" s="1"/>
  <c r="C80" i="3"/>
  <c r="D80" i="3" s="1"/>
  <c r="C81" i="3"/>
  <c r="D81" i="3" s="1"/>
  <c r="C82" i="3"/>
  <c r="D82" i="3" s="1"/>
  <c r="D2" i="1"/>
  <c r="J755" i="2"/>
  <c r="J754" i="2"/>
  <c r="J753" i="2"/>
  <c r="J735" i="2"/>
  <c r="J734" i="2"/>
  <c r="J733" i="2"/>
  <c r="J726" i="2"/>
  <c r="J725" i="2"/>
  <c r="J724" i="2"/>
  <c r="J723" i="2"/>
  <c r="J722" i="2"/>
  <c r="J721" i="2"/>
  <c r="J720" i="2"/>
  <c r="J719" i="2"/>
  <c r="J718" i="2"/>
  <c r="J717" i="2"/>
  <c r="J716" i="2"/>
  <c r="J715" i="2"/>
  <c r="J714" i="2"/>
  <c r="J713" i="2"/>
  <c r="J711" i="2"/>
  <c r="J291" i="2"/>
  <c r="J266" i="2"/>
  <c r="J210" i="2"/>
  <c r="J209" i="2"/>
  <c r="J91" i="2"/>
  <c r="J89" i="2"/>
  <c r="J88" i="2"/>
  <c r="J87" i="2"/>
  <c r="J82" i="2"/>
  <c r="J81" i="2"/>
  <c r="J80" i="2"/>
  <c r="J79" i="2"/>
  <c r="J78" i="2"/>
  <c r="J76" i="2"/>
  <c r="J75" i="2"/>
  <c r="J74" i="2"/>
  <c r="J816" i="2"/>
  <c r="J815" i="2"/>
  <c r="J814" i="2"/>
  <c r="J727" i="2"/>
  <c r="J86" i="2"/>
  <c r="J72" i="2"/>
  <c r="J71" i="2"/>
  <c r="J70" i="2"/>
  <c r="J69" i="2"/>
  <c r="J68" i="2"/>
  <c r="J67" i="2"/>
  <c r="J66" i="2"/>
  <c r="J65" i="2"/>
  <c r="J64" i="2"/>
  <c r="J60" i="2"/>
  <c r="J59" i="2"/>
  <c r="J58" i="2"/>
  <c r="J57" i="2"/>
  <c r="J56" i="2"/>
  <c r="J55" i="2"/>
  <c r="J710" i="2"/>
  <c r="J709" i="2"/>
  <c r="J708" i="2"/>
  <c r="J707" i="2"/>
  <c r="J706" i="2"/>
  <c r="J705" i="2"/>
  <c r="J704" i="2"/>
  <c r="J703" i="2"/>
  <c r="J702" i="2"/>
  <c r="J63" i="2"/>
  <c r="J62" i="2"/>
  <c r="J61" i="2"/>
  <c r="J54" i="2"/>
  <c r="J53" i="2"/>
  <c r="J52" i="2"/>
  <c r="J51" i="2"/>
  <c r="J50" i="2"/>
  <c r="J49" i="2"/>
  <c r="J48" i="2"/>
  <c r="J47" i="2"/>
  <c r="J46" i="2"/>
  <c r="J45" i="2"/>
  <c r="J44" i="2"/>
  <c r="J43" i="2"/>
  <c r="J954" i="2"/>
  <c r="J749" i="2"/>
  <c r="J90" i="2"/>
  <c r="J85" i="2"/>
  <c r="J84" i="2"/>
  <c r="J83" i="2"/>
  <c r="J77" i="2"/>
  <c r="J31" i="2"/>
  <c r="J29" i="2"/>
  <c r="J28" i="2"/>
  <c r="J27" i="2"/>
  <c r="J817" i="2"/>
  <c r="J700" i="2"/>
  <c r="J699" i="2"/>
  <c r="J698" i="2"/>
  <c r="J697" i="2"/>
  <c r="J696" i="2"/>
  <c r="J695" i="2"/>
  <c r="J694" i="2"/>
  <c r="J693" i="2"/>
  <c r="J691" i="2"/>
  <c r="J94" i="2"/>
  <c r="J93" i="2"/>
  <c r="J92" i="2"/>
  <c r="J39" i="2"/>
  <c r="J34" i="2"/>
  <c r="J33" i="2"/>
  <c r="J32" i="2"/>
  <c r="J26" i="2"/>
  <c r="J4" i="2"/>
  <c r="J3" i="2"/>
  <c r="J2" i="2"/>
  <c r="J772" i="2"/>
  <c r="J73" i="2"/>
  <c r="J42" i="2"/>
  <c r="J41" i="2"/>
  <c r="J40" i="2"/>
  <c r="J38" i="2"/>
  <c r="J37" i="2"/>
  <c r="J36" i="2"/>
  <c r="J35" i="2"/>
  <c r="J1105" i="2"/>
  <c r="J701" i="2"/>
  <c r="J687" i="2"/>
  <c r="J686" i="2"/>
  <c r="J683" i="2"/>
  <c r="J682" i="2"/>
  <c r="J681" i="2"/>
  <c r="J680" i="2"/>
  <c r="J679" i="2"/>
  <c r="J678" i="2"/>
  <c r="J677" i="2"/>
  <c r="J676" i="2"/>
  <c r="J675" i="2"/>
  <c r="J648" i="2"/>
  <c r="J30" i="2"/>
  <c r="J14" i="2"/>
  <c r="J13" i="2"/>
  <c r="J12" i="2"/>
  <c r="J11" i="2"/>
  <c r="J10" i="2"/>
  <c r="J9" i="2"/>
  <c r="J8" i="2"/>
  <c r="J7" i="2"/>
  <c r="J6" i="2"/>
  <c r="J5" i="2"/>
  <c r="J690" i="2"/>
  <c r="J689" i="2"/>
  <c r="J688" i="2"/>
  <c r="J685" i="2"/>
  <c r="J684" i="2"/>
  <c r="J674" i="2"/>
  <c r="J673" i="2"/>
  <c r="J671" i="2"/>
  <c r="J670" i="2"/>
  <c r="J669" i="2"/>
  <c r="J668" i="2"/>
  <c r="J667" i="2"/>
  <c r="J666" i="2"/>
  <c r="J658" i="2"/>
  <c r="J657" i="2"/>
  <c r="J656" i="2"/>
  <c r="J651" i="2"/>
  <c r="J650" i="2"/>
  <c r="J649" i="2"/>
  <c r="J630" i="2"/>
  <c r="J629" i="2"/>
  <c r="J628" i="2"/>
  <c r="J627" i="2"/>
  <c r="J626" i="2"/>
  <c r="J625" i="2"/>
  <c r="J107" i="2"/>
  <c r="J18" i="2"/>
  <c r="J17" i="2"/>
  <c r="J16" i="2"/>
  <c r="J1201" i="2"/>
  <c r="J1200" i="2"/>
  <c r="J1199" i="2"/>
  <c r="J672" i="2"/>
  <c r="J655" i="2"/>
  <c r="J633" i="2"/>
  <c r="J632" i="2"/>
  <c r="J631" i="2"/>
  <c r="J24" i="2"/>
  <c r="J23" i="2"/>
  <c r="J22" i="2"/>
  <c r="J15" i="2"/>
  <c r="J1004" i="2"/>
  <c r="J1003" i="2"/>
  <c r="J1002" i="2"/>
  <c r="J920" i="2"/>
  <c r="J692" i="2"/>
  <c r="J661" i="2"/>
  <c r="J660" i="2"/>
  <c r="J659" i="2"/>
  <c r="J644" i="2"/>
  <c r="J643" i="2"/>
  <c r="J642" i="2"/>
  <c r="J641" i="2"/>
  <c r="J640" i="2"/>
  <c r="J639" i="2"/>
  <c r="J638" i="2"/>
  <c r="J637" i="2"/>
  <c r="J635" i="2"/>
  <c r="J634" i="2"/>
  <c r="J592" i="2"/>
  <c r="J591" i="2"/>
  <c r="J931" i="2"/>
  <c r="J25" i="2"/>
  <c r="J21" i="2"/>
  <c r="J20" i="2"/>
  <c r="J19" i="2"/>
  <c r="J1301" i="2"/>
  <c r="J1300" i="2"/>
  <c r="J1299" i="2"/>
  <c r="J1297" i="2"/>
  <c r="J1295" i="2"/>
  <c r="J1294" i="2"/>
  <c r="J1293" i="2"/>
  <c r="J1292" i="2"/>
  <c r="J510" i="2"/>
  <c r="J509" i="2"/>
  <c r="J1198" i="2"/>
  <c r="J1197" i="2"/>
  <c r="J981" i="2"/>
  <c r="J980" i="2"/>
  <c r="J979" i="2"/>
  <c r="J847" i="2"/>
  <c r="J623" i="2"/>
  <c r="J622" i="2"/>
  <c r="J621" i="2"/>
  <c r="J620" i="2"/>
  <c r="J619" i="2"/>
  <c r="J618" i="2"/>
  <c r="J617" i="2"/>
  <c r="J616" i="2"/>
  <c r="J615" i="2"/>
  <c r="J614" i="2"/>
  <c r="J613" i="2"/>
  <c r="J612" i="2"/>
  <c r="J611" i="2"/>
  <c r="J610" i="2"/>
  <c r="J609" i="2"/>
  <c r="J608" i="2"/>
  <c r="J600" i="2"/>
  <c r="J599" i="2"/>
  <c r="J598" i="2"/>
  <c r="J588" i="2"/>
  <c r="J587" i="2"/>
  <c r="J869" i="2"/>
  <c r="J861" i="2"/>
  <c r="J647" i="2"/>
  <c r="J646" i="2"/>
  <c r="J645" i="2"/>
  <c r="J607" i="2"/>
  <c r="J606" i="2"/>
  <c r="J602" i="2"/>
  <c r="J601" i="2"/>
  <c r="J590" i="2"/>
  <c r="J589" i="2"/>
  <c r="J586" i="2"/>
  <c r="J585" i="2"/>
  <c r="J584" i="2"/>
  <c r="J583" i="2"/>
  <c r="J571" i="2"/>
  <c r="J570" i="2"/>
  <c r="J597" i="2"/>
  <c r="J596" i="2"/>
  <c r="J595" i="2"/>
  <c r="J582" i="2"/>
  <c r="J581" i="2"/>
  <c r="J580" i="2"/>
  <c r="J579" i="2"/>
  <c r="J578" i="2"/>
  <c r="J577" i="2"/>
  <c r="J575" i="2"/>
  <c r="J574" i="2"/>
  <c r="J573" i="2"/>
  <c r="J569" i="2"/>
  <c r="J568" i="2"/>
  <c r="J567" i="2"/>
  <c r="J1291" i="2"/>
  <c r="J1290" i="2"/>
  <c r="J1289" i="2"/>
  <c r="J1288" i="2"/>
  <c r="J1285" i="2"/>
  <c r="J1284" i="2"/>
  <c r="J1283" i="2"/>
  <c r="J1282" i="2"/>
  <c r="J1281" i="2"/>
  <c r="J1280" i="2"/>
  <c r="J1279" i="2"/>
  <c r="J1278" i="2"/>
  <c r="J1277" i="2"/>
  <c r="J1276" i="2"/>
  <c r="J1275" i="2"/>
  <c r="J1274" i="2"/>
  <c r="J1273" i="2"/>
  <c r="J1272" i="2"/>
  <c r="J1271" i="2"/>
  <c r="J1270" i="2"/>
  <c r="J1269" i="2"/>
  <c r="J1268" i="2"/>
  <c r="J844" i="2"/>
  <c r="J594" i="2"/>
  <c r="J593" i="2"/>
  <c r="J576" i="2"/>
  <c r="J572" i="2"/>
  <c r="J563" i="2"/>
  <c r="J562" i="2"/>
  <c r="J561" i="2"/>
  <c r="J560" i="2"/>
  <c r="J559" i="2"/>
  <c r="J558" i="2"/>
  <c r="J556" i="2"/>
  <c r="J555" i="2"/>
  <c r="J1265" i="2"/>
  <c r="J1264" i="2"/>
  <c r="J1263" i="2"/>
  <c r="J1262" i="2"/>
  <c r="J1261" i="2"/>
  <c r="J1260" i="2"/>
  <c r="J1259" i="2"/>
  <c r="J1258" i="2"/>
  <c r="J1257" i="2"/>
  <c r="J1256" i="2"/>
  <c r="J730" i="2"/>
  <c r="J729" i="2"/>
  <c r="J728" i="2"/>
  <c r="J566" i="2"/>
  <c r="J565" i="2"/>
  <c r="J564" i="2"/>
  <c r="J557" i="2"/>
  <c r="J554" i="2"/>
  <c r="J553" i="2"/>
  <c r="J552" i="2"/>
  <c r="J551" i="2"/>
  <c r="J550" i="2"/>
  <c r="J548" i="2"/>
  <c r="J547" i="2"/>
  <c r="J546" i="2"/>
  <c r="J545" i="2"/>
  <c r="J1287" i="2"/>
  <c r="J1286" i="2"/>
  <c r="J1267" i="2"/>
  <c r="J1266" i="2"/>
  <c r="J1245" i="2"/>
  <c r="J1244" i="2"/>
  <c r="J1243" i="2"/>
  <c r="J1237" i="2"/>
  <c r="J1236" i="2"/>
  <c r="J1235" i="2"/>
  <c r="J1234" i="2"/>
  <c r="J1233" i="2"/>
  <c r="J1232" i="2"/>
  <c r="J1231" i="2"/>
  <c r="J1230" i="2"/>
  <c r="J1229" i="2"/>
  <c r="J1228" i="2"/>
  <c r="J1227" i="2"/>
  <c r="J1226" i="2"/>
  <c r="J1225" i="2"/>
  <c r="J1224" i="2"/>
  <c r="J1223" i="2"/>
  <c r="J1212" i="2"/>
  <c r="J1211" i="2"/>
  <c r="J1210" i="2"/>
  <c r="J1209" i="2"/>
  <c r="J1208" i="2"/>
  <c r="J1207" i="2"/>
  <c r="J1206" i="2"/>
  <c r="J1205" i="2"/>
  <c r="J1246" i="2"/>
  <c r="J1241" i="2"/>
  <c r="J1204" i="2"/>
  <c r="J1202" i="2"/>
  <c r="J1193" i="2"/>
  <c r="J1192" i="2"/>
  <c r="J1191" i="2"/>
  <c r="J1190" i="2"/>
  <c r="J1189" i="2"/>
  <c r="J1188" i="2"/>
  <c r="J1187" i="2"/>
  <c r="J1185" i="2"/>
  <c r="J1184" i="2"/>
  <c r="J1183" i="2"/>
  <c r="J1182" i="2"/>
  <c r="J1181" i="2"/>
  <c r="J1179" i="2"/>
  <c r="J1178" i="2"/>
  <c r="J1177" i="2"/>
  <c r="J1172" i="2"/>
  <c r="J1171" i="2"/>
  <c r="J1170" i="2"/>
  <c r="J1240" i="2"/>
  <c r="J549" i="2"/>
  <c r="J1255" i="2"/>
  <c r="J1254" i="2"/>
  <c r="J1253" i="2"/>
  <c r="J1252" i="2"/>
  <c r="J1251" i="2"/>
  <c r="J1250" i="2"/>
  <c r="J1249" i="2"/>
  <c r="J1248" i="2"/>
  <c r="J1247" i="2"/>
  <c r="J544" i="2"/>
  <c r="J543" i="2"/>
  <c r="J542" i="2"/>
  <c r="J541" i="2"/>
  <c r="J540" i="2"/>
  <c r="J539" i="2"/>
  <c r="J538" i="2"/>
  <c r="J537" i="2"/>
  <c r="J536" i="2"/>
  <c r="J535" i="2"/>
  <c r="J534" i="2"/>
  <c r="J533" i="2"/>
  <c r="J532" i="2"/>
  <c r="J527" i="2"/>
  <c r="J519" i="2"/>
  <c r="J518" i="2"/>
  <c r="J517" i="2"/>
  <c r="J654" i="2"/>
  <c r="J653" i="2"/>
  <c r="J652" i="2"/>
  <c r="J531" i="2"/>
  <c r="J530" i="2"/>
  <c r="J529" i="2"/>
  <c r="J528" i="2"/>
  <c r="J526" i="2"/>
  <c r="J525" i="2"/>
  <c r="J524" i="2"/>
  <c r="J523" i="2"/>
  <c r="J522" i="2"/>
  <c r="J521" i="2"/>
  <c r="J520" i="2"/>
  <c r="J513" i="2"/>
  <c r="J512" i="2"/>
  <c r="J511" i="2"/>
  <c r="J475" i="2"/>
  <c r="J474" i="2"/>
  <c r="J473" i="2"/>
  <c r="J472" i="2"/>
  <c r="J471" i="2"/>
  <c r="J470" i="2"/>
  <c r="J469" i="2"/>
  <c r="J1296" i="2"/>
  <c r="J1203" i="2"/>
  <c r="J1180" i="2"/>
  <c r="J1176" i="2"/>
  <c r="J1175" i="2"/>
  <c r="J1174" i="2"/>
  <c r="J1173" i="2"/>
  <c r="J1167" i="2"/>
  <c r="J1155" i="2"/>
  <c r="J1154" i="2"/>
  <c r="J1153" i="2"/>
  <c r="J825" i="2"/>
  <c r="J516" i="2"/>
  <c r="J515" i="2"/>
  <c r="J514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0" i="2"/>
  <c r="J477" i="2"/>
  <c r="J476" i="2"/>
  <c r="J465" i="2"/>
  <c r="J1298" i="2"/>
  <c r="J1168" i="2"/>
  <c r="J1163" i="2"/>
  <c r="J1162" i="2"/>
  <c r="J1161" i="2"/>
  <c r="J1159" i="2"/>
  <c r="J1158" i="2"/>
  <c r="J1157" i="2"/>
  <c r="J1156" i="2"/>
  <c r="J1151" i="2"/>
  <c r="J1150" i="2"/>
  <c r="J1149" i="2"/>
  <c r="J1148" i="2"/>
  <c r="J1147" i="2"/>
  <c r="J1146" i="2"/>
  <c r="J1145" i="2"/>
  <c r="J1142" i="2"/>
  <c r="J1141" i="2"/>
  <c r="J1140" i="2"/>
  <c r="J1139" i="2"/>
  <c r="J468" i="2"/>
  <c r="J467" i="2"/>
  <c r="J466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1239" i="2"/>
  <c r="J1238" i="2"/>
  <c r="J1222" i="2"/>
  <c r="J1221" i="2"/>
  <c r="J1220" i="2"/>
  <c r="J1219" i="2"/>
  <c r="J1218" i="2"/>
  <c r="J1217" i="2"/>
  <c r="J1216" i="2"/>
  <c r="J1215" i="2"/>
  <c r="J1214" i="2"/>
  <c r="J1213" i="2"/>
  <c r="J1169" i="2"/>
  <c r="J1127" i="2"/>
  <c r="J1126" i="2"/>
  <c r="J1125" i="2"/>
  <c r="J1124" i="2"/>
  <c r="J1123" i="2"/>
  <c r="J1122" i="2"/>
  <c r="J1121" i="2"/>
  <c r="J1120" i="2"/>
  <c r="J1119" i="2"/>
  <c r="J1118" i="2"/>
  <c r="J1117" i="2"/>
  <c r="J1116" i="2"/>
  <c r="J1115" i="2"/>
  <c r="J1114" i="2"/>
  <c r="J1113" i="2"/>
  <c r="J1112" i="2"/>
  <c r="J1111" i="2"/>
  <c r="J1110" i="2"/>
  <c r="J1109" i="2"/>
  <c r="J1108" i="2"/>
  <c r="J1107" i="2"/>
  <c r="J1106" i="2"/>
  <c r="J1100" i="2"/>
  <c r="J479" i="2"/>
  <c r="J478" i="2"/>
  <c r="J451" i="2"/>
  <c r="J1160" i="2"/>
  <c r="J1144" i="2"/>
  <c r="J1143" i="2"/>
  <c r="J1138" i="2"/>
  <c r="J1137" i="2"/>
  <c r="J1136" i="2"/>
  <c r="J1135" i="2"/>
  <c r="J1134" i="2"/>
  <c r="J1133" i="2"/>
  <c r="J1132" i="2"/>
  <c r="J1131" i="2"/>
  <c r="J1130" i="2"/>
  <c r="J1129" i="2"/>
  <c r="J1128" i="2"/>
  <c r="J1099" i="2"/>
  <c r="J1097" i="2"/>
  <c r="J1096" i="2"/>
  <c r="J1095" i="2"/>
  <c r="J1094" i="2"/>
  <c r="J1093" i="2"/>
  <c r="J1092" i="2"/>
  <c r="J1091" i="2"/>
  <c r="J1090" i="2"/>
  <c r="J1089" i="2"/>
  <c r="J1088" i="2"/>
  <c r="J1087" i="2"/>
  <c r="J1086" i="2"/>
  <c r="J1085" i="2"/>
  <c r="J1084" i="2"/>
  <c r="J1083" i="2"/>
  <c r="J1082" i="2"/>
  <c r="J1081" i="2"/>
  <c r="J1080" i="2"/>
  <c r="J1079" i="2"/>
  <c r="J1078" i="2"/>
  <c r="J1076" i="2"/>
  <c r="J1075" i="2"/>
  <c r="J1074" i="2"/>
  <c r="J1073" i="2"/>
  <c r="J1070" i="2"/>
  <c r="J1069" i="2"/>
  <c r="J1051" i="2"/>
  <c r="J1050" i="2"/>
  <c r="J1049" i="2"/>
  <c r="J1045" i="2"/>
  <c r="J1044" i="2"/>
  <c r="J1043" i="2"/>
  <c r="J1042" i="2"/>
  <c r="J1041" i="2"/>
  <c r="J1040" i="2"/>
  <c r="J1022" i="2"/>
  <c r="J1021" i="2"/>
  <c r="J1020" i="2"/>
  <c r="J1019" i="2"/>
  <c r="J1018" i="2"/>
  <c r="J1017" i="2"/>
  <c r="J1016" i="2"/>
  <c r="J1015" i="2"/>
  <c r="J1014" i="2"/>
  <c r="J1012" i="2"/>
  <c r="J845" i="2"/>
  <c r="J481" i="2"/>
  <c r="J433" i="2"/>
  <c r="J432" i="2"/>
  <c r="J1196" i="2"/>
  <c r="J1195" i="2"/>
  <c r="J1194" i="2"/>
  <c r="J1077" i="2"/>
  <c r="J1068" i="2"/>
  <c r="J1067" i="2"/>
  <c r="J1039" i="2"/>
  <c r="J1037" i="2"/>
  <c r="J1036" i="2"/>
  <c r="J1035" i="2"/>
  <c r="J1034" i="2"/>
  <c r="J1032" i="2"/>
  <c r="J1031" i="2"/>
  <c r="J1030" i="2"/>
  <c r="J1029" i="2"/>
  <c r="J1028" i="2"/>
  <c r="J1027" i="2"/>
  <c r="J1026" i="2"/>
  <c r="J1025" i="2"/>
  <c r="J1024" i="2"/>
  <c r="J1023" i="2"/>
  <c r="J978" i="2"/>
  <c r="J977" i="2"/>
  <c r="J976" i="2"/>
  <c r="J365" i="2"/>
  <c r="J430" i="2"/>
  <c r="J414" i="2"/>
  <c r="J413" i="2"/>
  <c r="J412" i="2"/>
  <c r="J411" i="2"/>
  <c r="J410" i="2"/>
  <c r="J409" i="2"/>
  <c r="J408" i="2"/>
  <c r="J407" i="2"/>
  <c r="J1152" i="2"/>
  <c r="J1066" i="2"/>
  <c r="J1065" i="2"/>
  <c r="J1064" i="2"/>
  <c r="J1063" i="2"/>
  <c r="J1062" i="2"/>
  <c r="J1061" i="2"/>
  <c r="J1052" i="2"/>
  <c r="J1006" i="2"/>
  <c r="J1005" i="2"/>
  <c r="J1001" i="2"/>
  <c r="J1000" i="2"/>
  <c r="J999" i="2"/>
  <c r="J986" i="2"/>
  <c r="J985" i="2"/>
  <c r="J984" i="2"/>
  <c r="J983" i="2"/>
  <c r="J982" i="2"/>
  <c r="J975" i="2"/>
  <c r="J974" i="2"/>
  <c r="J973" i="2"/>
  <c r="J972" i="2"/>
  <c r="J971" i="2"/>
  <c r="J923" i="2"/>
  <c r="J922" i="2"/>
  <c r="J921" i="2"/>
  <c r="J813" i="2"/>
  <c r="J812" i="2"/>
  <c r="J811" i="2"/>
  <c r="J810" i="2"/>
  <c r="J809" i="2"/>
  <c r="J808" i="2"/>
  <c r="J807" i="2"/>
  <c r="J663" i="2"/>
  <c r="J662" i="2"/>
  <c r="J636" i="2"/>
  <c r="J450" i="2"/>
  <c r="J449" i="2"/>
  <c r="J431" i="2"/>
  <c r="J422" i="2"/>
  <c r="J421" i="2"/>
  <c r="J420" i="2"/>
  <c r="J419" i="2"/>
  <c r="J418" i="2"/>
  <c r="J417" i="2"/>
  <c r="J392" i="2"/>
  <c r="J391" i="2"/>
  <c r="J390" i="2"/>
  <c r="J389" i="2"/>
  <c r="J388" i="2"/>
  <c r="J387" i="2"/>
  <c r="J386" i="2"/>
  <c r="J385" i="2"/>
  <c r="J384" i="2"/>
  <c r="J341" i="2"/>
  <c r="J340" i="2"/>
  <c r="J339" i="2"/>
  <c r="J338" i="2"/>
  <c r="J337" i="2"/>
  <c r="J336" i="2"/>
  <c r="J335" i="2"/>
  <c r="J415" i="2"/>
  <c r="J998" i="2"/>
  <c r="J997" i="2"/>
  <c r="J996" i="2"/>
  <c r="J995" i="2"/>
  <c r="J994" i="2"/>
  <c r="J993" i="2"/>
  <c r="J950" i="2"/>
  <c r="J840" i="2"/>
  <c r="J1098" i="2"/>
  <c r="J1013" i="2"/>
  <c r="J953" i="2"/>
  <c r="J952" i="2"/>
  <c r="J951" i="2"/>
  <c r="J901" i="2"/>
  <c r="J831" i="2"/>
  <c r="J830" i="2"/>
  <c r="J665" i="2"/>
  <c r="J664" i="2"/>
  <c r="J482" i="2"/>
  <c r="J429" i="2"/>
  <c r="J428" i="2"/>
  <c r="J427" i="2"/>
  <c r="J426" i="2"/>
  <c r="J425" i="2"/>
  <c r="J424" i="2"/>
  <c r="J423" i="2"/>
  <c r="J406" i="2"/>
  <c r="J405" i="2"/>
  <c r="J404" i="2"/>
  <c r="J403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4" i="2"/>
  <c r="J361" i="2"/>
  <c r="J360" i="2"/>
  <c r="J353" i="2"/>
  <c r="J350" i="2"/>
  <c r="J349" i="2"/>
  <c r="J348" i="2"/>
  <c r="J347" i="2"/>
  <c r="J346" i="2"/>
  <c r="J345" i="2"/>
  <c r="J343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279" i="2"/>
  <c r="J278" i="2"/>
  <c r="J277" i="2"/>
  <c r="J276" i="2"/>
  <c r="J416" i="2"/>
  <c r="J342" i="2"/>
  <c r="J1242" i="2"/>
  <c r="J1186" i="2"/>
  <c r="J1060" i="2"/>
  <c r="J1059" i="2"/>
  <c r="J1058" i="2"/>
  <c r="J1057" i="2"/>
  <c r="J1056" i="2"/>
  <c r="J1055" i="2"/>
  <c r="J1054" i="2"/>
  <c r="J1053" i="2"/>
  <c r="J1011" i="2"/>
  <c r="J1009" i="2"/>
  <c r="J970" i="2"/>
  <c r="J969" i="2"/>
  <c r="J968" i="2"/>
  <c r="J964" i="2"/>
  <c r="J963" i="2"/>
  <c r="J962" i="2"/>
  <c r="J961" i="2"/>
  <c r="J960" i="2"/>
  <c r="J959" i="2"/>
  <c r="J958" i="2"/>
  <c r="J957" i="2"/>
  <c r="J956" i="2"/>
  <c r="J955" i="2"/>
  <c r="J949" i="2"/>
  <c r="J948" i="2"/>
  <c r="J947" i="2"/>
  <c r="J946" i="2"/>
  <c r="J945" i="2"/>
  <c r="J944" i="2"/>
  <c r="J943" i="2"/>
  <c r="J942" i="2"/>
  <c r="J941" i="2"/>
  <c r="J940" i="2"/>
  <c r="J939" i="2"/>
  <c r="J938" i="2"/>
  <c r="J937" i="2"/>
  <c r="J936" i="2"/>
  <c r="J934" i="2"/>
  <c r="J933" i="2"/>
  <c r="J932" i="2"/>
  <c r="J930" i="2"/>
  <c r="J929" i="2"/>
  <c r="J928" i="2"/>
  <c r="J927" i="2"/>
  <c r="J926" i="2"/>
  <c r="J925" i="2"/>
  <c r="J924" i="2"/>
  <c r="J904" i="2"/>
  <c r="J902" i="2"/>
  <c r="J899" i="2"/>
  <c r="J896" i="2"/>
  <c r="J895" i="2"/>
  <c r="J894" i="2"/>
  <c r="J893" i="2"/>
  <c r="J892" i="2"/>
  <c r="J891" i="2"/>
  <c r="J890" i="2"/>
  <c r="J889" i="2"/>
  <c r="J888" i="2"/>
  <c r="J881" i="2"/>
  <c r="J880" i="2"/>
  <c r="J879" i="2"/>
  <c r="J878" i="2"/>
  <c r="J875" i="2"/>
  <c r="J874" i="2"/>
  <c r="J873" i="2"/>
  <c r="J872" i="2"/>
  <c r="J871" i="2"/>
  <c r="J870" i="2"/>
  <c r="J868" i="2"/>
  <c r="J867" i="2"/>
  <c r="J866" i="2"/>
  <c r="J860" i="2"/>
  <c r="J859" i="2"/>
  <c r="J858" i="2"/>
  <c r="J857" i="2"/>
  <c r="J856" i="2"/>
  <c r="J855" i="2"/>
  <c r="J854" i="2"/>
  <c r="J852" i="2"/>
  <c r="J851" i="2"/>
  <c r="J850" i="2"/>
  <c r="J849" i="2"/>
  <c r="J848" i="2"/>
  <c r="J839" i="2"/>
  <c r="J838" i="2"/>
  <c r="J837" i="2"/>
  <c r="J829" i="2"/>
  <c r="J828" i="2"/>
  <c r="J827" i="2"/>
  <c r="J824" i="2"/>
  <c r="J823" i="2"/>
  <c r="J822" i="2"/>
  <c r="J821" i="2"/>
  <c r="J820" i="2"/>
  <c r="J819" i="2"/>
  <c r="J818" i="2"/>
  <c r="J1010" i="2"/>
  <c r="J745" i="2"/>
  <c r="J743" i="2"/>
  <c r="J436" i="2"/>
  <c r="J435" i="2"/>
  <c r="J434" i="2"/>
  <c r="J402" i="2"/>
  <c r="J401" i="2"/>
  <c r="J400" i="2"/>
  <c r="J399" i="2"/>
  <c r="J398" i="2"/>
  <c r="J397" i="2"/>
  <c r="J396" i="2"/>
  <c r="J395" i="2"/>
  <c r="J394" i="2"/>
  <c r="J393" i="2"/>
  <c r="J363" i="2"/>
  <c r="J362" i="2"/>
  <c r="J352" i="2"/>
  <c r="J351" i="2"/>
  <c r="J319" i="2"/>
  <c r="J317" i="2"/>
  <c r="J316" i="2"/>
  <c r="J315" i="2"/>
  <c r="J314" i="2"/>
  <c r="J313" i="2"/>
  <c r="J312" i="2"/>
  <c r="J309" i="2"/>
  <c r="J308" i="2"/>
  <c r="J307" i="2"/>
  <c r="J306" i="2"/>
  <c r="J305" i="2"/>
  <c r="J304" i="2"/>
  <c r="J303" i="2"/>
  <c r="J302" i="2"/>
  <c r="J301" i="2"/>
  <c r="J297" i="2"/>
  <c r="J296" i="2"/>
  <c r="J295" i="2"/>
  <c r="J294" i="2"/>
  <c r="J293" i="2"/>
  <c r="J292" i="2"/>
  <c r="J290" i="2"/>
  <c r="J287" i="2"/>
  <c r="J280" i="2"/>
  <c r="J274" i="2"/>
  <c r="J273" i="2"/>
  <c r="J272" i="2"/>
  <c r="J271" i="2"/>
  <c r="J1033" i="2"/>
  <c r="J989" i="2"/>
  <c r="J988" i="2"/>
  <c r="J987" i="2"/>
  <c r="J935" i="2"/>
  <c r="J903" i="2"/>
  <c r="J887" i="2"/>
  <c r="J886" i="2"/>
  <c r="J885" i="2"/>
  <c r="J884" i="2"/>
  <c r="J883" i="2"/>
  <c r="J882" i="2"/>
  <c r="J865" i="2"/>
  <c r="J864" i="2"/>
  <c r="J863" i="2"/>
  <c r="J846" i="2"/>
  <c r="J836" i="2"/>
  <c r="J835" i="2"/>
  <c r="J834" i="2"/>
  <c r="J833" i="2"/>
  <c r="J832" i="2"/>
  <c r="J1008" i="2"/>
  <c r="J1007" i="2"/>
  <c r="J624" i="2"/>
  <c r="J318" i="2"/>
  <c r="J289" i="2"/>
  <c r="J288" i="2"/>
  <c r="J275" i="2"/>
  <c r="J265" i="2"/>
  <c r="J263" i="2"/>
  <c r="J262" i="2"/>
  <c r="J258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30" i="2"/>
  <c r="J229" i="2"/>
  <c r="J228" i="2"/>
  <c r="J1101" i="2"/>
  <c r="J1038" i="2"/>
  <c r="J992" i="2"/>
  <c r="J991" i="2"/>
  <c r="J990" i="2"/>
  <c r="J910" i="2"/>
  <c r="J900" i="2"/>
  <c r="J898" i="2"/>
  <c r="J897" i="2"/>
  <c r="J862" i="2"/>
  <c r="J843" i="2"/>
  <c r="J842" i="2"/>
  <c r="J841" i="2"/>
  <c r="J806" i="2"/>
  <c r="J805" i="2"/>
  <c r="J804" i="2"/>
  <c r="J803" i="2"/>
  <c r="J802" i="2"/>
  <c r="J801" i="2"/>
  <c r="J800" i="2"/>
  <c r="J799" i="2"/>
  <c r="J798" i="2"/>
  <c r="J797" i="2"/>
  <c r="J796" i="2"/>
  <c r="J795" i="2"/>
  <c r="J794" i="2"/>
  <c r="J788" i="2"/>
  <c r="J787" i="2"/>
  <c r="J786" i="2"/>
  <c r="J785" i="2"/>
  <c r="J784" i="2"/>
  <c r="J783" i="2"/>
  <c r="J179" i="2"/>
  <c r="J178" i="2"/>
  <c r="J177" i="2"/>
  <c r="J605" i="2"/>
  <c r="J604" i="2"/>
  <c r="J603" i="2"/>
  <c r="J359" i="2"/>
  <c r="J358" i="2"/>
  <c r="J357" i="2"/>
  <c r="J356" i="2"/>
  <c r="J355" i="2"/>
  <c r="J354" i="2"/>
  <c r="J311" i="2"/>
  <c r="J310" i="2"/>
  <c r="J300" i="2"/>
  <c r="J299" i="2"/>
  <c r="J298" i="2"/>
  <c r="J286" i="2"/>
  <c r="J285" i="2"/>
  <c r="J284" i="2"/>
  <c r="J283" i="2"/>
  <c r="J282" i="2"/>
  <c r="J281" i="2"/>
  <c r="J270" i="2"/>
  <c r="J269" i="2"/>
  <c r="J268" i="2"/>
  <c r="J267" i="2"/>
  <c r="J264" i="2"/>
  <c r="J261" i="2"/>
  <c r="J260" i="2"/>
  <c r="J259" i="2"/>
  <c r="J257" i="2"/>
  <c r="J239" i="2"/>
  <c r="J238" i="2"/>
  <c r="J237" i="2"/>
  <c r="J236" i="2"/>
  <c r="J235" i="2"/>
  <c r="J234" i="2"/>
  <c r="J221" i="2"/>
  <c r="J217" i="2"/>
  <c r="J216" i="2"/>
  <c r="J215" i="2"/>
  <c r="J214" i="2"/>
  <c r="J213" i="2"/>
  <c r="J212" i="2"/>
  <c r="J211" i="2"/>
  <c r="J181" i="2"/>
  <c r="J180" i="2"/>
  <c r="J176" i="2"/>
  <c r="J175" i="2"/>
  <c r="J174" i="2"/>
  <c r="J173" i="2"/>
  <c r="J172" i="2"/>
  <c r="J171" i="2"/>
  <c r="J170" i="2"/>
  <c r="J169" i="2"/>
  <c r="J168" i="2"/>
  <c r="J919" i="2"/>
  <c r="J918" i="2"/>
  <c r="J917" i="2"/>
  <c r="J916" i="2"/>
  <c r="J915" i="2"/>
  <c r="J914" i="2"/>
  <c r="J913" i="2"/>
  <c r="J912" i="2"/>
  <c r="J911" i="2"/>
  <c r="J909" i="2"/>
  <c r="J908" i="2"/>
  <c r="J907" i="2"/>
  <c r="J906" i="2"/>
  <c r="J877" i="2"/>
  <c r="J876" i="2"/>
  <c r="J853" i="2"/>
  <c r="J826" i="2"/>
  <c r="J793" i="2"/>
  <c r="J792" i="2"/>
  <c r="J791" i="2"/>
  <c r="J790" i="2"/>
  <c r="J789" i="2"/>
  <c r="J782" i="2"/>
  <c r="J781" i="2"/>
  <c r="J780" i="2"/>
  <c r="J779" i="2"/>
  <c r="J778" i="2"/>
  <c r="J775" i="2"/>
  <c r="J774" i="2"/>
  <c r="J773" i="2"/>
  <c r="J771" i="2"/>
  <c r="J770" i="2"/>
  <c r="J769" i="2"/>
  <c r="J768" i="2"/>
  <c r="J767" i="2"/>
  <c r="J766" i="2"/>
  <c r="J765" i="2"/>
  <c r="J764" i="2"/>
  <c r="J742" i="2"/>
  <c r="J741" i="2"/>
  <c r="J740" i="2"/>
  <c r="J222" i="2"/>
  <c r="J1104" i="2"/>
  <c r="J1103" i="2"/>
  <c r="J1102" i="2"/>
  <c r="J1048" i="2"/>
  <c r="J1047" i="2"/>
  <c r="J1046" i="2"/>
  <c r="J777" i="2"/>
  <c r="J776" i="2"/>
  <c r="J763" i="2"/>
  <c r="J762" i="2"/>
  <c r="J761" i="2"/>
  <c r="J760" i="2"/>
  <c r="J759" i="2"/>
  <c r="J758" i="2"/>
  <c r="J757" i="2"/>
  <c r="J756" i="2"/>
  <c r="J752" i="2"/>
  <c r="J751" i="2"/>
  <c r="J750" i="2"/>
  <c r="J748" i="2"/>
  <c r="J747" i="2"/>
  <c r="J746" i="2"/>
  <c r="J744" i="2"/>
  <c r="J739" i="2"/>
  <c r="J738" i="2"/>
  <c r="J737" i="2"/>
  <c r="J736" i="2"/>
  <c r="J732" i="2"/>
  <c r="J731" i="2"/>
  <c r="J712" i="2"/>
  <c r="J1072" i="2"/>
  <c r="J1071" i="2"/>
  <c r="J967" i="2"/>
  <c r="J966" i="2"/>
  <c r="J965" i="2"/>
  <c r="J905" i="2"/>
  <c r="J344" i="2"/>
  <c r="J241" i="2"/>
  <c r="J240" i="2"/>
  <c r="J233" i="2"/>
  <c r="J232" i="2"/>
  <c r="J231" i="2"/>
  <c r="J227" i="2"/>
  <c r="J226" i="2"/>
  <c r="J225" i="2"/>
  <c r="J224" i="2"/>
  <c r="J223" i="2"/>
  <c r="J220" i="2"/>
  <c r="J219" i="2"/>
  <c r="J218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M14" i="2"/>
  <c r="J112" i="2"/>
  <c r="J111" i="2"/>
  <c r="J110" i="2"/>
  <c r="J109" i="2"/>
  <c r="J108" i="2"/>
  <c r="J106" i="2"/>
  <c r="J105" i="2"/>
  <c r="J104" i="2"/>
  <c r="J103" i="2"/>
  <c r="J102" i="2"/>
  <c r="J101" i="2"/>
  <c r="J100" i="2"/>
  <c r="J99" i="2"/>
  <c r="J98" i="2"/>
  <c r="J97" i="2"/>
  <c r="M5" i="2" a="1"/>
  <c r="J96" i="2"/>
  <c r="J95" i="2"/>
  <c r="C3" i="3"/>
  <c r="B3" i="3"/>
  <c r="D477" i="4" l="1"/>
  <c r="D2028" i="4"/>
  <c r="D237" i="4"/>
  <c r="D17" i="4"/>
  <c r="D1336" i="4"/>
  <c r="D877" i="4"/>
  <c r="D917" i="4"/>
  <c r="D1480" i="4"/>
  <c r="D691" i="4"/>
  <c r="D1168" i="4"/>
  <c r="D1012" i="4"/>
  <c r="D713" i="4"/>
  <c r="D684" i="4"/>
  <c r="D1894" i="4"/>
  <c r="D1673" i="4"/>
  <c r="D2465" i="4"/>
  <c r="D2063" i="4"/>
  <c r="D1159" i="4"/>
  <c r="D1167" i="4"/>
  <c r="D2548" i="4"/>
  <c r="D2085" i="4"/>
  <c r="D2291" i="4"/>
  <c r="D33" i="4"/>
  <c r="D2576" i="4"/>
  <c r="D758" i="4"/>
  <c r="D903" i="4"/>
  <c r="D2099" i="4"/>
  <c r="D692" i="4"/>
  <c r="D399" i="4"/>
  <c r="D746" i="4"/>
  <c r="D2279" i="4"/>
  <c r="D381" i="4"/>
  <c r="D1871" i="4"/>
  <c r="D1903" i="4"/>
  <c r="D1379" i="4"/>
  <c r="D796" i="4"/>
  <c r="D1333" i="4"/>
  <c r="D218" i="4"/>
  <c r="D1641" i="4"/>
  <c r="D1950" i="4"/>
  <c r="D2378" i="4"/>
  <c r="D122" i="4"/>
  <c r="D579" i="4"/>
  <c r="D2514" i="4"/>
  <c r="D24" i="4"/>
  <c r="D2469" i="4"/>
  <c r="B84" i="3"/>
  <c r="D1752" i="4"/>
  <c r="D2253" i="4"/>
  <c r="D2254" i="4"/>
  <c r="D2304" i="4"/>
  <c r="D3" i="3"/>
  <c r="D84" i="3" s="1"/>
  <c r="C84" i="3"/>
  <c r="E2" i="1"/>
  <c r="D1747" i="4"/>
  <c r="H8" i="1"/>
  <c r="E14" i="12" s="1"/>
  <c r="G8" i="1"/>
  <c r="B13" i="12" s="1"/>
  <c r="H7" i="12" s="1"/>
  <c r="I8" i="1"/>
  <c r="H16" i="12" s="1"/>
  <c r="D1844" i="4"/>
  <c r="D1882" i="4"/>
  <c r="D1937" i="4"/>
  <c r="N7" i="2"/>
  <c r="O7" i="2" s="1"/>
  <c r="N6" i="2"/>
  <c r="O6" i="2" s="1"/>
  <c r="M15" i="2" s="1"/>
  <c r="M16" i="2" s="1"/>
  <c r="L7" i="2"/>
  <c r="L6" i="2"/>
  <c r="D2536" i="4"/>
  <c r="D2510" i="4"/>
  <c r="D2497" i="4"/>
  <c r="D2466" i="4"/>
  <c r="D2484" i="4"/>
  <c r="D636" i="4"/>
  <c r="D2519" i="4"/>
  <c r="D999" i="4"/>
  <c r="D702" i="4"/>
  <c r="D368" i="4"/>
  <c r="D2527" i="4"/>
  <c r="D1712" i="4"/>
  <c r="D2472" i="4"/>
  <c r="D1931" i="4"/>
  <c r="D2474" i="4"/>
  <c r="D2476" i="4"/>
  <c r="D2432" i="4"/>
  <c r="D906" i="4"/>
  <c r="D759" i="4"/>
  <c r="D1919" i="4"/>
  <c r="D735" i="4"/>
  <c r="D668" i="4"/>
  <c r="D894" i="4"/>
  <c r="D905" i="4"/>
  <c r="D2480" i="4"/>
  <c r="D1550" i="4"/>
  <c r="D2458" i="4"/>
  <c r="D930" i="4"/>
  <c r="D1953" i="4"/>
  <c r="D185" i="4"/>
  <c r="D1314" i="4"/>
  <c r="D1918" i="4"/>
  <c r="D1804" i="4"/>
  <c r="D882" i="4"/>
  <c r="D387" i="4"/>
  <c r="D2455" i="4"/>
  <c r="D1271" i="4"/>
  <c r="D2577" i="4"/>
  <c r="D1780" i="4"/>
  <c r="D421" i="4"/>
  <c r="D709" i="4"/>
  <c r="D537" i="4"/>
  <c r="D1021" i="4"/>
  <c r="D2322" i="4"/>
  <c r="D1409" i="4"/>
  <c r="D2585" i="4"/>
  <c r="D50" i="4"/>
  <c r="D1769" i="4"/>
  <c r="D2223" i="4"/>
  <c r="D337" i="4"/>
  <c r="D873" i="4"/>
  <c r="D898" i="4"/>
  <c r="D1916" i="4"/>
  <c r="D2286" i="4"/>
  <c r="D1339" i="4"/>
  <c r="D340" i="4"/>
  <c r="D1401" i="4"/>
  <c r="D1761" i="4"/>
  <c r="D1020" i="4"/>
  <c r="D1639" i="4"/>
  <c r="D100" i="4"/>
  <c r="D2423" i="4"/>
  <c r="D2141" i="4"/>
  <c r="D1097" i="4"/>
  <c r="D690" i="4"/>
  <c r="D864" i="4"/>
  <c r="D1385" i="4"/>
  <c r="D911" i="4"/>
  <c r="D1209" i="4"/>
  <c r="D266" i="4"/>
  <c r="D662" i="4"/>
  <c r="D904" i="4"/>
  <c r="D1411" i="4"/>
  <c r="D1704" i="4"/>
  <c r="D685" i="4"/>
  <c r="D1739" i="4"/>
  <c r="D2403" i="4"/>
  <c r="D2475" i="4"/>
  <c r="D1880" i="4"/>
  <c r="D1042" i="4"/>
  <c r="D2203" i="4"/>
  <c r="D928" i="4"/>
  <c r="D1352" i="4"/>
  <c r="D227" i="4"/>
  <c r="D1304" i="4"/>
  <c r="D666" i="4"/>
  <c r="D1573" i="4"/>
  <c r="D436" i="4"/>
  <c r="D1214" i="4"/>
  <c r="D1197" i="4"/>
  <c r="D540" i="4"/>
  <c r="D1366" i="4"/>
  <c r="D262" i="4"/>
  <c r="D127" i="4"/>
  <c r="D879" i="4"/>
  <c r="D1643" i="4"/>
  <c r="D2453" i="4"/>
  <c r="D1491" i="4"/>
  <c r="D2489" i="4"/>
  <c r="D715" i="4"/>
  <c r="D1884" i="4"/>
  <c r="D2498" i="4"/>
  <c r="D1649" i="4"/>
  <c r="D2448" i="4"/>
  <c r="D675" i="4"/>
  <c r="D1606" i="4"/>
  <c r="D2242" i="4"/>
  <c r="D364" i="4"/>
  <c r="D1373" i="4"/>
  <c r="D474" i="4"/>
  <c r="D755" i="4"/>
  <c r="D1437" i="4"/>
  <c r="D1192" i="4"/>
  <c r="D1994" i="4"/>
  <c r="D114" i="4"/>
  <c r="D1586" i="4"/>
  <c r="D577" i="4"/>
  <c r="D538" i="4"/>
  <c r="D529" i="4"/>
  <c r="D1149" i="4"/>
  <c r="D487" i="4"/>
  <c r="D488" i="4"/>
  <c r="D1224" i="4"/>
  <c r="D1990" i="4"/>
  <c r="D1856" i="4"/>
  <c r="D2165" i="4"/>
  <c r="D1914" i="4"/>
  <c r="D2468" i="4"/>
  <c r="D1447" i="4"/>
  <c r="D1514" i="4"/>
  <c r="D2140" i="4"/>
  <c r="D2471" i="4"/>
  <c r="D872" i="4"/>
  <c r="D1329" i="4"/>
  <c r="D607" i="4"/>
  <c r="D606" i="4"/>
  <c r="D1601" i="4"/>
  <c r="D1331" i="4"/>
  <c r="D802" i="4"/>
  <c r="D925" i="4"/>
  <c r="D1505" i="4"/>
  <c r="D1111" i="4"/>
  <c r="D2420" i="4"/>
  <c r="D991" i="4"/>
  <c r="D596" i="4"/>
  <c r="D1416" i="4"/>
  <c r="D791" i="4"/>
  <c r="D226" i="4"/>
  <c r="D1675" i="4"/>
  <c r="D1355" i="4"/>
  <c r="D1393" i="4"/>
  <c r="D2481" i="4"/>
  <c r="D1384" i="4"/>
  <c r="D246" i="4"/>
  <c r="D2174" i="4"/>
  <c r="D36" i="4"/>
  <c r="D883" i="4"/>
  <c r="D1753" i="4"/>
  <c r="D754" i="4"/>
  <c r="D1201" i="4"/>
  <c r="D1905" i="4"/>
  <c r="D2096" i="4"/>
  <c r="D324" i="4"/>
  <c r="D38" i="4"/>
  <c r="D785" i="4"/>
  <c r="D2447" i="4"/>
  <c r="D2167" i="4"/>
  <c r="D2095" i="4"/>
  <c r="D2506" i="4"/>
  <c r="D1833" i="4"/>
  <c r="D653" i="4"/>
  <c r="D1459" i="4"/>
  <c r="D2041" i="4"/>
  <c r="D1011" i="4"/>
  <c r="D2308" i="4"/>
  <c r="D1724" i="4"/>
  <c r="D1690" i="4"/>
  <c r="D311" i="4"/>
  <c r="D1544" i="4"/>
  <c r="D2321" i="4"/>
  <c r="D269" i="4"/>
  <c r="D179" i="4"/>
  <c r="D2295" i="4"/>
  <c r="D2293" i="4"/>
  <c r="D2581" i="4"/>
  <c r="D1647" i="4"/>
  <c r="D1825" i="4"/>
  <c r="D87" i="4"/>
  <c r="D90" i="4"/>
  <c r="D1848" i="4"/>
  <c r="D193" i="4"/>
  <c r="D651" i="4"/>
  <c r="D756" i="4"/>
  <c r="D2591" i="4"/>
  <c r="D622" i="4"/>
  <c r="D804" i="4"/>
  <c r="D460" i="4"/>
  <c r="D2013" i="4"/>
  <c r="D846" i="4"/>
  <c r="D1964" i="4"/>
  <c r="D1262" i="4"/>
  <c r="D712" i="4"/>
  <c r="D2106" i="4"/>
  <c r="D1900" i="4"/>
  <c r="D2567" i="4"/>
  <c r="D1154" i="4"/>
  <c r="D2018" i="4"/>
  <c r="D1963" i="4"/>
  <c r="D2586" i="4"/>
  <c r="D278" i="4"/>
  <c r="D2494" i="4"/>
  <c r="D1516" i="4"/>
  <c r="D1803" i="4"/>
  <c r="D2596" i="4"/>
  <c r="D2436" i="4"/>
  <c r="D1778" i="4"/>
  <c r="D985" i="4"/>
  <c r="D1356" i="4"/>
  <c r="D520" i="4"/>
  <c r="D1824" i="4"/>
  <c r="D1017" i="4"/>
  <c r="D2488" i="4"/>
  <c r="D2588" i="4"/>
  <c r="D812" i="4"/>
  <c r="D2128" i="4"/>
  <c r="D1598" i="4"/>
  <c r="D1867" i="4"/>
  <c r="D2040" i="4"/>
  <c r="D1734" i="4"/>
  <c r="D2486" i="4"/>
  <c r="D1360" i="4"/>
  <c r="D2012" i="4"/>
  <c r="D2303" i="4"/>
  <c r="D2434" i="4"/>
  <c r="D97" i="4"/>
  <c r="D229" i="4"/>
  <c r="D706" i="4"/>
  <c r="D2120" i="4"/>
  <c r="D2300" i="4"/>
  <c r="D433" i="4"/>
  <c r="D652" i="4"/>
  <c r="D1403" i="4"/>
  <c r="D849" i="4"/>
  <c r="D1157" i="4"/>
  <c r="D2146" i="4"/>
  <c r="D1215" i="4"/>
  <c r="D871" i="4"/>
  <c r="D2265" i="4"/>
  <c r="D1422" i="4"/>
  <c r="D1205" i="4"/>
  <c r="D1448" i="4"/>
  <c r="D1278" i="4"/>
  <c r="D649" i="4"/>
  <c r="D1263" i="4"/>
  <c r="A6" i="12"/>
  <c r="D2442" i="4"/>
  <c r="D2406" i="4"/>
  <c r="D2080" i="4"/>
  <c r="D1529" i="4"/>
  <c r="D1435" i="4"/>
  <c r="D881" i="4"/>
  <c r="D143" i="4"/>
  <c r="D1653" i="4"/>
  <c r="D2427" i="4"/>
  <c r="D836" i="4"/>
  <c r="D240" i="4"/>
  <c r="D2412" i="4"/>
  <c r="D953" i="4"/>
  <c r="D1608" i="4"/>
  <c r="D631" i="4"/>
  <c r="D2277" i="4"/>
  <c r="D1404" i="4"/>
  <c r="D2360" i="4"/>
  <c r="D1515" i="4"/>
  <c r="D2262" i="4"/>
  <c r="D1571" i="4"/>
  <c r="D2418" i="4"/>
  <c r="D2326" i="4"/>
  <c r="D2483" i="4"/>
  <c r="D1207" i="4"/>
  <c r="D832" i="4"/>
  <c r="D1464" i="4"/>
  <c r="D231" i="4"/>
  <c r="D1977" i="4"/>
  <c r="D1296" i="4"/>
  <c r="D252" i="4"/>
  <c r="D2415" i="4"/>
  <c r="D1145" i="4"/>
  <c r="D1439" i="4"/>
  <c r="D166" i="4"/>
  <c r="D1615" i="4"/>
  <c r="D1325" i="4"/>
  <c r="D1292" i="4"/>
  <c r="D272" i="4"/>
  <c r="D2598" i="4"/>
  <c r="D1845" i="4"/>
  <c r="D558" i="4"/>
  <c r="D1227" i="4"/>
  <c r="D1233" i="4"/>
  <c r="D1826" i="4"/>
  <c r="D2478" i="4"/>
  <c r="D1315" i="4"/>
  <c r="D242" i="4"/>
  <c r="G2" i="4"/>
  <c r="E2" i="4" a="1"/>
  <c r="E2" i="4" s="1"/>
  <c r="F2" i="4"/>
  <c r="G3" i="4"/>
  <c r="F3" i="4"/>
  <c r="E3" i="4" a="1"/>
  <c r="E3" i="4" s="1"/>
  <c r="G4" i="4"/>
  <c r="F4" i="4"/>
  <c r="E4" i="4" a="1"/>
  <c r="E4" i="4" s="1"/>
  <c r="G6" i="4"/>
  <c r="E6" i="4" a="1"/>
  <c r="E6" i="4" s="1"/>
  <c r="F6" i="4"/>
  <c r="G7" i="4"/>
  <c r="F7" i="4"/>
  <c r="E7" i="4" a="1"/>
  <c r="E7" i="4" s="1"/>
  <c r="G8" i="4"/>
  <c r="E8" i="4" a="1"/>
  <c r="E8" i="4" s="1"/>
  <c r="F8" i="4"/>
  <c r="G10" i="4"/>
  <c r="F10" i="4"/>
  <c r="E10" i="4" a="1"/>
  <c r="E10" i="4" s="1"/>
  <c r="F1411" i="4"/>
  <c r="E1411" i="4" a="1"/>
  <c r="E1411" i="4" s="1"/>
  <c r="G1411" i="4"/>
  <c r="G11" i="4"/>
  <c r="F11" i="4"/>
  <c r="E11" i="4" a="1"/>
  <c r="E11" i="4" s="1"/>
  <c r="F13" i="4"/>
  <c r="E13" i="4" a="1"/>
  <c r="E13" i="4" s="1"/>
  <c r="G13" i="4"/>
  <c r="F14" i="4"/>
  <c r="G14" i="4"/>
  <c r="E14" i="4" a="1"/>
  <c r="E14" i="4" s="1"/>
  <c r="E15" i="4" a="1"/>
  <c r="E15" i="4" s="1"/>
  <c r="F15" i="4"/>
  <c r="G15" i="4"/>
  <c r="G16" i="4"/>
  <c r="F16" i="4"/>
  <c r="E16" i="4" a="1"/>
  <c r="E16" i="4" s="1"/>
  <c r="F18" i="4"/>
  <c r="E18" i="4" a="1"/>
  <c r="E18" i="4" s="1"/>
  <c r="G18" i="4"/>
  <c r="G19" i="4"/>
  <c r="F19" i="4"/>
  <c r="E19" i="4" a="1"/>
  <c r="E19" i="4" s="1"/>
  <c r="G21" i="4"/>
  <c r="E21" i="4" a="1"/>
  <c r="E21" i="4" s="1"/>
  <c r="F21" i="4"/>
  <c r="G22" i="4"/>
  <c r="F22" i="4"/>
  <c r="E22" i="4" a="1"/>
  <c r="E22" i="4" s="1"/>
  <c r="F23" i="4"/>
  <c r="E23" i="4" a="1"/>
  <c r="E23" i="4" s="1"/>
  <c r="G23" i="4"/>
  <c r="G25" i="4"/>
  <c r="F25" i="4"/>
  <c r="E25" i="4" a="1"/>
  <c r="E25" i="4" s="1"/>
  <c r="F26" i="4"/>
  <c r="E26" i="4" a="1"/>
  <c r="E26" i="4" s="1"/>
  <c r="G26" i="4"/>
  <c r="F27" i="4"/>
  <c r="E27" i="4" a="1"/>
  <c r="E27" i="4" s="1"/>
  <c r="G27" i="4"/>
  <c r="G29" i="4"/>
  <c r="E29" i="4" a="1"/>
  <c r="E29" i="4" s="1"/>
  <c r="F29" i="4"/>
  <c r="G30" i="4"/>
  <c r="E30" i="4" a="1"/>
  <c r="E30" i="4" s="1"/>
  <c r="F30" i="4"/>
  <c r="G31" i="4"/>
  <c r="E31" i="4" a="1"/>
  <c r="E31" i="4" s="1"/>
  <c r="F31" i="4"/>
  <c r="G32" i="4"/>
  <c r="F32" i="4"/>
  <c r="E32" i="4" a="1"/>
  <c r="E32" i="4" s="1"/>
  <c r="E33" i="4" a="1"/>
  <c r="E33" i="4" s="1"/>
  <c r="F33" i="4"/>
  <c r="G33" i="4"/>
  <c r="E34" i="4" a="1"/>
  <c r="E34" i="4" s="1"/>
  <c r="F34" i="4"/>
  <c r="G34" i="4"/>
  <c r="E35" i="4" a="1"/>
  <c r="E35" i="4" s="1"/>
  <c r="F35" i="4"/>
  <c r="G35" i="4"/>
  <c r="E37" i="4" a="1"/>
  <c r="E37" i="4" s="1"/>
  <c r="F37" i="4"/>
  <c r="G37" i="4"/>
  <c r="F39" i="4"/>
  <c r="G39" i="4"/>
  <c r="E39" i="4" a="1"/>
  <c r="E39" i="4" s="1"/>
  <c r="E40" i="4" a="1"/>
  <c r="E40" i="4" s="1"/>
  <c r="G40" i="4"/>
  <c r="F40" i="4"/>
  <c r="E41" i="4" a="1"/>
  <c r="E41" i="4" s="1"/>
  <c r="F41" i="4"/>
  <c r="G41" i="4"/>
  <c r="F42" i="4"/>
  <c r="G42" i="4"/>
  <c r="E42" i="4" a="1"/>
  <c r="E42" i="4" s="1"/>
  <c r="G45" i="4"/>
  <c r="E45" i="4" a="1"/>
  <c r="E45" i="4" s="1"/>
  <c r="F45" i="4"/>
  <c r="E46" i="4" a="1"/>
  <c r="E46" i="4" s="1"/>
  <c r="G46" i="4"/>
  <c r="F46" i="4"/>
  <c r="G48" i="4"/>
  <c r="F48" i="4"/>
  <c r="E48" i="4" a="1"/>
  <c r="E48" i="4" s="1"/>
  <c r="G49" i="4"/>
  <c r="F49" i="4"/>
  <c r="E49" i="4" a="1"/>
  <c r="E49" i="4" s="1"/>
  <c r="F51" i="4"/>
  <c r="G51" i="4"/>
  <c r="E51" i="4" a="1"/>
  <c r="E51" i="4" s="1"/>
  <c r="G52" i="4"/>
  <c r="F52" i="4"/>
  <c r="E52" i="4" a="1"/>
  <c r="E52" i="4" s="1"/>
  <c r="E53" i="4" a="1"/>
  <c r="E53" i="4" s="1"/>
  <c r="F53" i="4"/>
  <c r="G53" i="4"/>
  <c r="G54" i="4"/>
  <c r="F54" i="4"/>
  <c r="E54" i="4" a="1"/>
  <c r="E54" i="4" s="1"/>
  <c r="E55" i="4" a="1"/>
  <c r="E55" i="4" s="1"/>
  <c r="F55" i="4"/>
  <c r="G55" i="4"/>
  <c r="E56" i="4" a="1"/>
  <c r="E56" i="4" s="1"/>
  <c r="F56" i="4"/>
  <c r="G56" i="4"/>
  <c r="F57" i="4"/>
  <c r="E57" i="4" a="1"/>
  <c r="E57" i="4" s="1"/>
  <c r="G57" i="4"/>
  <c r="G58" i="4"/>
  <c r="F58" i="4"/>
  <c r="E58" i="4" a="1"/>
  <c r="E58" i="4" s="1"/>
  <c r="G59" i="4"/>
  <c r="F59" i="4"/>
  <c r="E59" i="4" a="1"/>
  <c r="E59" i="4" s="1"/>
  <c r="E61" i="4" a="1"/>
  <c r="E61" i="4" s="1"/>
  <c r="G61" i="4"/>
  <c r="F61" i="4"/>
  <c r="G62" i="4"/>
  <c r="F62" i="4"/>
  <c r="E62" i="4" a="1"/>
  <c r="E62" i="4" s="1"/>
  <c r="F63" i="4"/>
  <c r="G63" i="4"/>
  <c r="E63" i="4" a="1"/>
  <c r="E63" i="4" s="1"/>
  <c r="G64" i="4"/>
  <c r="F64" i="4"/>
  <c r="E64" i="4" a="1"/>
  <c r="E64" i="4" s="1"/>
  <c r="E65" i="4" a="1"/>
  <c r="E65" i="4" s="1"/>
  <c r="F65" i="4"/>
  <c r="G65" i="4"/>
  <c r="G66" i="4"/>
  <c r="E66" i="4" a="1"/>
  <c r="E66" i="4" s="1"/>
  <c r="F66" i="4"/>
  <c r="E67" i="4" a="1"/>
  <c r="E67" i="4" s="1"/>
  <c r="G67" i="4"/>
  <c r="F67" i="4"/>
  <c r="G68" i="4"/>
  <c r="F68" i="4"/>
  <c r="E68" i="4" a="1"/>
  <c r="E68" i="4" s="1"/>
  <c r="F69" i="4"/>
  <c r="E69" i="4" a="1"/>
  <c r="E69" i="4" s="1"/>
  <c r="G69" i="4"/>
  <c r="E71" i="4" a="1"/>
  <c r="E71" i="4" s="1"/>
  <c r="F71" i="4"/>
  <c r="G71" i="4"/>
  <c r="G72" i="4"/>
  <c r="F72" i="4"/>
  <c r="E72" i="4" a="1"/>
  <c r="E72" i="4" s="1"/>
  <c r="G74" i="4"/>
  <c r="F74" i="4"/>
  <c r="E74" i="4" a="1"/>
  <c r="E74" i="4" s="1"/>
  <c r="G76" i="4"/>
  <c r="F76" i="4"/>
  <c r="E76" i="4" a="1"/>
  <c r="E76" i="4" s="1"/>
  <c r="G77" i="4"/>
  <c r="E77" i="4" a="1"/>
  <c r="E77" i="4" s="1"/>
  <c r="F77" i="4"/>
  <c r="G78" i="4"/>
  <c r="F78" i="4"/>
  <c r="E78" i="4" a="1"/>
  <c r="E78" i="4" s="1"/>
  <c r="E79" i="4" a="1"/>
  <c r="E79" i="4" s="1"/>
  <c r="F79" i="4"/>
  <c r="G79" i="4"/>
  <c r="G80" i="4"/>
  <c r="F80" i="4"/>
  <c r="E80" i="4" a="1"/>
  <c r="E80" i="4" s="1"/>
  <c r="E81" i="4" a="1"/>
  <c r="E81" i="4" s="1"/>
  <c r="F81" i="4"/>
  <c r="G81" i="4"/>
  <c r="G82" i="4"/>
  <c r="F82" i="4"/>
  <c r="E82" i="4" a="1"/>
  <c r="E82" i="4" s="1"/>
  <c r="E83" i="4" a="1"/>
  <c r="E83" i="4" s="1"/>
  <c r="F83" i="4"/>
  <c r="G83" i="4"/>
  <c r="G84" i="4"/>
  <c r="F84" i="4"/>
  <c r="E84" i="4" a="1"/>
  <c r="E84" i="4" s="1"/>
  <c r="G85" i="4"/>
  <c r="E85" i="4" a="1"/>
  <c r="E85" i="4" s="1"/>
  <c r="F85" i="4"/>
  <c r="E86" i="4" a="1"/>
  <c r="E86" i="4" s="1"/>
  <c r="F86" i="4"/>
  <c r="G86" i="4"/>
  <c r="E88" i="4" a="1"/>
  <c r="E88" i="4" s="1"/>
  <c r="G88" i="4"/>
  <c r="F88" i="4"/>
  <c r="E89" i="4" a="1"/>
  <c r="E89" i="4" s="1"/>
  <c r="F89" i="4"/>
  <c r="G89" i="4"/>
  <c r="E91" i="4" a="1"/>
  <c r="E91" i="4" s="1"/>
  <c r="G91" i="4"/>
  <c r="F91" i="4"/>
  <c r="F92" i="4"/>
  <c r="E92" i="4" a="1"/>
  <c r="E92" i="4" s="1"/>
  <c r="G92" i="4"/>
  <c r="G93" i="4"/>
  <c r="F93" i="4"/>
  <c r="E93" i="4" a="1"/>
  <c r="E93" i="4" s="1"/>
  <c r="F94" i="4"/>
  <c r="E94" i="4" a="1"/>
  <c r="E94" i="4" s="1"/>
  <c r="G94" i="4"/>
  <c r="E95" i="4" a="1"/>
  <c r="E95" i="4" s="1"/>
  <c r="G95" i="4"/>
  <c r="F95" i="4"/>
  <c r="F96" i="4"/>
  <c r="G96" i="4"/>
  <c r="E96" i="4" a="1"/>
  <c r="E96" i="4" s="1"/>
  <c r="G99" i="4"/>
  <c r="E99" i="4" a="1"/>
  <c r="E99" i="4" s="1"/>
  <c r="F99" i="4"/>
  <c r="E104" i="4" a="1"/>
  <c r="E104" i="4" s="1"/>
  <c r="G104" i="4"/>
  <c r="F104" i="4"/>
  <c r="G106" i="4"/>
  <c r="F106" i="4"/>
  <c r="E106" i="4" a="1"/>
  <c r="E106" i="4" s="1"/>
  <c r="E108" i="4" a="1"/>
  <c r="E108" i="4" s="1"/>
  <c r="G108" i="4"/>
  <c r="F108" i="4"/>
  <c r="E109" i="4" a="1"/>
  <c r="E109" i="4" s="1"/>
  <c r="F109" i="4"/>
  <c r="G109" i="4"/>
  <c r="F110" i="4"/>
  <c r="E110" i="4" a="1"/>
  <c r="E110" i="4" s="1"/>
  <c r="G110" i="4"/>
  <c r="G111" i="4"/>
  <c r="F111" i="4"/>
  <c r="E111" i="4" a="1"/>
  <c r="E111" i="4" s="1"/>
  <c r="G113" i="4"/>
  <c r="E113" i="4" a="1"/>
  <c r="E113" i="4" s="1"/>
  <c r="F113" i="4"/>
  <c r="E116" i="4" a="1"/>
  <c r="E116" i="4" s="1"/>
  <c r="F116" i="4"/>
  <c r="G116" i="4"/>
  <c r="E117" i="4" a="1"/>
  <c r="E117" i="4" s="1"/>
  <c r="G117" i="4"/>
  <c r="F117" i="4"/>
  <c r="F118" i="4"/>
  <c r="G118" i="4"/>
  <c r="E118" i="4" a="1"/>
  <c r="E118" i="4" s="1"/>
  <c r="F119" i="4"/>
  <c r="G119" i="4"/>
  <c r="E119" i="4" a="1"/>
  <c r="E119" i="4" s="1"/>
  <c r="F120" i="4"/>
  <c r="G120" i="4"/>
  <c r="E120" i="4" a="1"/>
  <c r="E120" i="4" s="1"/>
  <c r="E123" i="4" a="1"/>
  <c r="E123" i="4" s="1"/>
  <c r="F123" i="4"/>
  <c r="G123" i="4"/>
  <c r="G124" i="4"/>
  <c r="F124" i="4"/>
  <c r="E124" i="4" a="1"/>
  <c r="E124" i="4" s="1"/>
  <c r="F126" i="4"/>
  <c r="E126" i="4" a="1"/>
  <c r="E126" i="4" s="1"/>
  <c r="G126" i="4"/>
  <c r="G128" i="4"/>
  <c r="F128" i="4"/>
  <c r="E128" i="4" a="1"/>
  <c r="E128" i="4" s="1"/>
  <c r="G129" i="4"/>
  <c r="F129" i="4"/>
  <c r="E129" i="4" a="1"/>
  <c r="E129" i="4" s="1"/>
  <c r="F130" i="4"/>
  <c r="G130" i="4"/>
  <c r="E130" i="4" a="1"/>
  <c r="E130" i="4" s="1"/>
  <c r="F131" i="4"/>
  <c r="E131" i="4" a="1"/>
  <c r="E131" i="4" s="1"/>
  <c r="G131" i="4"/>
  <c r="F132" i="4"/>
  <c r="E132" i="4" a="1"/>
  <c r="E132" i="4" s="1"/>
  <c r="G132" i="4"/>
  <c r="E134" i="4" a="1"/>
  <c r="E134" i="4" s="1"/>
  <c r="G134" i="4"/>
  <c r="F134" i="4"/>
  <c r="F135" i="4"/>
  <c r="E135" i="4" a="1"/>
  <c r="E135" i="4" s="1"/>
  <c r="G135" i="4"/>
  <c r="E136" i="4" a="1"/>
  <c r="E136" i="4" s="1"/>
  <c r="G136" i="4"/>
  <c r="F136" i="4"/>
  <c r="E137" i="4" a="1"/>
  <c r="E137" i="4" s="1"/>
  <c r="G137" i="4"/>
  <c r="F137" i="4"/>
  <c r="G138" i="4"/>
  <c r="F138" i="4"/>
  <c r="E138" i="4" a="1"/>
  <c r="E138" i="4" s="1"/>
  <c r="F139" i="4"/>
  <c r="E139" i="4" a="1"/>
  <c r="E139" i="4" s="1"/>
  <c r="G139" i="4"/>
  <c r="F141" i="4"/>
  <c r="E141" i="4" a="1"/>
  <c r="E141" i="4" s="1"/>
  <c r="G141" i="4"/>
  <c r="F142" i="4"/>
  <c r="G142" i="4"/>
  <c r="E142" i="4" a="1"/>
  <c r="E142" i="4" s="1"/>
  <c r="E144" i="4" a="1"/>
  <c r="E144" i="4" s="1"/>
  <c r="G144" i="4"/>
  <c r="F144" i="4"/>
  <c r="E145" i="4" a="1"/>
  <c r="E145" i="4" s="1"/>
  <c r="G145" i="4"/>
  <c r="F145" i="4"/>
  <c r="E146" i="4" a="1"/>
  <c r="E146" i="4" s="1"/>
  <c r="F146" i="4"/>
  <c r="G146" i="4"/>
  <c r="G147" i="4"/>
  <c r="F147" i="4"/>
  <c r="E147" i="4" a="1"/>
  <c r="E147" i="4" s="1"/>
  <c r="F148" i="4"/>
  <c r="G148" i="4"/>
  <c r="E148" i="4" a="1"/>
  <c r="E148" i="4" s="1"/>
  <c r="G149" i="4"/>
  <c r="F149" i="4"/>
  <c r="E149" i="4" a="1"/>
  <c r="E149" i="4" s="1"/>
  <c r="G150" i="4"/>
  <c r="F150" i="4"/>
  <c r="E150" i="4" a="1"/>
  <c r="E150" i="4" s="1"/>
  <c r="G151" i="4"/>
  <c r="E151" i="4" a="1"/>
  <c r="E151" i="4" s="1"/>
  <c r="F151" i="4"/>
  <c r="E152" i="4" a="1"/>
  <c r="E152" i="4" s="1"/>
  <c r="F152" i="4"/>
  <c r="G152" i="4"/>
  <c r="G154" i="4"/>
  <c r="E154" i="4" a="1"/>
  <c r="E154" i="4" s="1"/>
  <c r="F154" i="4"/>
  <c r="G155" i="4"/>
  <c r="F155" i="4"/>
  <c r="E155" i="4" a="1"/>
  <c r="E155" i="4" s="1"/>
  <c r="G156" i="4"/>
  <c r="F156" i="4"/>
  <c r="E156" i="4" a="1"/>
  <c r="E156" i="4" s="1"/>
  <c r="F157" i="4"/>
  <c r="G157" i="4"/>
  <c r="E157" i="4" a="1"/>
  <c r="E157" i="4" s="1"/>
  <c r="E158" i="4" a="1"/>
  <c r="E158" i="4" s="1"/>
  <c r="G158" i="4"/>
  <c r="F158" i="4"/>
  <c r="E159" i="4" a="1"/>
  <c r="E159" i="4" s="1"/>
  <c r="G159" i="4"/>
  <c r="F159" i="4"/>
  <c r="G160" i="4"/>
  <c r="E160" i="4" a="1"/>
  <c r="E160" i="4" s="1"/>
  <c r="F160" i="4"/>
  <c r="F161" i="4"/>
  <c r="G161" i="4"/>
  <c r="E161" i="4" a="1"/>
  <c r="E161" i="4" s="1"/>
  <c r="G162" i="4"/>
  <c r="F162" i="4"/>
  <c r="E162" i="4" a="1"/>
  <c r="E162" i="4" s="1"/>
  <c r="G163" i="4"/>
  <c r="F163" i="4"/>
  <c r="E163" i="4" a="1"/>
  <c r="E163" i="4" s="1"/>
  <c r="E164" i="4" a="1"/>
  <c r="E164" i="4" s="1"/>
  <c r="G164" i="4"/>
  <c r="F164" i="4"/>
  <c r="G167" i="4"/>
  <c r="F167" i="4"/>
  <c r="E167" i="4" a="1"/>
  <c r="E167" i="4" s="1"/>
  <c r="G168" i="4"/>
  <c r="F168" i="4"/>
  <c r="E168" i="4" a="1"/>
  <c r="E168" i="4" s="1"/>
  <c r="F169" i="4"/>
  <c r="G169" i="4"/>
  <c r="E169" i="4" a="1"/>
  <c r="E169" i="4" s="1"/>
  <c r="G170" i="4"/>
  <c r="F170" i="4"/>
  <c r="E170" i="4" a="1"/>
  <c r="E170" i="4" s="1"/>
  <c r="G172" i="4"/>
  <c r="F172" i="4"/>
  <c r="E172" i="4" a="1"/>
  <c r="E172" i="4" s="1"/>
  <c r="F173" i="4"/>
  <c r="G173" i="4"/>
  <c r="E173" i="4" a="1"/>
  <c r="E173" i="4" s="1"/>
  <c r="E174" i="4" a="1"/>
  <c r="E174" i="4" s="1"/>
  <c r="F174" i="4"/>
  <c r="G174" i="4"/>
  <c r="F176" i="4"/>
  <c r="E176" i="4" a="1"/>
  <c r="E176" i="4" s="1"/>
  <c r="G176" i="4"/>
  <c r="F177" i="4"/>
  <c r="E177" i="4" a="1"/>
  <c r="E177" i="4" s="1"/>
  <c r="G177" i="4"/>
  <c r="E180" i="4" a="1"/>
  <c r="E180" i="4" s="1"/>
  <c r="F180" i="4"/>
  <c r="G180" i="4"/>
  <c r="F182" i="4"/>
  <c r="G182" i="4"/>
  <c r="E182" i="4" a="1"/>
  <c r="E182" i="4" s="1"/>
  <c r="G183" i="4"/>
  <c r="E183" i="4" a="1"/>
  <c r="E183" i="4" s="1"/>
  <c r="F183" i="4"/>
  <c r="E184" i="4" a="1"/>
  <c r="E184" i="4" s="1"/>
  <c r="G184" i="4"/>
  <c r="F184" i="4"/>
  <c r="G187" i="4"/>
  <c r="F187" i="4"/>
  <c r="E187" i="4" a="1"/>
  <c r="E187" i="4" s="1"/>
  <c r="E188" i="4" a="1"/>
  <c r="E188" i="4" s="1"/>
  <c r="G188" i="4"/>
  <c r="F188" i="4"/>
  <c r="E189" i="4" a="1"/>
  <c r="E189" i="4" s="1"/>
  <c r="F189" i="4"/>
  <c r="G189" i="4"/>
  <c r="F190" i="4"/>
  <c r="G190" i="4"/>
  <c r="E190" i="4" a="1"/>
  <c r="E190" i="4" s="1"/>
  <c r="F191" i="4"/>
  <c r="G191" i="4"/>
  <c r="E191" i="4" a="1"/>
  <c r="E191" i="4" s="1"/>
  <c r="E192" i="4" a="1"/>
  <c r="E192" i="4" s="1"/>
  <c r="G192" i="4"/>
  <c r="F192" i="4"/>
  <c r="G194" i="4"/>
  <c r="E194" i="4" a="1"/>
  <c r="E194" i="4" s="1"/>
  <c r="F194" i="4"/>
  <c r="F195" i="4"/>
  <c r="E195" i="4" a="1"/>
  <c r="E195" i="4" s="1"/>
  <c r="G195" i="4"/>
  <c r="E197" i="4" a="1"/>
  <c r="E197" i="4" s="1"/>
  <c r="F197" i="4"/>
  <c r="G197" i="4"/>
  <c r="E198" i="4" a="1"/>
  <c r="E198" i="4" s="1"/>
  <c r="F198" i="4"/>
  <c r="G198" i="4"/>
  <c r="F199" i="4"/>
  <c r="E199" i="4" a="1"/>
  <c r="E199" i="4" s="1"/>
  <c r="G199" i="4"/>
  <c r="F201" i="4"/>
  <c r="G201" i="4"/>
  <c r="E201" i="4" a="1"/>
  <c r="E201" i="4" s="1"/>
  <c r="F203" i="4"/>
  <c r="E203" i="4" a="1"/>
  <c r="E203" i="4" s="1"/>
  <c r="G203" i="4"/>
  <c r="E204" i="4" a="1"/>
  <c r="E204" i="4" s="1"/>
  <c r="G204" i="4"/>
  <c r="F204" i="4"/>
  <c r="F206" i="4"/>
  <c r="G206" i="4"/>
  <c r="E206" i="4" a="1"/>
  <c r="E206" i="4" s="1"/>
  <c r="F207" i="4"/>
  <c r="E207" i="4" a="1"/>
  <c r="E207" i="4" s="1"/>
  <c r="G207" i="4"/>
  <c r="F208" i="4"/>
  <c r="G208" i="4"/>
  <c r="E208" i="4" a="1"/>
  <c r="E208" i="4" s="1"/>
  <c r="G209" i="4"/>
  <c r="E209" i="4" a="1"/>
  <c r="E209" i="4" s="1"/>
  <c r="F209" i="4"/>
  <c r="F210" i="4"/>
  <c r="G210" i="4"/>
  <c r="E210" i="4" a="1"/>
  <c r="E210" i="4" s="1"/>
  <c r="G213" i="4"/>
  <c r="E213" i="4" a="1"/>
  <c r="E213" i="4" s="1"/>
  <c r="F213" i="4"/>
  <c r="F214" i="4"/>
  <c r="E214" i="4" a="1"/>
  <c r="E214" i="4" s="1"/>
  <c r="G214" i="4"/>
  <c r="E215" i="4" a="1"/>
  <c r="E215" i="4" s="1"/>
  <c r="G215" i="4"/>
  <c r="F215" i="4"/>
  <c r="E216" i="4" a="1"/>
  <c r="E216" i="4" s="1"/>
  <c r="F216" i="4"/>
  <c r="G216" i="4"/>
  <c r="E217" i="4" a="1"/>
  <c r="E217" i="4" s="1"/>
  <c r="F217" i="4"/>
  <c r="G217" i="4"/>
  <c r="G218" i="4"/>
  <c r="E218" i="4" a="1"/>
  <c r="E218" i="4" s="1"/>
  <c r="F218" i="4"/>
  <c r="E219" i="4" a="1"/>
  <c r="E219" i="4" s="1"/>
  <c r="G219" i="4"/>
  <c r="F219" i="4"/>
  <c r="G220" i="4"/>
  <c r="E220" i="4" a="1"/>
  <c r="E220" i="4" s="1"/>
  <c r="F220" i="4"/>
  <c r="G221" i="4"/>
  <c r="F221" i="4"/>
  <c r="E221" i="4" a="1"/>
  <c r="E221" i="4" s="1"/>
  <c r="F222" i="4"/>
  <c r="G222" i="4"/>
  <c r="E222" i="4" a="1"/>
  <c r="E222" i="4" s="1"/>
  <c r="G223" i="4"/>
  <c r="F223" i="4"/>
  <c r="E223" i="4" a="1"/>
  <c r="E223" i="4" s="1"/>
  <c r="G224" i="4"/>
  <c r="F224" i="4"/>
  <c r="E224" i="4" a="1"/>
  <c r="E224" i="4" s="1"/>
  <c r="G228" i="4"/>
  <c r="E228" i="4" a="1"/>
  <c r="E228" i="4" s="1"/>
  <c r="F228" i="4"/>
  <c r="G230" i="4"/>
  <c r="F230" i="4"/>
  <c r="E230" i="4" a="1"/>
  <c r="E230" i="4" s="1"/>
  <c r="G232" i="4"/>
  <c r="E232" i="4" a="1"/>
  <c r="E232" i="4" s="1"/>
  <c r="F232" i="4"/>
  <c r="G233" i="4"/>
  <c r="F233" i="4"/>
  <c r="E233" i="4" a="1"/>
  <c r="E233" i="4" s="1"/>
  <c r="F234" i="4"/>
  <c r="E234" i="4" a="1"/>
  <c r="E234" i="4" s="1"/>
  <c r="G234" i="4"/>
  <c r="G235" i="4"/>
  <c r="F235" i="4"/>
  <c r="E235" i="4" a="1"/>
  <c r="E235" i="4" s="1"/>
  <c r="F236" i="4"/>
  <c r="G236" i="4"/>
  <c r="E236" i="4" a="1"/>
  <c r="E236" i="4" s="1"/>
  <c r="G237" i="4"/>
  <c r="F237" i="4"/>
  <c r="E237" i="4" a="1"/>
  <c r="E237" i="4" s="1"/>
  <c r="E239" i="4" a="1"/>
  <c r="E239" i="4" s="1"/>
  <c r="F239" i="4"/>
  <c r="G239" i="4"/>
  <c r="G241" i="4"/>
  <c r="E241" i="4" a="1"/>
  <c r="E241" i="4" s="1"/>
  <c r="F241" i="4"/>
  <c r="G244" i="4"/>
  <c r="F244" i="4"/>
  <c r="E244" i="4" a="1"/>
  <c r="E244" i="4" s="1"/>
  <c r="E247" i="4" a="1"/>
  <c r="E247" i="4" s="1"/>
  <c r="F247" i="4"/>
  <c r="G247" i="4"/>
  <c r="F248" i="4"/>
  <c r="G248" i="4"/>
  <c r="E248" i="4" a="1"/>
  <c r="E248" i="4" s="1"/>
  <c r="G249" i="4"/>
  <c r="E249" i="4" a="1"/>
  <c r="E249" i="4" s="1"/>
  <c r="F249" i="4"/>
  <c r="E250" i="4" a="1"/>
  <c r="E250" i="4" s="1"/>
  <c r="G250" i="4"/>
  <c r="F250" i="4"/>
  <c r="G253" i="4"/>
  <c r="F253" i="4"/>
  <c r="E253" i="4" a="1"/>
  <c r="E253" i="4" s="1"/>
  <c r="E256" i="4" a="1"/>
  <c r="E256" i="4" s="1"/>
  <c r="F256" i="4"/>
  <c r="G256" i="4"/>
  <c r="F258" i="4"/>
  <c r="G258" i="4"/>
  <c r="E258" i="4" a="1"/>
  <c r="E258" i="4" s="1"/>
  <c r="E259" i="4" a="1"/>
  <c r="E259" i="4" s="1"/>
  <c r="G259" i="4"/>
  <c r="F259" i="4"/>
  <c r="F261" i="4"/>
  <c r="G261" i="4"/>
  <c r="E261" i="4" a="1"/>
  <c r="E261" i="4" s="1"/>
  <c r="E263" i="4" a="1"/>
  <c r="E263" i="4" s="1"/>
  <c r="F263" i="4"/>
  <c r="G263" i="4"/>
  <c r="F264" i="4"/>
  <c r="G264" i="4"/>
  <c r="E264" i="4" a="1"/>
  <c r="E264" i="4" s="1"/>
  <c r="F265" i="4"/>
  <c r="E265" i="4" a="1"/>
  <c r="E265" i="4" s="1"/>
  <c r="G265" i="4"/>
  <c r="F267" i="4"/>
  <c r="G267" i="4"/>
  <c r="E267" i="4" a="1"/>
  <c r="E267" i="4" s="1"/>
  <c r="E268" i="4" a="1"/>
  <c r="E268" i="4" s="1"/>
  <c r="G268" i="4"/>
  <c r="F268" i="4"/>
  <c r="E270" i="4" a="1"/>
  <c r="E270" i="4" s="1"/>
  <c r="F270" i="4"/>
  <c r="G270" i="4"/>
  <c r="E271" i="4" a="1"/>
  <c r="E271" i="4" s="1"/>
  <c r="G271" i="4"/>
  <c r="F271" i="4"/>
  <c r="E275" i="4" a="1"/>
  <c r="E275" i="4" s="1"/>
  <c r="F275" i="4"/>
  <c r="G275" i="4"/>
  <c r="E276" i="4" a="1"/>
  <c r="E276" i="4" s="1"/>
  <c r="G276" i="4"/>
  <c r="F276" i="4"/>
  <c r="G279" i="4"/>
  <c r="F279" i="4"/>
  <c r="E279" i="4" a="1"/>
  <c r="E279" i="4" s="1"/>
  <c r="G281" i="4"/>
  <c r="E281" i="4" a="1"/>
  <c r="E281" i="4" s="1"/>
  <c r="F281" i="4"/>
  <c r="F282" i="4"/>
  <c r="E282" i="4" a="1"/>
  <c r="E282" i="4" s="1"/>
  <c r="G282" i="4"/>
  <c r="E283" i="4" a="1"/>
  <c r="E283" i="4" s="1"/>
  <c r="F283" i="4"/>
  <c r="G283" i="4"/>
  <c r="G284" i="4"/>
  <c r="E284" i="4" a="1"/>
  <c r="E284" i="4" s="1"/>
  <c r="F284" i="4"/>
  <c r="F286" i="4"/>
  <c r="G286" i="4"/>
  <c r="E286" i="4" a="1"/>
  <c r="E286" i="4" s="1"/>
  <c r="G287" i="4"/>
  <c r="E287" i="4" a="1"/>
  <c r="E287" i="4" s="1"/>
  <c r="F287" i="4"/>
  <c r="E288" i="4" a="1"/>
  <c r="E288" i="4" s="1"/>
  <c r="G288" i="4"/>
  <c r="F288" i="4"/>
  <c r="E289" i="4" a="1"/>
  <c r="E289" i="4" s="1"/>
  <c r="F289" i="4"/>
  <c r="G289" i="4"/>
  <c r="E290" i="4" a="1"/>
  <c r="E290" i="4" s="1"/>
  <c r="G290" i="4"/>
  <c r="F290" i="4"/>
  <c r="G291" i="4"/>
  <c r="F291" i="4"/>
  <c r="E291" i="4" a="1"/>
  <c r="E291" i="4" s="1"/>
  <c r="E292" i="4" a="1"/>
  <c r="E292" i="4" s="1"/>
  <c r="G292" i="4"/>
  <c r="F292" i="4"/>
  <c r="G293" i="4"/>
  <c r="E293" i="4" a="1"/>
  <c r="E293" i="4" s="1"/>
  <c r="F293" i="4"/>
  <c r="E294" i="4" a="1"/>
  <c r="E294" i="4" s="1"/>
  <c r="G294" i="4"/>
  <c r="F294" i="4"/>
  <c r="G296" i="4"/>
  <c r="F296" i="4"/>
  <c r="E296" i="4" a="1"/>
  <c r="E296" i="4" s="1"/>
  <c r="F297" i="4"/>
  <c r="G297" i="4"/>
  <c r="E297" i="4" a="1"/>
  <c r="E297" i="4" s="1"/>
  <c r="G298" i="4"/>
  <c r="E298" i="4" a="1"/>
  <c r="E298" i="4" s="1"/>
  <c r="F298" i="4"/>
  <c r="E299" i="4" a="1"/>
  <c r="E299" i="4" s="1"/>
  <c r="F299" i="4"/>
  <c r="G299" i="4"/>
  <c r="F300" i="4"/>
  <c r="E300" i="4" a="1"/>
  <c r="E300" i="4" s="1"/>
  <c r="G300" i="4"/>
  <c r="G301" i="4"/>
  <c r="E301" i="4" a="1"/>
  <c r="E301" i="4" s="1"/>
  <c r="F301" i="4"/>
  <c r="E302" i="4" a="1"/>
  <c r="E302" i="4" s="1"/>
  <c r="F302" i="4"/>
  <c r="G302" i="4"/>
  <c r="F304" i="4"/>
  <c r="E304" i="4" a="1"/>
  <c r="E304" i="4" s="1"/>
  <c r="G304" i="4"/>
  <c r="F305" i="4"/>
  <c r="E305" i="4" a="1"/>
  <c r="E305" i="4" s="1"/>
  <c r="G305" i="4"/>
  <c r="F306" i="4"/>
  <c r="E306" i="4" a="1"/>
  <c r="E306" i="4" s="1"/>
  <c r="G306" i="4"/>
  <c r="E307" i="4" a="1"/>
  <c r="E307" i="4" s="1"/>
  <c r="F307" i="4"/>
  <c r="G307" i="4"/>
  <c r="E308" i="4" a="1"/>
  <c r="E308" i="4" s="1"/>
  <c r="F308" i="4"/>
  <c r="G308" i="4"/>
  <c r="F309" i="4"/>
  <c r="G309" i="4"/>
  <c r="E309" i="4" a="1"/>
  <c r="E309" i="4" s="1"/>
  <c r="G310" i="4"/>
  <c r="E310" i="4" a="1"/>
  <c r="E310" i="4" s="1"/>
  <c r="F310" i="4"/>
  <c r="F312" i="4"/>
  <c r="E312" i="4" a="1"/>
  <c r="E312" i="4" s="1"/>
  <c r="G312" i="4"/>
  <c r="G313" i="4"/>
  <c r="F313" i="4"/>
  <c r="E313" i="4" a="1"/>
  <c r="E313" i="4" s="1"/>
  <c r="F314" i="4"/>
  <c r="E314" i="4" a="1"/>
  <c r="E314" i="4" s="1"/>
  <c r="G314" i="4"/>
  <c r="F315" i="4"/>
  <c r="G315" i="4"/>
  <c r="E315" i="4" a="1"/>
  <c r="E315" i="4" s="1"/>
  <c r="F316" i="4"/>
  <c r="E316" i="4" a="1"/>
  <c r="E316" i="4" s="1"/>
  <c r="G316" i="4"/>
  <c r="F317" i="4"/>
  <c r="G317" i="4"/>
  <c r="E317" i="4" a="1"/>
  <c r="E317" i="4" s="1"/>
  <c r="F318" i="4"/>
  <c r="E318" i="4" a="1"/>
  <c r="E318" i="4" s="1"/>
  <c r="G318" i="4"/>
  <c r="E320" i="4" a="1"/>
  <c r="E320" i="4" s="1"/>
  <c r="F320" i="4"/>
  <c r="G320" i="4"/>
  <c r="F321" i="4"/>
  <c r="G321" i="4"/>
  <c r="E321" i="4" a="1"/>
  <c r="E321" i="4" s="1"/>
  <c r="F323" i="4"/>
  <c r="E323" i="4" a="1"/>
  <c r="E323" i="4" s="1"/>
  <c r="G323" i="4"/>
  <c r="G325" i="4"/>
  <c r="E325" i="4" a="1"/>
  <c r="E325" i="4" s="1"/>
  <c r="F325" i="4"/>
  <c r="E326" i="4" a="1"/>
  <c r="E326" i="4" s="1"/>
  <c r="G326" i="4"/>
  <c r="F326" i="4"/>
  <c r="E327" i="4" a="1"/>
  <c r="E327" i="4" s="1"/>
  <c r="F327" i="4"/>
  <c r="G327" i="4"/>
  <c r="G328" i="4"/>
  <c r="F328" i="4"/>
  <c r="E328" i="4" a="1"/>
  <c r="E328" i="4" s="1"/>
  <c r="E330" i="4" a="1"/>
  <c r="E330" i="4" s="1"/>
  <c r="G330" i="4"/>
  <c r="F330" i="4"/>
  <c r="G332" i="4"/>
  <c r="F332" i="4"/>
  <c r="E332" i="4" a="1"/>
  <c r="E332" i="4" s="1"/>
  <c r="E333" i="4" a="1"/>
  <c r="E333" i="4" s="1"/>
  <c r="G333" i="4"/>
  <c r="F333" i="4"/>
  <c r="E334" i="4" a="1"/>
  <c r="E334" i="4" s="1"/>
  <c r="G334" i="4"/>
  <c r="F334" i="4"/>
  <c r="F336" i="4"/>
  <c r="G336" i="4"/>
  <c r="E336" i="4" a="1"/>
  <c r="E336" i="4" s="1"/>
  <c r="E338" i="4" a="1"/>
  <c r="E338" i="4" s="1"/>
  <c r="G338" i="4"/>
  <c r="F338" i="4"/>
  <c r="E339" i="4" a="1"/>
  <c r="E339" i="4" s="1"/>
  <c r="G339" i="4"/>
  <c r="F339" i="4"/>
  <c r="F341" i="4"/>
  <c r="E341" i="4" a="1"/>
  <c r="E341" i="4" s="1"/>
  <c r="G341" i="4"/>
  <c r="E342" i="4" a="1"/>
  <c r="E342" i="4" s="1"/>
  <c r="G342" i="4"/>
  <c r="F342" i="4"/>
  <c r="E343" i="4" a="1"/>
  <c r="E343" i="4" s="1"/>
  <c r="G343" i="4"/>
  <c r="F343" i="4"/>
  <c r="E346" i="4" a="1"/>
  <c r="E346" i="4" s="1"/>
  <c r="G346" i="4"/>
  <c r="F346" i="4"/>
  <c r="F347" i="4"/>
  <c r="E347" i="4" a="1"/>
  <c r="E347" i="4" s="1"/>
  <c r="G347" i="4"/>
  <c r="E348" i="4" a="1"/>
  <c r="E348" i="4" s="1"/>
  <c r="F348" i="4"/>
  <c r="G348" i="4"/>
  <c r="F349" i="4"/>
  <c r="G349" i="4"/>
  <c r="E349" i="4" a="1"/>
  <c r="E349" i="4" s="1"/>
  <c r="F351" i="4"/>
  <c r="E351" i="4" a="1"/>
  <c r="E351" i="4" s="1"/>
  <c r="G351" i="4"/>
  <c r="G352" i="4"/>
  <c r="F352" i="4"/>
  <c r="E352" i="4" a="1"/>
  <c r="E352" i="4" s="1"/>
  <c r="E353" i="4" a="1"/>
  <c r="E353" i="4" s="1"/>
  <c r="F353" i="4"/>
  <c r="G353" i="4"/>
  <c r="G354" i="4"/>
  <c r="F354" i="4"/>
  <c r="E354" i="4" a="1"/>
  <c r="E354" i="4" s="1"/>
  <c r="E355" i="4" a="1"/>
  <c r="E355" i="4" s="1"/>
  <c r="G355" i="4"/>
  <c r="F355" i="4"/>
  <c r="G356" i="4"/>
  <c r="E356" i="4" a="1"/>
  <c r="E356" i="4" s="1"/>
  <c r="F356" i="4"/>
  <c r="G357" i="4"/>
  <c r="F357" i="4"/>
  <c r="E357" i="4" a="1"/>
  <c r="E357" i="4" s="1"/>
  <c r="G358" i="4"/>
  <c r="E358" i="4" a="1"/>
  <c r="E358" i="4" s="1"/>
  <c r="F358" i="4"/>
  <c r="E359" i="4" a="1"/>
  <c r="E359" i="4" s="1"/>
  <c r="F359" i="4"/>
  <c r="G359" i="4"/>
  <c r="G360" i="4"/>
  <c r="E360" i="4" a="1"/>
  <c r="E360" i="4" s="1"/>
  <c r="F360" i="4"/>
  <c r="G361" i="4"/>
  <c r="F361" i="4"/>
  <c r="E361" i="4" a="1"/>
  <c r="E361" i="4" s="1"/>
  <c r="E363" i="4" a="1"/>
  <c r="E363" i="4" s="1"/>
  <c r="F363" i="4"/>
  <c r="G363" i="4"/>
  <c r="F365" i="4"/>
  <c r="G365" i="4"/>
  <c r="E365" i="4" a="1"/>
  <c r="E365" i="4" s="1"/>
  <c r="E366" i="4" a="1"/>
  <c r="E366" i="4" s="1"/>
  <c r="G366" i="4"/>
  <c r="F366" i="4"/>
  <c r="E367" i="4" a="1"/>
  <c r="E367" i="4" s="1"/>
  <c r="G367" i="4"/>
  <c r="F367" i="4"/>
  <c r="E369" i="4" a="1"/>
  <c r="E369" i="4" s="1"/>
  <c r="F369" i="4"/>
  <c r="G369" i="4"/>
  <c r="F370" i="4"/>
  <c r="G370" i="4"/>
  <c r="E370" i="4" a="1"/>
  <c r="E370" i="4" s="1"/>
  <c r="F372" i="4"/>
  <c r="G372" i="4"/>
  <c r="E372" i="4" a="1"/>
  <c r="E372" i="4" s="1"/>
  <c r="E373" i="4" a="1"/>
  <c r="E373" i="4" s="1"/>
  <c r="G373" i="4"/>
  <c r="F373" i="4"/>
  <c r="F374" i="4"/>
  <c r="G374" i="4"/>
  <c r="E374" i="4" a="1"/>
  <c r="E374" i="4" s="1"/>
  <c r="F375" i="4"/>
  <c r="E375" i="4" a="1"/>
  <c r="E375" i="4" s="1"/>
  <c r="G375" i="4"/>
  <c r="E376" i="4" a="1"/>
  <c r="E376" i="4" s="1"/>
  <c r="F376" i="4"/>
  <c r="G376" i="4"/>
  <c r="G377" i="4"/>
  <c r="E377" i="4" a="1"/>
  <c r="E377" i="4" s="1"/>
  <c r="F377" i="4"/>
  <c r="E379" i="4" a="1"/>
  <c r="E379" i="4" s="1"/>
  <c r="G379" i="4"/>
  <c r="F379" i="4"/>
  <c r="E380" i="4" a="1"/>
  <c r="E380" i="4" s="1"/>
  <c r="G380" i="4"/>
  <c r="F380" i="4"/>
  <c r="F382" i="4"/>
  <c r="G382" i="4"/>
  <c r="E382" i="4" a="1"/>
  <c r="E382" i="4" s="1"/>
  <c r="G383" i="4"/>
  <c r="E383" i="4" a="1"/>
  <c r="E383" i="4" s="1"/>
  <c r="F383" i="4"/>
  <c r="F384" i="4"/>
  <c r="G384" i="4"/>
  <c r="E384" i="4" a="1"/>
  <c r="E384" i="4" s="1"/>
  <c r="F385" i="4"/>
  <c r="E385" i="4" a="1"/>
  <c r="E385" i="4" s="1"/>
  <c r="G385" i="4"/>
  <c r="F386" i="4"/>
  <c r="E386" i="4" a="1"/>
  <c r="E386" i="4" s="1"/>
  <c r="G386" i="4"/>
  <c r="F388" i="4"/>
  <c r="G388" i="4"/>
  <c r="E388" i="4" a="1"/>
  <c r="E388" i="4" s="1"/>
  <c r="F389" i="4"/>
  <c r="E389" i="4" a="1"/>
  <c r="E389" i="4" s="1"/>
  <c r="G389" i="4"/>
  <c r="G390" i="4"/>
  <c r="E390" i="4" a="1"/>
  <c r="E390" i="4" s="1"/>
  <c r="F390" i="4"/>
  <c r="G391" i="4"/>
  <c r="E391" i="4" a="1"/>
  <c r="E391" i="4" s="1"/>
  <c r="F391" i="4"/>
  <c r="G392" i="4"/>
  <c r="F392" i="4"/>
  <c r="E392" i="4" a="1"/>
  <c r="E392" i="4" s="1"/>
  <c r="G393" i="4"/>
  <c r="F393" i="4"/>
  <c r="E393" i="4" a="1"/>
  <c r="E393" i="4" s="1"/>
  <c r="G394" i="4"/>
  <c r="F394" i="4"/>
  <c r="E394" i="4" a="1"/>
  <c r="E394" i="4" s="1"/>
  <c r="G395" i="4"/>
  <c r="F395" i="4"/>
  <c r="E395" i="4" a="1"/>
  <c r="E395" i="4" s="1"/>
  <c r="G396" i="4"/>
  <c r="F396" i="4"/>
  <c r="E396" i="4" a="1"/>
  <c r="E396" i="4" s="1"/>
  <c r="G397" i="4"/>
  <c r="E397" i="4" a="1"/>
  <c r="E397" i="4" s="1"/>
  <c r="F397" i="4"/>
  <c r="F398" i="4"/>
  <c r="G398" i="4"/>
  <c r="E398" i="4" a="1"/>
  <c r="E398" i="4" s="1"/>
  <c r="G400" i="4"/>
  <c r="E400" i="4" a="1"/>
  <c r="E400" i="4" s="1"/>
  <c r="F400" i="4"/>
  <c r="G401" i="4"/>
  <c r="E401" i="4" a="1"/>
  <c r="E401" i="4" s="1"/>
  <c r="F401" i="4"/>
  <c r="G402" i="4"/>
  <c r="E402" i="4" a="1"/>
  <c r="E402" i="4" s="1"/>
  <c r="F402" i="4"/>
  <c r="G403" i="4"/>
  <c r="F403" i="4"/>
  <c r="E403" i="4" a="1"/>
  <c r="E403" i="4" s="1"/>
  <c r="G404" i="4"/>
  <c r="E404" i="4" a="1"/>
  <c r="E404" i="4" s="1"/>
  <c r="F404" i="4"/>
  <c r="G405" i="4"/>
  <c r="E405" i="4" a="1"/>
  <c r="E405" i="4" s="1"/>
  <c r="F405" i="4"/>
  <c r="G406" i="4"/>
  <c r="E406" i="4" a="1"/>
  <c r="E406" i="4" s="1"/>
  <c r="F406" i="4"/>
  <c r="G407" i="4"/>
  <c r="F407" i="4"/>
  <c r="E407" i="4" a="1"/>
  <c r="E407" i="4" s="1"/>
  <c r="G408" i="4"/>
  <c r="E408" i="4" a="1"/>
  <c r="E408" i="4" s="1"/>
  <c r="F408" i="4"/>
  <c r="G410" i="4"/>
  <c r="F410" i="4"/>
  <c r="E410" i="4" a="1"/>
  <c r="E410" i="4" s="1"/>
  <c r="G411" i="4"/>
  <c r="E411" i="4" a="1"/>
  <c r="E411" i="4" s="1"/>
  <c r="F411" i="4"/>
  <c r="G412" i="4"/>
  <c r="E412" i="4" a="1"/>
  <c r="E412" i="4" s="1"/>
  <c r="F412" i="4"/>
  <c r="G413" i="4"/>
  <c r="F413" i="4"/>
  <c r="E413" i="4" a="1"/>
  <c r="E413" i="4" s="1"/>
  <c r="G414" i="4"/>
  <c r="F414" i="4"/>
  <c r="E414" i="4" a="1"/>
  <c r="E414" i="4" s="1"/>
  <c r="F415" i="4"/>
  <c r="E415" i="4" a="1"/>
  <c r="E415" i="4" s="1"/>
  <c r="G415" i="4"/>
  <c r="F416" i="4"/>
  <c r="E416" i="4" a="1"/>
  <c r="E416" i="4" s="1"/>
  <c r="G416" i="4"/>
  <c r="E417" i="4" a="1"/>
  <c r="E417" i="4" s="1"/>
  <c r="G417" i="4"/>
  <c r="F417" i="4"/>
  <c r="F418" i="4"/>
  <c r="E418" i="4" a="1"/>
  <c r="E418" i="4" s="1"/>
  <c r="G418" i="4"/>
  <c r="F419" i="4"/>
  <c r="E419" i="4" a="1"/>
  <c r="E419" i="4" s="1"/>
  <c r="G419" i="4"/>
  <c r="E420" i="4" a="1"/>
  <c r="E420" i="4" s="1"/>
  <c r="G420" i="4"/>
  <c r="F420" i="4"/>
  <c r="F422" i="4"/>
  <c r="E422" i="4" a="1"/>
  <c r="E422" i="4" s="1"/>
  <c r="G422" i="4"/>
  <c r="F423" i="4"/>
  <c r="E423" i="4" a="1"/>
  <c r="E423" i="4" s="1"/>
  <c r="G423" i="4"/>
  <c r="F424" i="4"/>
  <c r="E424" i="4" a="1"/>
  <c r="E424" i="4" s="1"/>
  <c r="G424" i="4"/>
  <c r="E425" i="4" a="1"/>
  <c r="E425" i="4" s="1"/>
  <c r="F425" i="4"/>
  <c r="G425" i="4"/>
  <c r="G426" i="4"/>
  <c r="F426" i="4"/>
  <c r="E426" i="4" a="1"/>
  <c r="E426" i="4" s="1"/>
  <c r="E427" i="4" a="1"/>
  <c r="E427" i="4" s="1"/>
  <c r="F427" i="4"/>
  <c r="G427" i="4"/>
  <c r="F428" i="4"/>
  <c r="E428" i="4" a="1"/>
  <c r="E428" i="4" s="1"/>
  <c r="G428" i="4"/>
  <c r="G429" i="4"/>
  <c r="E429" i="4" a="1"/>
  <c r="E429" i="4" s="1"/>
  <c r="F429" i="4"/>
  <c r="E430" i="4" a="1"/>
  <c r="E430" i="4" s="1"/>
  <c r="G430" i="4"/>
  <c r="F430" i="4"/>
  <c r="F431" i="4"/>
  <c r="E431" i="4" a="1"/>
  <c r="E431" i="4" s="1"/>
  <c r="G431" i="4"/>
  <c r="E432" i="4" a="1"/>
  <c r="E432" i="4" s="1"/>
  <c r="G432" i="4"/>
  <c r="F432" i="4"/>
  <c r="G434" i="4"/>
  <c r="F434" i="4"/>
  <c r="E434" i="4" a="1"/>
  <c r="E434" i="4" s="1"/>
  <c r="G435" i="4"/>
  <c r="E435" i="4" a="1"/>
  <c r="E435" i="4" s="1"/>
  <c r="F435" i="4"/>
  <c r="G437" i="4"/>
  <c r="E437" i="4" a="1"/>
  <c r="E437" i="4" s="1"/>
  <c r="F437" i="4"/>
  <c r="G439" i="4"/>
  <c r="E439" i="4" a="1"/>
  <c r="E439" i="4" s="1"/>
  <c r="F439" i="4"/>
  <c r="G440" i="4"/>
  <c r="F440" i="4"/>
  <c r="E440" i="4" a="1"/>
  <c r="E440" i="4" s="1"/>
  <c r="G441" i="4"/>
  <c r="E441" i="4" a="1"/>
  <c r="E441" i="4" s="1"/>
  <c r="F441" i="4"/>
  <c r="G442" i="4"/>
  <c r="F442" i="4"/>
  <c r="E442" i="4" a="1"/>
  <c r="E442" i="4" s="1"/>
  <c r="E443" i="4" a="1"/>
  <c r="E443" i="4" s="1"/>
  <c r="F443" i="4"/>
  <c r="G443" i="4"/>
  <c r="F444" i="4"/>
  <c r="E444" i="4" a="1"/>
  <c r="E444" i="4" s="1"/>
  <c r="G444" i="4"/>
  <c r="G445" i="4"/>
  <c r="F445" i="4"/>
  <c r="E445" i="4" a="1"/>
  <c r="E445" i="4" s="1"/>
  <c r="F448" i="4"/>
  <c r="E448" i="4" a="1"/>
  <c r="E448" i="4" s="1"/>
  <c r="G448" i="4"/>
  <c r="G449" i="4"/>
  <c r="F449" i="4"/>
  <c r="E449" i="4" a="1"/>
  <c r="E449" i="4" s="1"/>
  <c r="F450" i="4"/>
  <c r="E450" i="4" a="1"/>
  <c r="E450" i="4" s="1"/>
  <c r="G450" i="4"/>
  <c r="E452" i="4" a="1"/>
  <c r="E452" i="4" s="1"/>
  <c r="G452" i="4"/>
  <c r="F452" i="4"/>
  <c r="E453" i="4" a="1"/>
  <c r="E453" i="4" s="1"/>
  <c r="F453" i="4"/>
  <c r="G453" i="4"/>
  <c r="G454" i="4"/>
  <c r="F454" i="4"/>
  <c r="E454" i="4" a="1"/>
  <c r="E454" i="4" s="1"/>
  <c r="E455" i="4" a="1"/>
  <c r="E455" i="4" s="1"/>
  <c r="G455" i="4"/>
  <c r="F455" i="4"/>
  <c r="E456" i="4" a="1"/>
  <c r="E456" i="4" s="1"/>
  <c r="F456" i="4"/>
  <c r="G456" i="4"/>
  <c r="F457" i="4"/>
  <c r="G457" i="4"/>
  <c r="E457" i="4" a="1"/>
  <c r="E457" i="4" s="1"/>
  <c r="G458" i="4"/>
  <c r="E458" i="4" a="1"/>
  <c r="E458" i="4" s="1"/>
  <c r="F458" i="4"/>
  <c r="G459" i="4"/>
  <c r="E459" i="4" a="1"/>
  <c r="E459" i="4" s="1"/>
  <c r="F459" i="4"/>
  <c r="G461" i="4"/>
  <c r="E461" i="4" a="1"/>
  <c r="E461" i="4" s="1"/>
  <c r="F461" i="4"/>
  <c r="E462" i="4" a="1"/>
  <c r="E462" i="4" s="1"/>
  <c r="G462" i="4"/>
  <c r="F462" i="4"/>
  <c r="G463" i="4"/>
  <c r="F463" i="4"/>
  <c r="E463" i="4" a="1"/>
  <c r="E463" i="4" s="1"/>
  <c r="F464" i="4"/>
  <c r="G464" i="4"/>
  <c r="E464" i="4" a="1"/>
  <c r="E464" i="4" s="1"/>
  <c r="G466" i="4"/>
  <c r="E466" i="4" a="1"/>
  <c r="E466" i="4" s="1"/>
  <c r="F466" i="4"/>
  <c r="G467" i="4"/>
  <c r="F467" i="4"/>
  <c r="E467" i="4" a="1"/>
  <c r="E467" i="4" s="1"/>
  <c r="E468" i="4" a="1"/>
  <c r="E468" i="4" s="1"/>
  <c r="G468" i="4"/>
  <c r="F468" i="4"/>
  <c r="F469" i="4"/>
  <c r="E469" i="4" a="1"/>
  <c r="E469" i="4" s="1"/>
  <c r="G469" i="4"/>
  <c r="E472" i="4" a="1"/>
  <c r="E472" i="4" s="1"/>
  <c r="F472" i="4"/>
  <c r="G472" i="4"/>
  <c r="G473" i="4"/>
  <c r="E473" i="4" a="1"/>
  <c r="E473" i="4" s="1"/>
  <c r="F473" i="4"/>
  <c r="F476" i="4"/>
  <c r="G476" i="4"/>
  <c r="E476" i="4" a="1"/>
  <c r="E476" i="4" s="1"/>
  <c r="E478" i="4" a="1"/>
  <c r="E478" i="4" s="1"/>
  <c r="G478" i="4"/>
  <c r="F478" i="4"/>
  <c r="G480" i="4"/>
  <c r="F480" i="4"/>
  <c r="E480" i="4" a="1"/>
  <c r="E480" i="4" s="1"/>
  <c r="G481" i="4"/>
  <c r="E481" i="4" a="1"/>
  <c r="E481" i="4" s="1"/>
  <c r="F481" i="4"/>
  <c r="G482" i="4"/>
  <c r="E482" i="4" a="1"/>
  <c r="E482" i="4" s="1"/>
  <c r="F482" i="4"/>
  <c r="F483" i="4"/>
  <c r="G483" i="4"/>
  <c r="E483" i="4" a="1"/>
  <c r="E483" i="4" s="1"/>
  <c r="G484" i="4"/>
  <c r="F484" i="4"/>
  <c r="E484" i="4" a="1"/>
  <c r="E484" i="4" s="1"/>
  <c r="E485" i="4" a="1"/>
  <c r="E485" i="4" s="1"/>
  <c r="F485" i="4"/>
  <c r="G485" i="4"/>
  <c r="E489" i="4" a="1"/>
  <c r="E489" i="4" s="1"/>
  <c r="G489" i="4"/>
  <c r="F489" i="4"/>
  <c r="E491" i="4" a="1"/>
  <c r="E491" i="4" s="1"/>
  <c r="F491" i="4"/>
  <c r="G491" i="4"/>
  <c r="E492" i="4" a="1"/>
  <c r="E492" i="4" s="1"/>
  <c r="F492" i="4"/>
  <c r="G492" i="4"/>
  <c r="E494" i="4" a="1"/>
  <c r="E494" i="4" s="1"/>
  <c r="F494" i="4"/>
  <c r="G494" i="4"/>
  <c r="G495" i="4"/>
  <c r="F495" i="4"/>
  <c r="E495" i="4" a="1"/>
  <c r="E495" i="4" s="1"/>
  <c r="F496" i="4"/>
  <c r="G496" i="4"/>
  <c r="E496" i="4" a="1"/>
  <c r="E496" i="4" s="1"/>
  <c r="F497" i="4"/>
  <c r="E497" i="4" a="1"/>
  <c r="E497" i="4" s="1"/>
  <c r="G497" i="4"/>
  <c r="E498" i="4" a="1"/>
  <c r="E498" i="4" s="1"/>
  <c r="F498" i="4"/>
  <c r="G498" i="4"/>
  <c r="F499" i="4"/>
  <c r="G499" i="4"/>
  <c r="E499" i="4" a="1"/>
  <c r="E499" i="4" s="1"/>
  <c r="E500" i="4" a="1"/>
  <c r="E500" i="4" s="1"/>
  <c r="G500" i="4"/>
  <c r="F500" i="4"/>
  <c r="E501" i="4" a="1"/>
  <c r="E501" i="4" s="1"/>
  <c r="F501" i="4"/>
  <c r="G501" i="4"/>
  <c r="F502" i="4"/>
  <c r="E502" i="4" a="1"/>
  <c r="E502" i="4" s="1"/>
  <c r="G502" i="4"/>
  <c r="G503" i="4"/>
  <c r="E503" i="4" a="1"/>
  <c r="E503" i="4" s="1"/>
  <c r="F503" i="4"/>
  <c r="G504" i="4"/>
  <c r="E504" i="4" a="1"/>
  <c r="E504" i="4" s="1"/>
  <c r="F504" i="4"/>
  <c r="G505" i="4"/>
  <c r="E505" i="4" a="1"/>
  <c r="E505" i="4" s="1"/>
  <c r="F505" i="4"/>
  <c r="G506" i="4"/>
  <c r="E506" i="4" a="1"/>
  <c r="E506" i="4" s="1"/>
  <c r="F506" i="4"/>
  <c r="G508" i="4"/>
  <c r="F508" i="4"/>
  <c r="E508" i="4" a="1"/>
  <c r="E508" i="4" s="1"/>
  <c r="G510" i="4"/>
  <c r="E510" i="4" a="1"/>
  <c r="E510" i="4" s="1"/>
  <c r="F510" i="4"/>
  <c r="G511" i="4"/>
  <c r="E511" i="4" a="1"/>
  <c r="E511" i="4" s="1"/>
  <c r="F511" i="4"/>
  <c r="G512" i="4"/>
  <c r="F512" i="4"/>
  <c r="E512" i="4" a="1"/>
  <c r="E512" i="4" s="1"/>
  <c r="G513" i="4"/>
  <c r="E513" i="4" a="1"/>
  <c r="E513" i="4" s="1"/>
  <c r="F513" i="4"/>
  <c r="G514" i="4"/>
  <c r="E514" i="4" a="1"/>
  <c r="E514" i="4" s="1"/>
  <c r="F514" i="4"/>
  <c r="E515" i="4" a="1"/>
  <c r="E515" i="4" s="1"/>
  <c r="F515" i="4"/>
  <c r="G515" i="4"/>
  <c r="E516" i="4" a="1"/>
  <c r="E516" i="4" s="1"/>
  <c r="F516" i="4"/>
  <c r="G516" i="4"/>
  <c r="F517" i="4"/>
  <c r="G517" i="4"/>
  <c r="E517" i="4" a="1"/>
  <c r="E517" i="4" s="1"/>
  <c r="G518" i="4"/>
  <c r="F518" i="4"/>
  <c r="E518" i="4" a="1"/>
  <c r="E518" i="4" s="1"/>
  <c r="F521" i="4"/>
  <c r="E521" i="4" a="1"/>
  <c r="E521" i="4" s="1"/>
  <c r="G521" i="4"/>
  <c r="F523" i="4"/>
  <c r="E523" i="4" a="1"/>
  <c r="E523" i="4" s="1"/>
  <c r="G523" i="4"/>
  <c r="E525" i="4" a="1"/>
  <c r="E525" i="4" s="1"/>
  <c r="F525" i="4"/>
  <c r="G525" i="4"/>
  <c r="G526" i="4"/>
  <c r="E526" i="4" a="1"/>
  <c r="E526" i="4" s="1"/>
  <c r="F526" i="4"/>
  <c r="F527" i="4"/>
  <c r="E527" i="4" a="1"/>
  <c r="E527" i="4" s="1"/>
  <c r="G527" i="4"/>
  <c r="G528" i="4"/>
  <c r="E528" i="4" a="1"/>
  <c r="E528" i="4" s="1"/>
  <c r="F528" i="4"/>
  <c r="E530" i="4" a="1"/>
  <c r="E530" i="4" s="1"/>
  <c r="F530" i="4"/>
  <c r="G530" i="4"/>
  <c r="F531" i="4"/>
  <c r="E531" i="4" a="1"/>
  <c r="E531" i="4" s="1"/>
  <c r="G531" i="4"/>
  <c r="G532" i="4"/>
  <c r="F532" i="4"/>
  <c r="E532" i="4" a="1"/>
  <c r="E532" i="4" s="1"/>
  <c r="F533" i="4"/>
  <c r="E533" i="4" a="1"/>
  <c r="E533" i="4" s="1"/>
  <c r="G533" i="4"/>
  <c r="G534" i="4"/>
  <c r="F534" i="4"/>
  <c r="E534" i="4" a="1"/>
  <c r="E534" i="4" s="1"/>
  <c r="F535" i="4"/>
  <c r="G535" i="4"/>
  <c r="E535" i="4" a="1"/>
  <c r="E535" i="4" s="1"/>
  <c r="F536" i="4"/>
  <c r="G536" i="4"/>
  <c r="E536" i="4" a="1"/>
  <c r="E536" i="4" s="1"/>
  <c r="E539" i="4" a="1"/>
  <c r="E539" i="4" s="1"/>
  <c r="G539" i="4"/>
  <c r="F539" i="4"/>
  <c r="G541" i="4"/>
  <c r="F541" i="4"/>
  <c r="E541" i="4" a="1"/>
  <c r="E541" i="4" s="1"/>
  <c r="G542" i="4"/>
  <c r="F542" i="4"/>
  <c r="E542" i="4" a="1"/>
  <c r="E542" i="4" s="1"/>
  <c r="G543" i="4"/>
  <c r="E543" i="4" a="1"/>
  <c r="E543" i="4" s="1"/>
  <c r="F543" i="4"/>
  <c r="G544" i="4"/>
  <c r="F544" i="4"/>
  <c r="E544" i="4" a="1"/>
  <c r="E544" i="4" s="1"/>
  <c r="G545" i="4"/>
  <c r="F545" i="4"/>
  <c r="E545" i="4" a="1"/>
  <c r="E545" i="4" s="1"/>
  <c r="G546" i="4"/>
  <c r="E546" i="4" a="1"/>
  <c r="E546" i="4" s="1"/>
  <c r="F546" i="4"/>
  <c r="G547" i="4"/>
  <c r="F547" i="4"/>
  <c r="E547" i="4" a="1"/>
  <c r="E547" i="4" s="1"/>
  <c r="G548" i="4"/>
  <c r="F548" i="4"/>
  <c r="E548" i="4" a="1"/>
  <c r="E548" i="4" s="1"/>
  <c r="G549" i="4"/>
  <c r="F549" i="4"/>
  <c r="E549" i="4" a="1"/>
  <c r="E549" i="4" s="1"/>
  <c r="G550" i="4"/>
  <c r="E550" i="4" a="1"/>
  <c r="E550" i="4" s="1"/>
  <c r="F550" i="4"/>
  <c r="F551" i="4"/>
  <c r="G551" i="4"/>
  <c r="E551" i="4" a="1"/>
  <c r="E551" i="4" s="1"/>
  <c r="F552" i="4"/>
  <c r="E552" i="4" a="1"/>
  <c r="E552" i="4" s="1"/>
  <c r="G552" i="4"/>
  <c r="F553" i="4"/>
  <c r="E553" i="4" a="1"/>
  <c r="E553" i="4" s="1"/>
  <c r="G553" i="4"/>
  <c r="E554" i="4" a="1"/>
  <c r="E554" i="4" s="1"/>
  <c r="F554" i="4"/>
  <c r="G554" i="4"/>
  <c r="G555" i="4"/>
  <c r="E555" i="4" a="1"/>
  <c r="E555" i="4" s="1"/>
  <c r="F555" i="4"/>
  <c r="F556" i="4"/>
  <c r="E556" i="4" a="1"/>
  <c r="E556" i="4" s="1"/>
  <c r="G556" i="4"/>
  <c r="F559" i="4"/>
  <c r="E559" i="4" a="1"/>
  <c r="E559" i="4" s="1"/>
  <c r="G559" i="4"/>
  <c r="F560" i="4"/>
  <c r="E560" i="4" a="1"/>
  <c r="E560" i="4" s="1"/>
  <c r="G560" i="4"/>
  <c r="F561" i="4"/>
  <c r="E561" i="4" a="1"/>
  <c r="E561" i="4" s="1"/>
  <c r="G561" i="4"/>
  <c r="E562" i="4" a="1"/>
  <c r="E562" i="4" s="1"/>
  <c r="F562" i="4"/>
  <c r="G562" i="4"/>
  <c r="G563" i="4"/>
  <c r="E563" i="4" a="1"/>
  <c r="E563" i="4" s="1"/>
  <c r="F563" i="4"/>
  <c r="G564" i="4"/>
  <c r="F564" i="4"/>
  <c r="E564" i="4" a="1"/>
  <c r="E564" i="4" s="1"/>
  <c r="E565" i="4" a="1"/>
  <c r="E565" i="4" s="1"/>
  <c r="F565" i="4"/>
  <c r="G565" i="4"/>
  <c r="F566" i="4"/>
  <c r="G566" i="4"/>
  <c r="E566" i="4" a="1"/>
  <c r="E566" i="4" s="1"/>
  <c r="E567" i="4" a="1"/>
  <c r="E567" i="4" s="1"/>
  <c r="F567" i="4"/>
  <c r="G567" i="4"/>
  <c r="G568" i="4"/>
  <c r="E568" i="4" a="1"/>
  <c r="E568" i="4" s="1"/>
  <c r="F568" i="4"/>
  <c r="G569" i="4"/>
  <c r="E569" i="4" a="1"/>
  <c r="E569" i="4" s="1"/>
  <c r="F569" i="4"/>
  <c r="G570" i="4"/>
  <c r="F570" i="4"/>
  <c r="E570" i="4" a="1"/>
  <c r="E570" i="4" s="1"/>
  <c r="E571" i="4" a="1"/>
  <c r="E571" i="4" s="1"/>
  <c r="G571" i="4"/>
  <c r="F571" i="4"/>
  <c r="G572" i="4"/>
  <c r="E572" i="4" a="1"/>
  <c r="E572" i="4" s="1"/>
  <c r="F572" i="4"/>
  <c r="E573" i="4" a="1"/>
  <c r="E573" i="4" s="1"/>
  <c r="F573" i="4"/>
  <c r="G573" i="4"/>
  <c r="E574" i="4" a="1"/>
  <c r="E574" i="4" s="1"/>
  <c r="G574" i="4"/>
  <c r="F574" i="4"/>
  <c r="F575" i="4"/>
  <c r="E575" i="4" a="1"/>
  <c r="E575" i="4" s="1"/>
  <c r="G575" i="4"/>
  <c r="F576" i="4"/>
  <c r="E576" i="4" a="1"/>
  <c r="E576" i="4" s="1"/>
  <c r="G576" i="4"/>
  <c r="F578" i="4"/>
  <c r="E578" i="4" a="1"/>
  <c r="E578" i="4" s="1"/>
  <c r="G578" i="4"/>
  <c r="E581" i="4" a="1"/>
  <c r="E581" i="4" s="1"/>
  <c r="F581" i="4"/>
  <c r="G581" i="4"/>
  <c r="F582" i="4"/>
  <c r="E582" i="4" a="1"/>
  <c r="E582" i="4" s="1"/>
  <c r="G582" i="4"/>
  <c r="F583" i="4"/>
  <c r="E583" i="4" a="1"/>
  <c r="E583" i="4" s="1"/>
  <c r="G583" i="4"/>
  <c r="E586" i="4" a="1"/>
  <c r="E586" i="4" s="1"/>
  <c r="G586" i="4"/>
  <c r="F586" i="4"/>
  <c r="F587" i="4"/>
  <c r="E587" i="4" a="1"/>
  <c r="E587" i="4" s="1"/>
  <c r="G587" i="4"/>
  <c r="F589" i="4"/>
  <c r="E589" i="4" a="1"/>
  <c r="E589" i="4" s="1"/>
  <c r="G589" i="4"/>
  <c r="F590" i="4"/>
  <c r="G590" i="4"/>
  <c r="E590" i="4" a="1"/>
  <c r="E590" i="4" s="1"/>
  <c r="F591" i="4"/>
  <c r="G591" i="4"/>
  <c r="E591" i="4" a="1"/>
  <c r="E591" i="4" s="1"/>
  <c r="G592" i="4"/>
  <c r="E592" i="4" a="1"/>
  <c r="E592" i="4" s="1"/>
  <c r="F592" i="4"/>
  <c r="F593" i="4"/>
  <c r="E593" i="4" a="1"/>
  <c r="E593" i="4" s="1"/>
  <c r="G593" i="4"/>
  <c r="E594" i="4" a="1"/>
  <c r="E594" i="4" s="1"/>
  <c r="F594" i="4"/>
  <c r="G594" i="4"/>
  <c r="G595" i="4"/>
  <c r="E595" i="4" a="1"/>
  <c r="E595" i="4" s="1"/>
  <c r="F595" i="4"/>
  <c r="E597" i="4" a="1"/>
  <c r="E597" i="4" s="1"/>
  <c r="F597" i="4"/>
  <c r="G597" i="4"/>
  <c r="F598" i="4"/>
  <c r="E598" i="4" a="1"/>
  <c r="E598" i="4" s="1"/>
  <c r="G598" i="4"/>
  <c r="E599" i="4" a="1"/>
  <c r="E599" i="4" s="1"/>
  <c r="G599" i="4"/>
  <c r="F599" i="4"/>
  <c r="E600" i="4" a="1"/>
  <c r="E600" i="4" s="1"/>
  <c r="F600" i="4"/>
  <c r="G600" i="4"/>
  <c r="F601" i="4"/>
  <c r="G601" i="4"/>
  <c r="E601" i="4" a="1"/>
  <c r="E601" i="4" s="1"/>
  <c r="F602" i="4"/>
  <c r="E602" i="4" a="1"/>
  <c r="E602" i="4" s="1"/>
  <c r="G602" i="4"/>
  <c r="F603" i="4"/>
  <c r="E603" i="4" a="1"/>
  <c r="E603" i="4" s="1"/>
  <c r="G603" i="4"/>
  <c r="F604" i="4"/>
  <c r="E604" i="4" a="1"/>
  <c r="E604" i="4" s="1"/>
  <c r="G604" i="4"/>
  <c r="G605" i="4"/>
  <c r="F605" i="4"/>
  <c r="E605" i="4" a="1"/>
  <c r="E605" i="4" s="1"/>
  <c r="E608" i="4" a="1"/>
  <c r="E608" i="4" s="1"/>
  <c r="F608" i="4"/>
  <c r="G608" i="4"/>
  <c r="G609" i="4"/>
  <c r="E609" i="4" a="1"/>
  <c r="E609" i="4" s="1"/>
  <c r="F609" i="4"/>
  <c r="F610" i="4"/>
  <c r="E610" i="4" a="1"/>
  <c r="E610" i="4" s="1"/>
  <c r="G610" i="4"/>
  <c r="E611" i="4" a="1"/>
  <c r="E611" i="4" s="1"/>
  <c r="F611" i="4"/>
  <c r="G611" i="4"/>
  <c r="E612" i="4" a="1"/>
  <c r="E612" i="4" s="1"/>
  <c r="F612" i="4"/>
  <c r="G612" i="4"/>
  <c r="G613" i="4"/>
  <c r="E613" i="4" a="1"/>
  <c r="E613" i="4" s="1"/>
  <c r="F613" i="4"/>
  <c r="G614" i="4"/>
  <c r="E614" i="4" a="1"/>
  <c r="E614" i="4" s="1"/>
  <c r="F614" i="4"/>
  <c r="G616" i="4"/>
  <c r="E616" i="4" a="1"/>
  <c r="E616" i="4" s="1"/>
  <c r="F616" i="4"/>
  <c r="E617" i="4" a="1"/>
  <c r="E617" i="4" s="1"/>
  <c r="F617" i="4"/>
  <c r="G617" i="4"/>
  <c r="G618" i="4"/>
  <c r="E618" i="4" a="1"/>
  <c r="E618" i="4" s="1"/>
  <c r="F618" i="4"/>
  <c r="G620" i="4"/>
  <c r="F620" i="4"/>
  <c r="E620" i="4" a="1"/>
  <c r="E620" i="4" s="1"/>
  <c r="E621" i="4" a="1"/>
  <c r="E621" i="4" s="1"/>
  <c r="F621" i="4"/>
  <c r="G621" i="4"/>
  <c r="G623" i="4"/>
  <c r="E623" i="4" a="1"/>
  <c r="E623" i="4" s="1"/>
  <c r="F623" i="4"/>
  <c r="E624" i="4" a="1"/>
  <c r="E624" i="4" s="1"/>
  <c r="G624" i="4"/>
  <c r="F624" i="4"/>
  <c r="G625" i="4"/>
  <c r="E625" i="4" a="1"/>
  <c r="E625" i="4" s="1"/>
  <c r="F625" i="4"/>
  <c r="G626" i="4"/>
  <c r="F626" i="4"/>
  <c r="E626" i="4" a="1"/>
  <c r="E626" i="4" s="1"/>
  <c r="G627" i="4"/>
  <c r="E627" i="4" a="1"/>
  <c r="E627" i="4" s="1"/>
  <c r="F627" i="4"/>
  <c r="G628" i="4"/>
  <c r="E628" i="4" a="1"/>
  <c r="E628" i="4" s="1"/>
  <c r="F628" i="4"/>
  <c r="G629" i="4"/>
  <c r="E629" i="4" a="1"/>
  <c r="E629" i="4" s="1"/>
  <c r="F629" i="4"/>
  <c r="E630" i="4" a="1"/>
  <c r="E630" i="4" s="1"/>
  <c r="F630" i="4"/>
  <c r="G630" i="4"/>
  <c r="E632" i="4" a="1"/>
  <c r="E632" i="4" s="1"/>
  <c r="F632" i="4"/>
  <c r="G632" i="4"/>
  <c r="E633" i="4" a="1"/>
  <c r="E633" i="4" s="1"/>
  <c r="F633" i="4"/>
  <c r="G633" i="4"/>
  <c r="E634" i="4" a="1"/>
  <c r="E634" i="4" s="1"/>
  <c r="G634" i="4"/>
  <c r="F634" i="4"/>
  <c r="E635" i="4" a="1"/>
  <c r="E635" i="4" s="1"/>
  <c r="F635" i="4"/>
  <c r="G635" i="4"/>
  <c r="G637" i="4"/>
  <c r="F637" i="4"/>
  <c r="E637" i="4" a="1"/>
  <c r="E637" i="4" s="1"/>
  <c r="G639" i="4"/>
  <c r="F639" i="4"/>
  <c r="E639" i="4" a="1"/>
  <c r="E639" i="4" s="1"/>
  <c r="F640" i="4"/>
  <c r="E640" i="4" a="1"/>
  <c r="E640" i="4" s="1"/>
  <c r="G640" i="4"/>
  <c r="G641" i="4"/>
  <c r="F641" i="4"/>
  <c r="E641" i="4" a="1"/>
  <c r="E641" i="4" s="1"/>
  <c r="G642" i="4"/>
  <c r="F642" i="4"/>
  <c r="E642" i="4" a="1"/>
  <c r="E642" i="4" s="1"/>
  <c r="G643" i="4"/>
  <c r="E643" i="4" a="1"/>
  <c r="E643" i="4" s="1"/>
  <c r="F643" i="4"/>
  <c r="G644" i="4"/>
  <c r="E644" i="4" a="1"/>
  <c r="E644" i="4" s="1"/>
  <c r="F644" i="4"/>
  <c r="G645" i="4"/>
  <c r="E645" i="4" a="1"/>
  <c r="E645" i="4" s="1"/>
  <c r="F645" i="4"/>
  <c r="G646" i="4"/>
  <c r="E646" i="4" a="1"/>
  <c r="E646" i="4" s="1"/>
  <c r="F646" i="4"/>
  <c r="G647" i="4"/>
  <c r="F647" i="4"/>
  <c r="E647" i="4" a="1"/>
  <c r="E647" i="4" s="1"/>
  <c r="F648" i="4"/>
  <c r="G648" i="4"/>
  <c r="E648" i="4" a="1"/>
  <c r="E648" i="4" s="1"/>
  <c r="G650" i="4"/>
  <c r="E650" i="4" a="1"/>
  <c r="E650" i="4" s="1"/>
  <c r="F650" i="4"/>
  <c r="G656" i="4"/>
  <c r="E656" i="4" a="1"/>
  <c r="E656" i="4" s="1"/>
  <c r="F656" i="4"/>
  <c r="G657" i="4"/>
  <c r="F657" i="4"/>
  <c r="E657" i="4" a="1"/>
  <c r="E657" i="4" s="1"/>
  <c r="F658" i="4"/>
  <c r="E658" i="4" a="1"/>
  <c r="E658" i="4" s="1"/>
  <c r="G658" i="4"/>
  <c r="G659" i="4"/>
  <c r="E659" i="4" a="1"/>
  <c r="E659" i="4" s="1"/>
  <c r="F659" i="4"/>
  <c r="E663" i="4" a="1"/>
  <c r="E663" i="4" s="1"/>
  <c r="F663" i="4"/>
  <c r="G663" i="4"/>
  <c r="F664" i="4"/>
  <c r="E664" i="4" a="1"/>
  <c r="E664" i="4" s="1"/>
  <c r="G664" i="4"/>
  <c r="E665" i="4" a="1"/>
  <c r="E665" i="4" s="1"/>
  <c r="F665" i="4"/>
  <c r="G665" i="4"/>
  <c r="E669" i="4" a="1"/>
  <c r="E669" i="4" s="1"/>
  <c r="F669" i="4"/>
  <c r="G669" i="4"/>
  <c r="E670" i="4" a="1"/>
  <c r="E670" i="4" s="1"/>
  <c r="F670" i="4"/>
  <c r="G670" i="4"/>
  <c r="E671" i="4" a="1"/>
  <c r="E671" i="4" s="1"/>
  <c r="F671" i="4"/>
  <c r="G671" i="4"/>
  <c r="F672" i="4"/>
  <c r="E672" i="4" a="1"/>
  <c r="E672" i="4" s="1"/>
  <c r="G672" i="4"/>
  <c r="F673" i="4"/>
  <c r="E673" i="4" a="1"/>
  <c r="E673" i="4" s="1"/>
  <c r="G673" i="4"/>
  <c r="G676" i="4"/>
  <c r="F676" i="4"/>
  <c r="E676" i="4" a="1"/>
  <c r="E676" i="4" s="1"/>
  <c r="G678" i="4"/>
  <c r="E678" i="4" a="1"/>
  <c r="E678" i="4" s="1"/>
  <c r="F678" i="4"/>
  <c r="F679" i="4"/>
  <c r="E679" i="4" a="1"/>
  <c r="E679" i="4" s="1"/>
  <c r="G679" i="4"/>
  <c r="F680" i="4"/>
  <c r="G680" i="4"/>
  <c r="E680" i="4" a="1"/>
  <c r="E680" i="4" s="1"/>
  <c r="E681" i="4" a="1"/>
  <c r="E681" i="4" s="1"/>
  <c r="F681" i="4"/>
  <c r="G681" i="4"/>
  <c r="E683" i="4" a="1"/>
  <c r="E683" i="4" s="1"/>
  <c r="F683" i="4"/>
  <c r="G683" i="4"/>
  <c r="F686" i="4"/>
  <c r="E686" i="4" a="1"/>
  <c r="E686" i="4" s="1"/>
  <c r="G686" i="4"/>
  <c r="G687" i="4"/>
  <c r="F687" i="4"/>
  <c r="E687" i="4" a="1"/>
  <c r="E687" i="4" s="1"/>
  <c r="F688" i="4"/>
  <c r="E688" i="4" a="1"/>
  <c r="E688" i="4" s="1"/>
  <c r="G688" i="4"/>
  <c r="F689" i="4"/>
  <c r="G689" i="4"/>
  <c r="E689" i="4" a="1"/>
  <c r="E689" i="4" s="1"/>
  <c r="E694" i="4" a="1"/>
  <c r="E694" i="4" s="1"/>
  <c r="F694" i="4"/>
  <c r="G694" i="4"/>
  <c r="E695" i="4" a="1"/>
  <c r="E695" i="4" s="1"/>
  <c r="F695" i="4"/>
  <c r="G695" i="4"/>
  <c r="E696" i="4" a="1"/>
  <c r="E696" i="4" s="1"/>
  <c r="F696" i="4"/>
  <c r="G696" i="4"/>
  <c r="E697" i="4" a="1"/>
  <c r="E697" i="4" s="1"/>
  <c r="G697" i="4"/>
  <c r="F697" i="4"/>
  <c r="E699" i="4" a="1"/>
  <c r="E699" i="4" s="1"/>
  <c r="F699" i="4"/>
  <c r="G699" i="4"/>
  <c r="E700" i="4" a="1"/>
  <c r="E700" i="4" s="1"/>
  <c r="F700" i="4"/>
  <c r="G700" i="4"/>
  <c r="F701" i="4"/>
  <c r="E701" i="4" a="1"/>
  <c r="E701" i="4" s="1"/>
  <c r="G701" i="4"/>
  <c r="F703" i="4"/>
  <c r="E703" i="4" a="1"/>
  <c r="E703" i="4" s="1"/>
  <c r="G703" i="4"/>
  <c r="F704" i="4"/>
  <c r="E704" i="4" a="1"/>
  <c r="E704" i="4" s="1"/>
  <c r="G704" i="4"/>
  <c r="E705" i="4" a="1"/>
  <c r="E705" i="4" s="1"/>
  <c r="F705" i="4"/>
  <c r="G705" i="4"/>
  <c r="F707" i="4"/>
  <c r="G707" i="4"/>
  <c r="E707" i="4" a="1"/>
  <c r="E707" i="4" s="1"/>
  <c r="F708" i="4"/>
  <c r="E708" i="4" a="1"/>
  <c r="E708" i="4" s="1"/>
  <c r="G708" i="4"/>
  <c r="G710" i="4"/>
  <c r="E710" i="4" a="1"/>
  <c r="E710" i="4" s="1"/>
  <c r="F710" i="4"/>
  <c r="F711" i="4"/>
  <c r="E711" i="4" a="1"/>
  <c r="E711" i="4" s="1"/>
  <c r="G711" i="4"/>
  <c r="E714" i="4" a="1"/>
  <c r="E714" i="4" s="1"/>
  <c r="F714" i="4"/>
  <c r="G714" i="4"/>
  <c r="G716" i="4"/>
  <c r="E716" i="4" a="1"/>
  <c r="E716" i="4" s="1"/>
  <c r="F716" i="4"/>
  <c r="G720" i="4"/>
  <c r="F720" i="4"/>
  <c r="E720" i="4" a="1"/>
  <c r="E720" i="4" s="1"/>
  <c r="G721" i="4"/>
  <c r="F721" i="4"/>
  <c r="E721" i="4" a="1"/>
  <c r="E721" i="4" s="1"/>
  <c r="G723" i="4"/>
  <c r="E723" i="4" a="1"/>
  <c r="E723" i="4" s="1"/>
  <c r="F723" i="4"/>
  <c r="F724" i="4"/>
  <c r="G724" i="4"/>
  <c r="E724" i="4" a="1"/>
  <c r="E724" i="4" s="1"/>
  <c r="G725" i="4"/>
  <c r="E725" i="4" a="1"/>
  <c r="E725" i="4" s="1"/>
  <c r="F725" i="4"/>
  <c r="G727" i="4"/>
  <c r="E727" i="4" a="1"/>
  <c r="E727" i="4" s="1"/>
  <c r="F727" i="4"/>
  <c r="F728" i="4"/>
  <c r="E728" i="4" a="1"/>
  <c r="E728" i="4" s="1"/>
  <c r="G728" i="4"/>
  <c r="E730" i="4" a="1"/>
  <c r="E730" i="4" s="1"/>
  <c r="F730" i="4"/>
  <c r="G730" i="4"/>
  <c r="G731" i="4"/>
  <c r="F731" i="4"/>
  <c r="E731" i="4" a="1"/>
  <c r="E731" i="4" s="1"/>
  <c r="G732" i="4"/>
  <c r="F732" i="4"/>
  <c r="E732" i="4" a="1"/>
  <c r="E732" i="4" s="1"/>
  <c r="G733" i="4"/>
  <c r="E733" i="4" a="1"/>
  <c r="E733" i="4" s="1"/>
  <c r="F733" i="4"/>
  <c r="F736" i="4"/>
  <c r="G736" i="4"/>
  <c r="E736" i="4" a="1"/>
  <c r="E736" i="4" s="1"/>
  <c r="F737" i="4"/>
  <c r="G737" i="4"/>
  <c r="E737" i="4" a="1"/>
  <c r="E737" i="4" s="1"/>
  <c r="F739" i="4"/>
  <c r="G739" i="4"/>
  <c r="E739" i="4" a="1"/>
  <c r="E739" i="4" s="1"/>
  <c r="F740" i="4"/>
  <c r="E740" i="4" a="1"/>
  <c r="E740" i="4" s="1"/>
  <c r="G740" i="4"/>
  <c r="E741" i="4" a="1"/>
  <c r="E741" i="4" s="1"/>
  <c r="F741" i="4"/>
  <c r="G741" i="4"/>
  <c r="G744" i="4"/>
  <c r="E744" i="4" a="1"/>
  <c r="E744" i="4" s="1"/>
  <c r="F744" i="4"/>
  <c r="G745" i="4"/>
  <c r="E745" i="4" a="1"/>
  <c r="E745" i="4" s="1"/>
  <c r="F745" i="4"/>
  <c r="G747" i="4"/>
  <c r="E747" i="4" a="1"/>
  <c r="E747" i="4" s="1"/>
  <c r="F747" i="4"/>
  <c r="G748" i="4"/>
  <c r="E748" i="4" a="1"/>
  <c r="E748" i="4" s="1"/>
  <c r="F748" i="4"/>
  <c r="G750" i="4"/>
  <c r="F750" i="4"/>
  <c r="E750" i="4" a="1"/>
  <c r="E750" i="4" s="1"/>
  <c r="G751" i="4"/>
  <c r="F751" i="4"/>
  <c r="E751" i="4" a="1"/>
  <c r="E751" i="4" s="1"/>
  <c r="G752" i="4"/>
  <c r="E752" i="4" a="1"/>
  <c r="E752" i="4" s="1"/>
  <c r="F752" i="4"/>
  <c r="G753" i="4"/>
  <c r="F753" i="4"/>
  <c r="E753" i="4" a="1"/>
  <c r="E753" i="4" s="1"/>
  <c r="E757" i="4" a="1"/>
  <c r="E757" i="4" s="1"/>
  <c r="F757" i="4"/>
  <c r="G757" i="4"/>
  <c r="G760" i="4"/>
  <c r="F760" i="4"/>
  <c r="E760" i="4" a="1"/>
  <c r="E760" i="4" s="1"/>
  <c r="E761" i="4" a="1"/>
  <c r="E761" i="4" s="1"/>
  <c r="F761" i="4"/>
  <c r="G761" i="4"/>
  <c r="E762" i="4" a="1"/>
  <c r="E762" i="4" s="1"/>
  <c r="F762" i="4"/>
  <c r="G762" i="4"/>
  <c r="E763" i="4" a="1"/>
  <c r="E763" i="4" s="1"/>
  <c r="F763" i="4"/>
  <c r="G763" i="4"/>
  <c r="E764" i="4" a="1"/>
  <c r="E764" i="4" s="1"/>
  <c r="F764" i="4"/>
  <c r="G764" i="4"/>
  <c r="F765" i="4"/>
  <c r="E765" i="4" a="1"/>
  <c r="E765" i="4" s="1"/>
  <c r="G765" i="4"/>
  <c r="F767" i="4"/>
  <c r="E767" i="4" a="1"/>
  <c r="E767" i="4" s="1"/>
  <c r="G767" i="4"/>
  <c r="E768" i="4" a="1"/>
  <c r="E768" i="4" s="1"/>
  <c r="G768" i="4"/>
  <c r="F768" i="4"/>
  <c r="G769" i="4"/>
  <c r="F769" i="4"/>
  <c r="E769" i="4" a="1"/>
  <c r="E769" i="4" s="1"/>
  <c r="G770" i="4"/>
  <c r="F770" i="4"/>
  <c r="E770" i="4" a="1"/>
  <c r="E770" i="4" s="1"/>
  <c r="G772" i="4"/>
  <c r="F772" i="4"/>
  <c r="E772" i="4" a="1"/>
  <c r="E772" i="4" s="1"/>
  <c r="G773" i="4"/>
  <c r="F773" i="4"/>
  <c r="E773" i="4" a="1"/>
  <c r="E773" i="4" s="1"/>
  <c r="G774" i="4"/>
  <c r="E774" i="4" a="1"/>
  <c r="E774" i="4" s="1"/>
  <c r="F774" i="4"/>
  <c r="G775" i="4"/>
  <c r="E775" i="4" a="1"/>
  <c r="E775" i="4" s="1"/>
  <c r="F775" i="4"/>
  <c r="G776" i="4"/>
  <c r="E776" i="4" a="1"/>
  <c r="E776" i="4" s="1"/>
  <c r="F776" i="4"/>
  <c r="G777" i="4"/>
  <c r="E777" i="4" a="1"/>
  <c r="E777" i="4" s="1"/>
  <c r="F777" i="4"/>
  <c r="E778" i="4" a="1"/>
  <c r="E778" i="4" s="1"/>
  <c r="G778" i="4"/>
  <c r="F778" i="4"/>
  <c r="G780" i="4"/>
  <c r="E780" i="4" a="1"/>
  <c r="E780" i="4" s="1"/>
  <c r="F780" i="4"/>
  <c r="E782" i="4" a="1"/>
  <c r="E782" i="4" s="1"/>
  <c r="G782" i="4"/>
  <c r="F782" i="4"/>
  <c r="E786" i="4" a="1"/>
  <c r="E786" i="4" s="1"/>
  <c r="F786" i="4"/>
  <c r="G786" i="4"/>
  <c r="E788" i="4" a="1"/>
  <c r="E788" i="4" s="1"/>
  <c r="G788" i="4"/>
  <c r="F788" i="4"/>
  <c r="G790" i="4"/>
  <c r="E790" i="4" a="1"/>
  <c r="E790" i="4" s="1"/>
  <c r="F790" i="4"/>
  <c r="E792" i="4" a="1"/>
  <c r="E792" i="4" s="1"/>
  <c r="G792" i="4"/>
  <c r="F792" i="4"/>
  <c r="G793" i="4"/>
  <c r="E793" i="4" a="1"/>
  <c r="E793" i="4" s="1"/>
  <c r="F793" i="4"/>
  <c r="E794" i="4" a="1"/>
  <c r="E794" i="4" s="1"/>
  <c r="F794" i="4"/>
  <c r="G794" i="4"/>
  <c r="E795" i="4" a="1"/>
  <c r="E795" i="4" s="1"/>
  <c r="G795" i="4"/>
  <c r="F795" i="4"/>
  <c r="G797" i="4"/>
  <c r="E797" i="4" a="1"/>
  <c r="E797" i="4" s="1"/>
  <c r="F797" i="4"/>
  <c r="E798" i="4" a="1"/>
  <c r="E798" i="4" s="1"/>
  <c r="G798" i="4"/>
  <c r="F798" i="4"/>
  <c r="E799" i="4" a="1"/>
  <c r="E799" i="4" s="1"/>
  <c r="G799" i="4"/>
  <c r="F799" i="4"/>
  <c r="E800" i="4" a="1"/>
  <c r="E800" i="4" s="1"/>
  <c r="G800" i="4"/>
  <c r="F800" i="4"/>
  <c r="E803" i="4" a="1"/>
  <c r="E803" i="4" s="1"/>
  <c r="F803" i="4"/>
  <c r="G803" i="4"/>
  <c r="G806" i="4"/>
  <c r="E806" i="4" a="1"/>
  <c r="E806" i="4" s="1"/>
  <c r="F806" i="4"/>
  <c r="G807" i="4"/>
  <c r="E807" i="4" a="1"/>
  <c r="E807" i="4" s="1"/>
  <c r="F807" i="4"/>
  <c r="E808" i="4" a="1"/>
  <c r="E808" i="4" s="1"/>
  <c r="F808" i="4"/>
  <c r="G808" i="4"/>
  <c r="E810" i="4" a="1"/>
  <c r="E810" i="4" s="1"/>
  <c r="F810" i="4"/>
  <c r="G810" i="4"/>
  <c r="E811" i="4" a="1"/>
  <c r="E811" i="4" s="1"/>
  <c r="F811" i="4"/>
  <c r="G811" i="4"/>
  <c r="E813" i="4" a="1"/>
  <c r="E813" i="4" s="1"/>
  <c r="F813" i="4"/>
  <c r="G813" i="4"/>
  <c r="G814" i="4"/>
  <c r="E814" i="4" a="1"/>
  <c r="E814" i="4" s="1"/>
  <c r="F814" i="4"/>
  <c r="E815" i="4" a="1"/>
  <c r="E815" i="4" s="1"/>
  <c r="G815" i="4"/>
  <c r="F815" i="4"/>
  <c r="F816" i="4"/>
  <c r="G816" i="4"/>
  <c r="E816" i="4" a="1"/>
  <c r="E816" i="4" s="1"/>
  <c r="F817" i="4"/>
  <c r="E817" i="4" a="1"/>
  <c r="E817" i="4" s="1"/>
  <c r="G817" i="4"/>
  <c r="G819" i="4"/>
  <c r="E819" i="4" a="1"/>
  <c r="E819" i="4" s="1"/>
  <c r="F819" i="4"/>
  <c r="G820" i="4"/>
  <c r="F820" i="4"/>
  <c r="E820" i="4" a="1"/>
  <c r="E820" i="4" s="1"/>
  <c r="G821" i="4"/>
  <c r="F821" i="4"/>
  <c r="E821" i="4" a="1"/>
  <c r="E821" i="4" s="1"/>
  <c r="F822" i="4"/>
  <c r="E822" i="4" a="1"/>
  <c r="E822" i="4" s="1"/>
  <c r="G822" i="4"/>
  <c r="G823" i="4"/>
  <c r="E823" i="4" a="1"/>
  <c r="E823" i="4" s="1"/>
  <c r="F823" i="4"/>
  <c r="G824" i="4"/>
  <c r="F824" i="4"/>
  <c r="E824" i="4" a="1"/>
  <c r="E824" i="4" s="1"/>
  <c r="G825" i="4"/>
  <c r="E825" i="4" a="1"/>
  <c r="E825" i="4" s="1"/>
  <c r="F825" i="4"/>
  <c r="G826" i="4"/>
  <c r="E826" i="4" a="1"/>
  <c r="E826" i="4" s="1"/>
  <c r="F826" i="4"/>
  <c r="F827" i="4"/>
  <c r="G827" i="4"/>
  <c r="E827" i="4" a="1"/>
  <c r="E827" i="4" s="1"/>
  <c r="E829" i="4" a="1"/>
  <c r="E829" i="4" s="1"/>
  <c r="F829" i="4"/>
  <c r="G829" i="4"/>
  <c r="E830" i="4" a="1"/>
  <c r="E830" i="4" s="1"/>
  <c r="F830" i="4"/>
  <c r="G830" i="4"/>
  <c r="G831" i="4"/>
  <c r="E831" i="4" a="1"/>
  <c r="E831" i="4" s="1"/>
  <c r="F831" i="4"/>
  <c r="F833" i="4"/>
  <c r="E833" i="4" a="1"/>
  <c r="E833" i="4" s="1"/>
  <c r="G833" i="4"/>
  <c r="E835" i="4" a="1"/>
  <c r="E835" i="4" s="1"/>
  <c r="F835" i="4"/>
  <c r="G835" i="4"/>
  <c r="F838" i="4"/>
  <c r="E838" i="4" a="1"/>
  <c r="E838" i="4" s="1"/>
  <c r="G838" i="4"/>
  <c r="E839" i="4" a="1"/>
  <c r="E839" i="4" s="1"/>
  <c r="F839" i="4"/>
  <c r="G839" i="4"/>
  <c r="G840" i="4"/>
  <c r="F840" i="4"/>
  <c r="E840" i="4" a="1"/>
  <c r="E840" i="4" s="1"/>
  <c r="E841" i="4" a="1"/>
  <c r="E841" i="4" s="1"/>
  <c r="F841" i="4"/>
  <c r="G841" i="4"/>
  <c r="E842" i="4" a="1"/>
  <c r="E842" i="4" s="1"/>
  <c r="F842" i="4"/>
  <c r="G842" i="4"/>
  <c r="F843" i="4"/>
  <c r="E843" i="4" a="1"/>
  <c r="E843" i="4" s="1"/>
  <c r="G843" i="4"/>
  <c r="G847" i="4"/>
  <c r="E847" i="4" a="1"/>
  <c r="E847" i="4" s="1"/>
  <c r="F847" i="4"/>
  <c r="F848" i="4"/>
  <c r="E848" i="4" a="1"/>
  <c r="E848" i="4" s="1"/>
  <c r="G848" i="4"/>
  <c r="E852" i="4" a="1"/>
  <c r="E852" i="4" s="1"/>
  <c r="F852" i="4"/>
  <c r="G852" i="4"/>
  <c r="E853" i="4" a="1"/>
  <c r="E853" i="4" s="1"/>
  <c r="G853" i="4"/>
  <c r="F853" i="4"/>
  <c r="F854" i="4"/>
  <c r="E854" i="4" a="1"/>
  <c r="E854" i="4" s="1"/>
  <c r="G854" i="4"/>
  <c r="G856" i="4"/>
  <c r="F856" i="4"/>
  <c r="E856" i="4" a="1"/>
  <c r="E856" i="4" s="1"/>
  <c r="G858" i="4"/>
  <c r="F858" i="4"/>
  <c r="E858" i="4" a="1"/>
  <c r="E858" i="4" s="1"/>
  <c r="G860" i="4"/>
  <c r="E860" i="4" a="1"/>
  <c r="E860" i="4" s="1"/>
  <c r="F860" i="4"/>
  <c r="G861" i="4"/>
  <c r="E861" i="4" a="1"/>
  <c r="E861" i="4" s="1"/>
  <c r="F861" i="4"/>
  <c r="G862" i="4"/>
  <c r="F862" i="4"/>
  <c r="E862" i="4" a="1"/>
  <c r="E862" i="4" s="1"/>
  <c r="G866" i="4"/>
  <c r="E866" i="4" a="1"/>
  <c r="E866" i="4" s="1"/>
  <c r="F866" i="4"/>
  <c r="G867" i="4"/>
  <c r="E867" i="4" a="1"/>
  <c r="E867" i="4" s="1"/>
  <c r="F867" i="4"/>
  <c r="F868" i="4"/>
  <c r="E868" i="4" a="1"/>
  <c r="E868" i="4" s="1"/>
  <c r="G868" i="4"/>
  <c r="E869" i="4" a="1"/>
  <c r="E869" i="4" s="1"/>
  <c r="G869" i="4"/>
  <c r="F869" i="4"/>
  <c r="G870" i="4"/>
  <c r="F870" i="4"/>
  <c r="E870" i="4" a="1"/>
  <c r="E870" i="4" s="1"/>
  <c r="E874" i="4" a="1"/>
  <c r="E874" i="4" s="1"/>
  <c r="G874" i="4"/>
  <c r="F874" i="4"/>
  <c r="E875" i="4" a="1"/>
  <c r="E875" i="4" s="1"/>
  <c r="F875" i="4"/>
  <c r="G875" i="4"/>
  <c r="F876" i="4"/>
  <c r="G876" i="4"/>
  <c r="E876" i="4" a="1"/>
  <c r="E876" i="4" s="1"/>
  <c r="F877" i="4"/>
  <c r="G877" i="4"/>
  <c r="E877" i="4" a="1"/>
  <c r="E877" i="4" s="1"/>
  <c r="E880" i="4" a="1"/>
  <c r="E880" i="4" s="1"/>
  <c r="G880" i="4"/>
  <c r="F880" i="4"/>
  <c r="E885" i="4" a="1"/>
  <c r="E885" i="4" s="1"/>
  <c r="F885" i="4"/>
  <c r="G885" i="4"/>
  <c r="E886" i="4" a="1"/>
  <c r="E886" i="4" s="1"/>
  <c r="F886" i="4"/>
  <c r="G886" i="4"/>
  <c r="E887" i="4" a="1"/>
  <c r="E887" i="4" s="1"/>
  <c r="G887" i="4"/>
  <c r="F887" i="4"/>
  <c r="F889" i="4"/>
  <c r="E889" i="4" a="1"/>
  <c r="E889" i="4" s="1"/>
  <c r="G889" i="4"/>
  <c r="E890" i="4" a="1"/>
  <c r="E890" i="4" s="1"/>
  <c r="F890" i="4"/>
  <c r="G890" i="4"/>
  <c r="F892" i="4"/>
  <c r="E892" i="4" a="1"/>
  <c r="E892" i="4" s="1"/>
  <c r="G892" i="4"/>
  <c r="E893" i="4" a="1"/>
  <c r="E893" i="4" s="1"/>
  <c r="G893" i="4"/>
  <c r="F893" i="4"/>
  <c r="G895" i="4"/>
  <c r="E895" i="4" a="1"/>
  <c r="E895" i="4" s="1"/>
  <c r="F895" i="4"/>
  <c r="G897" i="4"/>
  <c r="E897" i="4" a="1"/>
  <c r="E897" i="4" s="1"/>
  <c r="F897" i="4"/>
  <c r="G899" i="4"/>
  <c r="E899" i="4" a="1"/>
  <c r="E899" i="4" s="1"/>
  <c r="F899" i="4"/>
  <c r="G900" i="4"/>
  <c r="F900" i="4"/>
  <c r="E900" i="4" a="1"/>
  <c r="E900" i="4" s="1"/>
  <c r="F901" i="4"/>
  <c r="G901" i="4"/>
  <c r="E901" i="4" a="1"/>
  <c r="E901" i="4" s="1"/>
  <c r="G902" i="4"/>
  <c r="F902" i="4"/>
  <c r="E902" i="4" a="1"/>
  <c r="E902" i="4" s="1"/>
  <c r="F903" i="4"/>
  <c r="E903" i="4" a="1"/>
  <c r="E903" i="4" s="1"/>
  <c r="G903" i="4"/>
  <c r="E907" i="4" a="1"/>
  <c r="E907" i="4" s="1"/>
  <c r="G907" i="4"/>
  <c r="F907" i="4"/>
  <c r="F908" i="4"/>
  <c r="G908" i="4"/>
  <c r="E908" i="4" a="1"/>
  <c r="E908" i="4" s="1"/>
  <c r="G909" i="4"/>
  <c r="E909" i="4" a="1"/>
  <c r="E909" i="4" s="1"/>
  <c r="F909" i="4"/>
  <c r="F910" i="4"/>
  <c r="E910" i="4" a="1"/>
  <c r="E910" i="4" s="1"/>
  <c r="G910" i="4"/>
  <c r="F912" i="4"/>
  <c r="G912" i="4"/>
  <c r="E912" i="4" a="1"/>
  <c r="E912" i="4" s="1"/>
  <c r="G913" i="4"/>
  <c r="F913" i="4"/>
  <c r="E913" i="4" a="1"/>
  <c r="E913" i="4" s="1"/>
  <c r="G914" i="4"/>
  <c r="E914" i="4" a="1"/>
  <c r="E914" i="4" s="1"/>
  <c r="F914" i="4"/>
  <c r="G915" i="4"/>
  <c r="F915" i="4"/>
  <c r="E915" i="4" a="1"/>
  <c r="E915" i="4" s="1"/>
  <c r="F916" i="4"/>
  <c r="G916" i="4"/>
  <c r="E916" i="4" a="1"/>
  <c r="E916" i="4" s="1"/>
  <c r="E917" i="4" a="1"/>
  <c r="E917" i="4" s="1"/>
  <c r="G917" i="4"/>
  <c r="F917" i="4"/>
  <c r="E919" i="4" a="1"/>
  <c r="E919" i="4" s="1"/>
  <c r="F919" i="4"/>
  <c r="G919" i="4"/>
  <c r="F921" i="4"/>
  <c r="E921" i="4" a="1"/>
  <c r="E921" i="4" s="1"/>
  <c r="G921" i="4"/>
  <c r="F922" i="4"/>
  <c r="E922" i="4" a="1"/>
  <c r="E922" i="4" s="1"/>
  <c r="G922" i="4"/>
  <c r="G923" i="4"/>
  <c r="E923" i="4" a="1"/>
  <c r="E923" i="4" s="1"/>
  <c r="F923" i="4"/>
  <c r="F926" i="4"/>
  <c r="E926" i="4" a="1"/>
  <c r="E926" i="4" s="1"/>
  <c r="G926" i="4"/>
  <c r="F927" i="4"/>
  <c r="E927" i="4" a="1"/>
  <c r="E927" i="4" s="1"/>
  <c r="G927" i="4"/>
  <c r="E929" i="4" a="1"/>
  <c r="E929" i="4" s="1"/>
  <c r="F929" i="4"/>
  <c r="G929" i="4"/>
  <c r="E931" i="4" a="1"/>
  <c r="E931" i="4" s="1"/>
  <c r="F931" i="4"/>
  <c r="G931" i="4"/>
  <c r="E932" i="4" a="1"/>
  <c r="E932" i="4" s="1"/>
  <c r="G932" i="4"/>
  <c r="F932" i="4"/>
  <c r="F934" i="4"/>
  <c r="G934" i="4"/>
  <c r="E934" i="4" a="1"/>
  <c r="E934" i="4" s="1"/>
  <c r="E935" i="4" a="1"/>
  <c r="E935" i="4" s="1"/>
  <c r="F935" i="4"/>
  <c r="G935" i="4"/>
  <c r="E936" i="4" a="1"/>
  <c r="E936" i="4" s="1"/>
  <c r="F936" i="4"/>
  <c r="G936" i="4"/>
  <c r="E937" i="4" a="1"/>
  <c r="E937" i="4" s="1"/>
  <c r="F937" i="4"/>
  <c r="G937" i="4"/>
  <c r="F938" i="4"/>
  <c r="E938" i="4" a="1"/>
  <c r="E938" i="4" s="1"/>
  <c r="G938" i="4"/>
  <c r="F940" i="4"/>
  <c r="E940" i="4" a="1"/>
  <c r="E940" i="4" s="1"/>
  <c r="G940" i="4"/>
  <c r="F941" i="4"/>
  <c r="G941" i="4"/>
  <c r="E941" i="4" a="1"/>
  <c r="E941" i="4" s="1"/>
  <c r="E942" i="4" a="1"/>
  <c r="E942" i="4" s="1"/>
  <c r="F942" i="4"/>
  <c r="G942" i="4"/>
  <c r="E943" i="4" a="1"/>
  <c r="E943" i="4" s="1"/>
  <c r="G943" i="4"/>
  <c r="F943" i="4"/>
  <c r="G944" i="4"/>
  <c r="F944" i="4"/>
  <c r="E944" i="4" a="1"/>
  <c r="E944" i="4" s="1"/>
  <c r="G946" i="4"/>
  <c r="F946" i="4"/>
  <c r="E946" i="4" a="1"/>
  <c r="E946" i="4" s="1"/>
  <c r="G947" i="4"/>
  <c r="F947" i="4"/>
  <c r="E947" i="4" a="1"/>
  <c r="E947" i="4" s="1"/>
  <c r="G948" i="4"/>
  <c r="F948" i="4"/>
  <c r="E948" i="4" a="1"/>
  <c r="E948" i="4" s="1"/>
  <c r="F949" i="4"/>
  <c r="E949" i="4" a="1"/>
  <c r="E949" i="4" s="1"/>
  <c r="G949" i="4"/>
  <c r="F950" i="4"/>
  <c r="E950" i="4" a="1"/>
  <c r="E950" i="4" s="1"/>
  <c r="G950" i="4"/>
  <c r="F952" i="4"/>
  <c r="G952" i="4"/>
  <c r="E952" i="4" a="1"/>
  <c r="E952" i="4" s="1"/>
  <c r="F954" i="4"/>
  <c r="E954" i="4" a="1"/>
  <c r="E954" i="4" s="1"/>
  <c r="G954" i="4"/>
  <c r="E955" i="4" a="1"/>
  <c r="E955" i="4" s="1"/>
  <c r="G955" i="4"/>
  <c r="F955" i="4"/>
  <c r="E956" i="4" a="1"/>
  <c r="E956" i="4" s="1"/>
  <c r="G956" i="4"/>
  <c r="F956" i="4"/>
  <c r="E957" i="4" a="1"/>
  <c r="E957" i="4" s="1"/>
  <c r="F957" i="4"/>
  <c r="G957" i="4"/>
  <c r="E958" i="4" a="1"/>
  <c r="E958" i="4" s="1"/>
  <c r="F958" i="4"/>
  <c r="G958" i="4"/>
  <c r="F960" i="4"/>
  <c r="E960" i="4" a="1"/>
  <c r="E960" i="4" s="1"/>
  <c r="G960" i="4"/>
  <c r="G961" i="4"/>
  <c r="F961" i="4"/>
  <c r="E961" i="4" a="1"/>
  <c r="E961" i="4" s="1"/>
  <c r="G962" i="4"/>
  <c r="F962" i="4"/>
  <c r="E962" i="4" a="1"/>
  <c r="E962" i="4" s="1"/>
  <c r="F964" i="4"/>
  <c r="E964" i="4" a="1"/>
  <c r="E964" i="4" s="1"/>
  <c r="G964" i="4"/>
  <c r="E965" i="4" a="1"/>
  <c r="E965" i="4" s="1"/>
  <c r="G965" i="4"/>
  <c r="F965" i="4"/>
  <c r="G966" i="4"/>
  <c r="E966" i="4" a="1"/>
  <c r="E966" i="4" s="1"/>
  <c r="F966" i="4"/>
  <c r="F967" i="4"/>
  <c r="E967" i="4" a="1"/>
  <c r="E967" i="4" s="1"/>
  <c r="G967" i="4"/>
  <c r="F969" i="4"/>
  <c r="E969" i="4" a="1"/>
  <c r="E969" i="4" s="1"/>
  <c r="G969" i="4"/>
  <c r="F970" i="4"/>
  <c r="E970" i="4" a="1"/>
  <c r="E970" i="4" s="1"/>
  <c r="G970" i="4"/>
  <c r="G971" i="4"/>
  <c r="E971" i="4" a="1"/>
  <c r="E971" i="4" s="1"/>
  <c r="F971" i="4"/>
  <c r="G972" i="4"/>
  <c r="F972" i="4"/>
  <c r="E972" i="4" a="1"/>
  <c r="E972" i="4" s="1"/>
  <c r="E973" i="4" a="1"/>
  <c r="E973" i="4" s="1"/>
  <c r="G973" i="4"/>
  <c r="F973" i="4"/>
  <c r="G974" i="4"/>
  <c r="E974" i="4" a="1"/>
  <c r="E974" i="4" s="1"/>
  <c r="F974" i="4"/>
  <c r="E975" i="4" a="1"/>
  <c r="E975" i="4" s="1"/>
  <c r="G975" i="4"/>
  <c r="F975" i="4"/>
  <c r="G976" i="4"/>
  <c r="F976" i="4"/>
  <c r="E976" i="4" a="1"/>
  <c r="E976" i="4" s="1"/>
  <c r="E977" i="4" a="1"/>
  <c r="E977" i="4" s="1"/>
  <c r="F977" i="4"/>
  <c r="G977" i="4"/>
  <c r="F978" i="4"/>
  <c r="E978" i="4" a="1"/>
  <c r="E978" i="4" s="1"/>
  <c r="G978" i="4"/>
  <c r="E979" i="4" a="1"/>
  <c r="E979" i="4" s="1"/>
  <c r="F979" i="4"/>
  <c r="G979" i="4"/>
  <c r="F981" i="4"/>
  <c r="E981" i="4" a="1"/>
  <c r="E981" i="4" s="1"/>
  <c r="G981" i="4"/>
  <c r="E982" i="4" a="1"/>
  <c r="E982" i="4" s="1"/>
  <c r="F982" i="4"/>
  <c r="G982" i="4"/>
  <c r="E984" i="4" a="1"/>
  <c r="E984" i="4" s="1"/>
  <c r="G984" i="4"/>
  <c r="F984" i="4"/>
  <c r="F987" i="4"/>
  <c r="G987" i="4"/>
  <c r="E987" i="4" a="1"/>
  <c r="E987" i="4" s="1"/>
  <c r="G988" i="4"/>
  <c r="F988" i="4"/>
  <c r="E988" i="4" a="1"/>
  <c r="E988" i="4" s="1"/>
  <c r="G989" i="4"/>
  <c r="F989" i="4"/>
  <c r="E989" i="4" a="1"/>
  <c r="E989" i="4" s="1"/>
  <c r="E990" i="4" a="1"/>
  <c r="E990" i="4" s="1"/>
  <c r="F990" i="4"/>
  <c r="G990" i="4"/>
  <c r="E992" i="4" a="1"/>
  <c r="E992" i="4" s="1"/>
  <c r="F992" i="4"/>
  <c r="G992" i="4"/>
  <c r="F994" i="4"/>
  <c r="E994" i="4" a="1"/>
  <c r="E994" i="4" s="1"/>
  <c r="G994" i="4"/>
  <c r="E995" i="4" a="1"/>
  <c r="E995" i="4" s="1"/>
  <c r="G995" i="4"/>
  <c r="F995" i="4"/>
  <c r="E996" i="4" a="1"/>
  <c r="E996" i="4" s="1"/>
  <c r="F996" i="4"/>
  <c r="G996" i="4"/>
  <c r="G997" i="4"/>
  <c r="F997" i="4"/>
  <c r="E997" i="4" a="1"/>
  <c r="E997" i="4" s="1"/>
  <c r="F998" i="4"/>
  <c r="E998" i="4" a="1"/>
  <c r="E998" i="4" s="1"/>
  <c r="G998" i="4"/>
  <c r="E1000" i="4" a="1"/>
  <c r="E1000" i="4" s="1"/>
  <c r="F1000" i="4"/>
  <c r="G1000" i="4"/>
  <c r="F1001" i="4"/>
  <c r="G1001" i="4"/>
  <c r="E1001" i="4" a="1"/>
  <c r="E1001" i="4" s="1"/>
  <c r="E1002" i="4" a="1"/>
  <c r="E1002" i="4" s="1"/>
  <c r="F1002" i="4"/>
  <c r="G1002" i="4"/>
  <c r="E1003" i="4" a="1"/>
  <c r="E1003" i="4" s="1"/>
  <c r="F1003" i="4"/>
  <c r="G1003" i="4"/>
  <c r="E1004" i="4" a="1"/>
  <c r="E1004" i="4" s="1"/>
  <c r="F1004" i="4"/>
  <c r="G1004" i="4"/>
  <c r="G1005" i="4"/>
  <c r="E1005" i="4" a="1"/>
  <c r="E1005" i="4" s="1"/>
  <c r="F1005" i="4"/>
  <c r="G1006" i="4"/>
  <c r="F1006" i="4"/>
  <c r="E1006" i="4" a="1"/>
  <c r="E1006" i="4" s="1"/>
  <c r="G1007" i="4"/>
  <c r="F1007" i="4"/>
  <c r="E1007" i="4" a="1"/>
  <c r="E1007" i="4" s="1"/>
  <c r="G1009" i="4"/>
  <c r="E1009" i="4" a="1"/>
  <c r="E1009" i="4" s="1"/>
  <c r="F1009" i="4"/>
  <c r="G1012" i="4"/>
  <c r="F1012" i="4"/>
  <c r="E1012" i="4" a="1"/>
  <c r="E1012" i="4" s="1"/>
  <c r="G1013" i="4"/>
  <c r="E1013" i="4" a="1"/>
  <c r="E1013" i="4" s="1"/>
  <c r="F1013" i="4"/>
  <c r="G1014" i="4"/>
  <c r="E1014" i="4" a="1"/>
  <c r="E1014" i="4" s="1"/>
  <c r="F1014" i="4"/>
  <c r="G1015" i="4"/>
  <c r="F1015" i="4"/>
  <c r="E1015" i="4" a="1"/>
  <c r="E1015" i="4" s="1"/>
  <c r="F1016" i="4"/>
  <c r="G1016" i="4"/>
  <c r="E1016" i="4" a="1"/>
  <c r="E1016" i="4" s="1"/>
  <c r="F1018" i="4"/>
  <c r="E1018" i="4" a="1"/>
  <c r="E1018" i="4" s="1"/>
  <c r="G1018" i="4"/>
  <c r="F1019" i="4"/>
  <c r="E1019" i="4" a="1"/>
  <c r="E1019" i="4" s="1"/>
  <c r="G1019" i="4"/>
  <c r="E1022" i="4" a="1"/>
  <c r="E1022" i="4" s="1"/>
  <c r="G1022" i="4"/>
  <c r="F1022" i="4"/>
  <c r="F1023" i="4"/>
  <c r="E1023" i="4" a="1"/>
  <c r="E1023" i="4" s="1"/>
  <c r="G1023" i="4"/>
  <c r="F1024" i="4"/>
  <c r="E1024" i="4" a="1"/>
  <c r="E1024" i="4" s="1"/>
  <c r="G1024" i="4"/>
  <c r="F1025" i="4"/>
  <c r="E1025" i="4" a="1"/>
  <c r="E1025" i="4" s="1"/>
  <c r="G1025" i="4"/>
  <c r="G1026" i="4"/>
  <c r="F1026" i="4"/>
  <c r="E1026" i="4" a="1"/>
  <c r="E1026" i="4" s="1"/>
  <c r="G1028" i="4"/>
  <c r="E1028" i="4" a="1"/>
  <c r="E1028" i="4" s="1"/>
  <c r="F1028" i="4"/>
  <c r="E1029" i="4" a="1"/>
  <c r="E1029" i="4" s="1"/>
  <c r="F1029" i="4"/>
  <c r="G1029" i="4"/>
  <c r="E1030" i="4" a="1"/>
  <c r="E1030" i="4" s="1"/>
  <c r="F1030" i="4"/>
  <c r="G1030" i="4"/>
  <c r="G1031" i="4"/>
  <c r="F1031" i="4"/>
  <c r="E1031" i="4" a="1"/>
  <c r="E1031" i="4" s="1"/>
  <c r="F1032" i="4"/>
  <c r="E1032" i="4" a="1"/>
  <c r="E1032" i="4" s="1"/>
  <c r="G1032" i="4"/>
  <c r="G1033" i="4"/>
  <c r="F1033" i="4"/>
  <c r="E1033" i="4" a="1"/>
  <c r="E1033" i="4" s="1"/>
  <c r="F1034" i="4"/>
  <c r="E1034" i="4" a="1"/>
  <c r="E1034" i="4" s="1"/>
  <c r="G1034" i="4"/>
  <c r="E1035" i="4" a="1"/>
  <c r="E1035" i="4" s="1"/>
  <c r="F1035" i="4"/>
  <c r="G1035" i="4"/>
  <c r="G1036" i="4"/>
  <c r="E1036" i="4" a="1"/>
  <c r="E1036" i="4" s="1"/>
  <c r="F1036" i="4"/>
  <c r="E1037" i="4" a="1"/>
  <c r="E1037" i="4" s="1"/>
  <c r="F1037" i="4"/>
  <c r="G1037" i="4"/>
  <c r="F1038" i="4"/>
  <c r="G1038" i="4"/>
  <c r="E1038" i="4" a="1"/>
  <c r="E1038" i="4" s="1"/>
  <c r="F1039" i="4"/>
  <c r="E1039" i="4" a="1"/>
  <c r="E1039" i="4" s="1"/>
  <c r="G1039" i="4"/>
  <c r="F1040" i="4"/>
  <c r="E1040" i="4" a="1"/>
  <c r="E1040" i="4" s="1"/>
  <c r="G1040" i="4"/>
  <c r="F1041" i="4"/>
  <c r="E1041" i="4" a="1"/>
  <c r="E1041" i="4" s="1"/>
  <c r="G1041" i="4"/>
  <c r="E1043" i="4" a="1"/>
  <c r="E1043" i="4" s="1"/>
  <c r="F1043" i="4"/>
  <c r="G1043" i="4"/>
  <c r="E1044" i="4" a="1"/>
  <c r="E1044" i="4" s="1"/>
  <c r="F1044" i="4"/>
  <c r="G1044" i="4"/>
  <c r="E1045" i="4" a="1"/>
  <c r="E1045" i="4" s="1"/>
  <c r="F1045" i="4"/>
  <c r="G1045" i="4"/>
  <c r="E1046" i="4" a="1"/>
  <c r="E1046" i="4" s="1"/>
  <c r="G1046" i="4"/>
  <c r="F1046" i="4"/>
  <c r="E1047" i="4" a="1"/>
  <c r="E1047" i="4" s="1"/>
  <c r="F1047" i="4"/>
  <c r="G1047" i="4"/>
  <c r="G1048" i="4"/>
  <c r="E1048" i="4" a="1"/>
  <c r="E1048" i="4" s="1"/>
  <c r="F1048" i="4"/>
  <c r="E1050" i="4" a="1"/>
  <c r="E1050" i="4" s="1"/>
  <c r="F1050" i="4"/>
  <c r="G1050" i="4"/>
  <c r="F1051" i="4"/>
  <c r="E1051" i="4" a="1"/>
  <c r="E1051" i="4" s="1"/>
  <c r="G1051" i="4"/>
  <c r="G1052" i="4"/>
  <c r="F1052" i="4"/>
  <c r="E1052" i="4" a="1"/>
  <c r="E1052" i="4" s="1"/>
  <c r="G1053" i="4"/>
  <c r="F1053" i="4"/>
  <c r="E1053" i="4" a="1"/>
  <c r="E1053" i="4" s="1"/>
  <c r="E1054" i="4" a="1"/>
  <c r="E1054" i="4" s="1"/>
  <c r="G1054" i="4"/>
  <c r="F1054" i="4"/>
  <c r="G1055" i="4"/>
  <c r="E1055" i="4" a="1"/>
  <c r="E1055" i="4" s="1"/>
  <c r="F1055" i="4"/>
  <c r="F1056" i="4"/>
  <c r="G1056" i="4"/>
  <c r="E1056" i="4" a="1"/>
  <c r="E1056" i="4" s="1"/>
  <c r="G1057" i="4"/>
  <c r="F1057" i="4"/>
  <c r="E1057" i="4" a="1"/>
  <c r="E1057" i="4" s="1"/>
  <c r="G1058" i="4"/>
  <c r="E1058" i="4" a="1"/>
  <c r="E1058" i="4" s="1"/>
  <c r="F1058" i="4"/>
  <c r="G1059" i="4"/>
  <c r="F1059" i="4"/>
  <c r="E1059" i="4" a="1"/>
  <c r="E1059" i="4" s="1"/>
  <c r="E1060" i="4" a="1"/>
  <c r="E1060" i="4" s="1"/>
  <c r="F1060" i="4"/>
  <c r="G1060" i="4"/>
  <c r="G1061" i="4"/>
  <c r="E1061" i="4" a="1"/>
  <c r="E1061" i="4" s="1"/>
  <c r="F1061" i="4"/>
  <c r="F1063" i="4"/>
  <c r="G1063" i="4"/>
  <c r="E1063" i="4" a="1"/>
  <c r="E1063" i="4" s="1"/>
  <c r="G1064" i="4"/>
  <c r="E1064" i="4" a="1"/>
  <c r="E1064" i="4" s="1"/>
  <c r="F1064" i="4"/>
  <c r="G1065" i="4"/>
  <c r="F1065" i="4"/>
  <c r="E1065" i="4" a="1"/>
  <c r="E1065" i="4" s="1"/>
  <c r="G1066" i="4"/>
  <c r="F1066" i="4"/>
  <c r="E1066" i="4" a="1"/>
  <c r="E1066" i="4" s="1"/>
  <c r="G1067" i="4"/>
  <c r="E1067" i="4" a="1"/>
  <c r="E1067" i="4" s="1"/>
  <c r="F1067" i="4"/>
  <c r="G1068" i="4"/>
  <c r="E1068" i="4" a="1"/>
  <c r="E1068" i="4" s="1"/>
  <c r="F1068" i="4"/>
  <c r="E1069" i="4" a="1"/>
  <c r="E1069" i="4" s="1"/>
  <c r="F1069" i="4"/>
  <c r="G1069" i="4"/>
  <c r="E1070" i="4" a="1"/>
  <c r="E1070" i="4" s="1"/>
  <c r="G1070" i="4"/>
  <c r="F1070" i="4"/>
  <c r="F1071" i="4"/>
  <c r="G1071" i="4"/>
  <c r="E1071" i="4" a="1"/>
  <c r="E1071" i="4" s="1"/>
  <c r="E1072" i="4" a="1"/>
  <c r="E1072" i="4" s="1"/>
  <c r="F1072" i="4"/>
  <c r="G1072" i="4"/>
  <c r="E1074" i="4" a="1"/>
  <c r="E1074" i="4" s="1"/>
  <c r="F1074" i="4"/>
  <c r="G1074" i="4"/>
  <c r="E1075" i="4" a="1"/>
  <c r="E1075" i="4" s="1"/>
  <c r="G1075" i="4"/>
  <c r="F1075" i="4"/>
  <c r="F1076" i="4"/>
  <c r="G1076" i="4"/>
  <c r="E1076" i="4" a="1"/>
  <c r="E1076" i="4" s="1"/>
  <c r="E1077" i="4" a="1"/>
  <c r="E1077" i="4" s="1"/>
  <c r="G1077" i="4"/>
  <c r="F1077" i="4"/>
  <c r="G1078" i="4"/>
  <c r="F1078" i="4"/>
  <c r="E1078" i="4" a="1"/>
  <c r="E1078" i="4" s="1"/>
  <c r="G1079" i="4"/>
  <c r="F1079" i="4"/>
  <c r="E1079" i="4" a="1"/>
  <c r="E1079" i="4" s="1"/>
  <c r="E1080" i="4" a="1"/>
  <c r="E1080" i="4" s="1"/>
  <c r="G1080" i="4"/>
  <c r="F1080" i="4"/>
  <c r="G1081" i="4"/>
  <c r="F1081" i="4"/>
  <c r="E1081" i="4" a="1"/>
  <c r="E1081" i="4" s="1"/>
  <c r="G1082" i="4"/>
  <c r="F1082" i="4"/>
  <c r="E1082" i="4" a="1"/>
  <c r="E1082" i="4" s="1"/>
  <c r="G1083" i="4"/>
  <c r="F1083" i="4"/>
  <c r="E1083" i="4" a="1"/>
  <c r="E1083" i="4" s="1"/>
  <c r="G1084" i="4"/>
  <c r="E1084" i="4" a="1"/>
  <c r="E1084" i="4" s="1"/>
  <c r="F1084" i="4"/>
  <c r="E1085" i="4" a="1"/>
  <c r="E1085" i="4" s="1"/>
  <c r="F1085" i="4"/>
  <c r="G1085" i="4"/>
  <c r="G1086" i="4"/>
  <c r="E1086" i="4" a="1"/>
  <c r="E1086" i="4" s="1"/>
  <c r="F1086" i="4"/>
  <c r="G1087" i="4"/>
  <c r="E1087" i="4" a="1"/>
  <c r="E1087" i="4" s="1"/>
  <c r="F1087" i="4"/>
  <c r="G1088" i="4"/>
  <c r="E1088" i="4" a="1"/>
  <c r="E1088" i="4" s="1"/>
  <c r="F1088" i="4"/>
  <c r="E1089" i="4" a="1"/>
  <c r="E1089" i="4" s="1"/>
  <c r="F1089" i="4"/>
  <c r="G1089" i="4"/>
  <c r="G1090" i="4"/>
  <c r="F1090" i="4"/>
  <c r="E1090" i="4" a="1"/>
  <c r="E1090" i="4" s="1"/>
  <c r="G1091" i="4"/>
  <c r="F1091" i="4"/>
  <c r="E1091" i="4" a="1"/>
  <c r="E1091" i="4" s="1"/>
  <c r="F1092" i="4"/>
  <c r="E1092" i="4" a="1"/>
  <c r="E1092" i="4" s="1"/>
  <c r="G1092" i="4"/>
  <c r="E1093" i="4" a="1"/>
  <c r="E1093" i="4" s="1"/>
  <c r="G1093" i="4"/>
  <c r="F1093" i="4"/>
  <c r="E1094" i="4" a="1"/>
  <c r="E1094" i="4" s="1"/>
  <c r="F1094" i="4"/>
  <c r="G1094" i="4"/>
  <c r="G1095" i="4"/>
  <c r="E1095" i="4" a="1"/>
  <c r="E1095" i="4" s="1"/>
  <c r="F1095" i="4"/>
  <c r="E1096" i="4" a="1"/>
  <c r="E1096" i="4" s="1"/>
  <c r="G1096" i="4"/>
  <c r="F1096" i="4"/>
  <c r="G1098" i="4"/>
  <c r="F1098" i="4"/>
  <c r="E1098" i="4" a="1"/>
  <c r="E1098" i="4" s="1"/>
  <c r="E1099" i="4" a="1"/>
  <c r="E1099" i="4" s="1"/>
  <c r="F1099" i="4"/>
  <c r="G1099" i="4"/>
  <c r="E1100" i="4" a="1"/>
  <c r="E1100" i="4" s="1"/>
  <c r="F1100" i="4"/>
  <c r="G1100" i="4"/>
  <c r="G1101" i="4"/>
  <c r="F1101" i="4"/>
  <c r="E1101" i="4" a="1"/>
  <c r="E1101" i="4" s="1"/>
  <c r="G1102" i="4"/>
  <c r="E1102" i="4" a="1"/>
  <c r="E1102" i="4" s="1"/>
  <c r="F1102" i="4"/>
  <c r="E1103" i="4" a="1"/>
  <c r="E1103" i="4" s="1"/>
  <c r="F1103" i="4"/>
  <c r="G1103" i="4"/>
  <c r="G1104" i="4"/>
  <c r="F1104" i="4"/>
  <c r="E1104" i="4" a="1"/>
  <c r="E1104" i="4" s="1"/>
  <c r="G1105" i="4"/>
  <c r="F1105" i="4"/>
  <c r="E1105" i="4" a="1"/>
  <c r="E1105" i="4" s="1"/>
  <c r="F1106" i="4"/>
  <c r="E1106" i="4" a="1"/>
  <c r="E1106" i="4" s="1"/>
  <c r="G1106" i="4"/>
  <c r="G1107" i="4"/>
  <c r="F1107" i="4"/>
  <c r="E1107" i="4" a="1"/>
  <c r="E1107" i="4" s="1"/>
  <c r="G1108" i="4"/>
  <c r="E1108" i="4" a="1"/>
  <c r="E1108" i="4" s="1"/>
  <c r="F1108" i="4"/>
  <c r="G1109" i="4"/>
  <c r="F1109" i="4"/>
  <c r="E1109" i="4" a="1"/>
  <c r="E1109" i="4" s="1"/>
  <c r="F1110" i="4"/>
  <c r="E1110" i="4" a="1"/>
  <c r="E1110" i="4" s="1"/>
  <c r="G1110" i="4"/>
  <c r="G1112" i="4"/>
  <c r="E1112" i="4" a="1"/>
  <c r="E1112" i="4" s="1"/>
  <c r="F1112" i="4"/>
  <c r="F1113" i="4"/>
  <c r="E1113" i="4" a="1"/>
  <c r="E1113" i="4" s="1"/>
  <c r="G1113" i="4"/>
  <c r="F1114" i="4"/>
  <c r="G1114" i="4"/>
  <c r="E1114" i="4" a="1"/>
  <c r="E1114" i="4" s="1"/>
  <c r="E1115" i="4" a="1"/>
  <c r="E1115" i="4" s="1"/>
  <c r="F1115" i="4"/>
  <c r="G1115" i="4"/>
  <c r="G1116" i="4"/>
  <c r="E1116" i="4" a="1"/>
  <c r="E1116" i="4" s="1"/>
  <c r="F1116" i="4"/>
  <c r="E1117" i="4" a="1"/>
  <c r="E1117" i="4" s="1"/>
  <c r="G1117" i="4"/>
  <c r="F1117" i="4"/>
  <c r="G1118" i="4"/>
  <c r="F1118" i="4"/>
  <c r="E1118" i="4" a="1"/>
  <c r="E1118" i="4" s="1"/>
  <c r="F1120" i="4"/>
  <c r="E1120" i="4" a="1"/>
  <c r="E1120" i="4" s="1"/>
  <c r="G1120" i="4"/>
  <c r="F1121" i="4"/>
  <c r="G1121" i="4"/>
  <c r="E1121" i="4" a="1"/>
  <c r="E1121" i="4" s="1"/>
  <c r="E1122" i="4" a="1"/>
  <c r="E1122" i="4" s="1"/>
  <c r="G1122" i="4"/>
  <c r="F1122" i="4"/>
  <c r="F1123" i="4"/>
  <c r="E1123" i="4" a="1"/>
  <c r="E1123" i="4" s="1"/>
  <c r="G1123" i="4"/>
  <c r="F1124" i="4"/>
  <c r="G1124" i="4"/>
  <c r="E1124" i="4" a="1"/>
  <c r="E1124" i="4" s="1"/>
  <c r="E1125" i="4" a="1"/>
  <c r="E1125" i="4" s="1"/>
  <c r="G1125" i="4"/>
  <c r="F1125" i="4"/>
  <c r="E1126" i="4" a="1"/>
  <c r="E1126" i="4" s="1"/>
  <c r="G1126" i="4"/>
  <c r="F1126" i="4"/>
  <c r="E1127" i="4" a="1"/>
  <c r="E1127" i="4" s="1"/>
  <c r="G1127" i="4"/>
  <c r="F1127" i="4"/>
  <c r="G1128" i="4"/>
  <c r="E1128" i="4" a="1"/>
  <c r="E1128" i="4" s="1"/>
  <c r="F1128" i="4"/>
  <c r="F1129" i="4"/>
  <c r="E1129" i="4" a="1"/>
  <c r="E1129" i="4" s="1"/>
  <c r="G1129" i="4"/>
  <c r="F1130" i="4"/>
  <c r="E1130" i="4" a="1"/>
  <c r="E1130" i="4" s="1"/>
  <c r="G1130" i="4"/>
  <c r="G1131" i="4"/>
  <c r="F1131" i="4"/>
  <c r="E1131" i="4" a="1"/>
  <c r="E1131" i="4" s="1"/>
  <c r="G1132" i="4"/>
  <c r="E1132" i="4" a="1"/>
  <c r="E1132" i="4" s="1"/>
  <c r="F1132" i="4"/>
  <c r="G1133" i="4"/>
  <c r="E1133" i="4" a="1"/>
  <c r="E1133" i="4" s="1"/>
  <c r="F1133" i="4"/>
  <c r="E1134" i="4" a="1"/>
  <c r="E1134" i="4" s="1"/>
  <c r="F1134" i="4"/>
  <c r="G1134" i="4"/>
  <c r="F1135" i="4"/>
  <c r="E1135" i="4" a="1"/>
  <c r="E1135" i="4" s="1"/>
  <c r="G1135" i="4"/>
  <c r="E1136" i="4" a="1"/>
  <c r="E1136" i="4" s="1"/>
  <c r="G1136" i="4"/>
  <c r="F1136" i="4"/>
  <c r="G1137" i="4"/>
  <c r="E1137" i="4" a="1"/>
  <c r="E1137" i="4" s="1"/>
  <c r="F1137" i="4"/>
  <c r="F1138" i="4"/>
  <c r="E1138" i="4" a="1"/>
  <c r="E1138" i="4" s="1"/>
  <c r="G1138" i="4"/>
  <c r="G1139" i="4"/>
  <c r="E1139" i="4" a="1"/>
  <c r="E1139" i="4" s="1"/>
  <c r="F1139" i="4"/>
  <c r="F1140" i="4"/>
  <c r="E1140" i="4" a="1"/>
  <c r="E1140" i="4" s="1"/>
  <c r="G1140" i="4"/>
  <c r="G1141" i="4"/>
  <c r="E1141" i="4" a="1"/>
  <c r="E1141" i="4" s="1"/>
  <c r="F1141" i="4"/>
  <c r="G1143" i="4"/>
  <c r="F1143" i="4"/>
  <c r="E1143" i="4" a="1"/>
  <c r="E1143" i="4" s="1"/>
  <c r="G1144" i="4"/>
  <c r="F1144" i="4"/>
  <c r="E1144" i="4" a="1"/>
  <c r="E1144" i="4" s="1"/>
  <c r="G1146" i="4"/>
  <c r="E1146" i="4" a="1"/>
  <c r="E1146" i="4" s="1"/>
  <c r="F1146" i="4"/>
  <c r="G1147" i="4"/>
  <c r="F1147" i="4"/>
  <c r="E1147" i="4" a="1"/>
  <c r="E1147" i="4" s="1"/>
  <c r="G1148" i="4"/>
  <c r="E1148" i="4" a="1"/>
  <c r="E1148" i="4" s="1"/>
  <c r="F1148" i="4"/>
  <c r="E1150" i="4" a="1"/>
  <c r="E1150" i="4" s="1"/>
  <c r="G1150" i="4"/>
  <c r="F1150" i="4"/>
  <c r="F1151" i="4"/>
  <c r="G1151" i="4"/>
  <c r="E1151" i="4" a="1"/>
  <c r="E1151" i="4" s="1"/>
  <c r="F1158" i="4"/>
  <c r="E1158" i="4" a="1"/>
  <c r="E1158" i="4" s="1"/>
  <c r="G1158" i="4"/>
  <c r="G1160" i="4"/>
  <c r="F1160" i="4"/>
  <c r="E1160" i="4" a="1"/>
  <c r="E1160" i="4" s="1"/>
  <c r="G1161" i="4"/>
  <c r="E1161" i="4" a="1"/>
  <c r="E1161" i="4" s="1"/>
  <c r="F1161" i="4"/>
  <c r="G1163" i="4"/>
  <c r="F1163" i="4"/>
  <c r="E1163" i="4" a="1"/>
  <c r="E1163" i="4" s="1"/>
  <c r="G1164" i="4"/>
  <c r="E1164" i="4" a="1"/>
  <c r="E1164" i="4" s="1"/>
  <c r="F1164" i="4"/>
  <c r="F1165" i="4"/>
  <c r="G1165" i="4"/>
  <c r="E1165" i="4" a="1"/>
  <c r="E1165" i="4" s="1"/>
  <c r="E1166" i="4" a="1"/>
  <c r="E1166" i="4" s="1"/>
  <c r="G1166" i="4"/>
  <c r="F1166" i="4"/>
  <c r="F1168" i="4"/>
  <c r="E1168" i="4" a="1"/>
  <c r="E1168" i="4" s="1"/>
  <c r="G1168" i="4"/>
  <c r="E1170" i="4" a="1"/>
  <c r="E1170" i="4" s="1"/>
  <c r="G1170" i="4"/>
  <c r="F1170" i="4"/>
  <c r="G1171" i="4"/>
  <c r="E1171" i="4" a="1"/>
  <c r="E1171" i="4" s="1"/>
  <c r="F1171" i="4"/>
  <c r="G1172" i="4"/>
  <c r="E1172" i="4" a="1"/>
  <c r="E1172" i="4" s="1"/>
  <c r="F1172" i="4"/>
  <c r="E1173" i="4" a="1"/>
  <c r="E1173" i="4" s="1"/>
  <c r="G1173" i="4"/>
  <c r="F1173" i="4"/>
  <c r="E1174" i="4" a="1"/>
  <c r="E1174" i="4" s="1"/>
  <c r="F1174" i="4"/>
  <c r="G1174" i="4"/>
  <c r="E1175" i="4" a="1"/>
  <c r="E1175" i="4" s="1"/>
  <c r="F1175" i="4"/>
  <c r="G1175" i="4"/>
  <c r="G1176" i="4"/>
  <c r="E1176" i="4" a="1"/>
  <c r="E1176" i="4" s="1"/>
  <c r="F1176" i="4"/>
  <c r="E1177" i="4" a="1"/>
  <c r="E1177" i="4" s="1"/>
  <c r="G1177" i="4"/>
  <c r="F1177" i="4"/>
  <c r="E1178" i="4" a="1"/>
  <c r="E1178" i="4" s="1"/>
  <c r="F1178" i="4"/>
  <c r="G1178" i="4"/>
  <c r="E1179" i="4" a="1"/>
  <c r="E1179" i="4" s="1"/>
  <c r="G1179" i="4"/>
  <c r="F1179" i="4"/>
  <c r="F1180" i="4"/>
  <c r="G1180" i="4"/>
  <c r="E1180" i="4" a="1"/>
  <c r="E1180" i="4" s="1"/>
  <c r="E1181" i="4" a="1"/>
  <c r="E1181" i="4" s="1"/>
  <c r="F1181" i="4"/>
  <c r="G1181" i="4"/>
  <c r="E1182" i="4" a="1"/>
  <c r="E1182" i="4" s="1"/>
  <c r="G1182" i="4"/>
  <c r="F1182" i="4"/>
  <c r="F1183" i="4"/>
  <c r="G1183" i="4"/>
  <c r="E1183" i="4" a="1"/>
  <c r="E1183" i="4" s="1"/>
  <c r="F1184" i="4"/>
  <c r="E1184" i="4" a="1"/>
  <c r="E1184" i="4" s="1"/>
  <c r="G1184" i="4"/>
  <c r="E1185" i="4" a="1"/>
  <c r="E1185" i="4" s="1"/>
  <c r="F1185" i="4"/>
  <c r="G1185" i="4"/>
  <c r="E1186" i="4" a="1"/>
  <c r="E1186" i="4" s="1"/>
  <c r="F1186" i="4"/>
  <c r="G1186" i="4"/>
  <c r="F1188" i="4"/>
  <c r="E1188" i="4" a="1"/>
  <c r="E1188" i="4" s="1"/>
  <c r="G1188" i="4"/>
  <c r="F1189" i="4"/>
  <c r="G1189" i="4"/>
  <c r="E1189" i="4" a="1"/>
  <c r="E1189" i="4" s="1"/>
  <c r="G1191" i="4"/>
  <c r="E1191" i="4" a="1"/>
  <c r="E1191" i="4" s="1"/>
  <c r="F1191" i="4"/>
  <c r="F1193" i="4"/>
  <c r="E1193" i="4" a="1"/>
  <c r="E1193" i="4" s="1"/>
  <c r="G1193" i="4"/>
  <c r="G1194" i="4"/>
  <c r="E1194" i="4" a="1"/>
  <c r="E1194" i="4" s="1"/>
  <c r="F1194" i="4"/>
  <c r="G1196" i="4"/>
  <c r="F1196" i="4"/>
  <c r="E1196" i="4" a="1"/>
  <c r="E1196" i="4" s="1"/>
  <c r="F1198" i="4"/>
  <c r="G1198" i="4"/>
  <c r="E1198" i="4" a="1"/>
  <c r="E1198" i="4" s="1"/>
  <c r="G1199" i="4"/>
  <c r="E1199" i="4" a="1"/>
  <c r="E1199" i="4" s="1"/>
  <c r="F1199" i="4"/>
  <c r="F1200" i="4"/>
  <c r="E1200" i="4" a="1"/>
  <c r="E1200" i="4" s="1"/>
  <c r="G1200" i="4"/>
  <c r="F1202" i="4"/>
  <c r="E1202" i="4" a="1"/>
  <c r="E1202" i="4" s="1"/>
  <c r="G1202" i="4"/>
  <c r="E1203" i="4" a="1"/>
  <c r="E1203" i="4" s="1"/>
  <c r="F1203" i="4"/>
  <c r="G1203" i="4"/>
  <c r="F1206" i="4"/>
  <c r="G1206" i="4"/>
  <c r="E1206" i="4" a="1"/>
  <c r="E1206" i="4" s="1"/>
  <c r="F1208" i="4"/>
  <c r="E1208" i="4" a="1"/>
  <c r="E1208" i="4" s="1"/>
  <c r="G1208" i="4"/>
  <c r="G1210" i="4"/>
  <c r="F1210" i="4"/>
  <c r="E1210" i="4" a="1"/>
  <c r="E1210" i="4" s="1"/>
  <c r="F1211" i="4"/>
  <c r="E1211" i="4" a="1"/>
  <c r="E1211" i="4" s="1"/>
  <c r="G1211" i="4"/>
  <c r="F1213" i="4"/>
  <c r="E1213" i="4" a="1"/>
  <c r="E1213" i="4" s="1"/>
  <c r="G1213" i="4"/>
  <c r="G1216" i="4"/>
  <c r="E1216" i="4" a="1"/>
  <c r="E1216" i="4" s="1"/>
  <c r="F1216" i="4"/>
  <c r="E1218" i="4" a="1"/>
  <c r="E1218" i="4" s="1"/>
  <c r="F1218" i="4"/>
  <c r="G1218" i="4"/>
  <c r="E1219" i="4" a="1"/>
  <c r="E1219" i="4" s="1"/>
  <c r="F1219" i="4"/>
  <c r="G1219" i="4"/>
  <c r="F1220" i="4"/>
  <c r="E1220" i="4" a="1"/>
  <c r="E1220" i="4" s="1"/>
  <c r="G1220" i="4"/>
  <c r="E1221" i="4" a="1"/>
  <c r="E1221" i="4" s="1"/>
  <c r="F1221" i="4"/>
  <c r="G1221" i="4"/>
  <c r="F1222" i="4"/>
  <c r="E1222" i="4" a="1"/>
  <c r="E1222" i="4" s="1"/>
  <c r="G1222" i="4"/>
  <c r="G1223" i="4"/>
  <c r="E1223" i="4" a="1"/>
  <c r="E1223" i="4" s="1"/>
  <c r="F1223" i="4"/>
  <c r="F1225" i="4"/>
  <c r="E1225" i="4" a="1"/>
  <c r="E1225" i="4" s="1"/>
  <c r="G1225" i="4"/>
  <c r="G1226" i="4"/>
  <c r="F1226" i="4"/>
  <c r="E1226" i="4" a="1"/>
  <c r="E1226" i="4" s="1"/>
  <c r="E1228" i="4" a="1"/>
  <c r="E1228" i="4" s="1"/>
  <c r="F1228" i="4"/>
  <c r="G1228" i="4"/>
  <c r="F1229" i="4"/>
  <c r="E1229" i="4" a="1"/>
  <c r="E1229" i="4" s="1"/>
  <c r="G1229" i="4"/>
  <c r="F1230" i="4"/>
  <c r="G1230" i="4"/>
  <c r="E1230" i="4" a="1"/>
  <c r="E1230" i="4" s="1"/>
  <c r="F1231" i="4"/>
  <c r="G1231" i="4"/>
  <c r="E1231" i="4" a="1"/>
  <c r="E1231" i="4" s="1"/>
  <c r="F1235" i="4"/>
  <c r="E1235" i="4" a="1"/>
  <c r="E1235" i="4" s="1"/>
  <c r="G1235" i="4"/>
  <c r="F1236" i="4"/>
  <c r="E1236" i="4" a="1"/>
  <c r="E1236" i="4" s="1"/>
  <c r="G1236" i="4"/>
  <c r="E1237" i="4" a="1"/>
  <c r="E1237" i="4" s="1"/>
  <c r="F1237" i="4"/>
  <c r="G1237" i="4"/>
  <c r="E1238" i="4" a="1"/>
  <c r="E1238" i="4" s="1"/>
  <c r="F1238" i="4"/>
  <c r="G1238" i="4"/>
  <c r="F1239" i="4"/>
  <c r="G1239" i="4"/>
  <c r="E1239" i="4" a="1"/>
  <c r="E1239" i="4" s="1"/>
  <c r="G1240" i="4"/>
  <c r="F1240" i="4"/>
  <c r="E1240" i="4" a="1"/>
  <c r="E1240" i="4" s="1"/>
  <c r="E1243" i="4" a="1"/>
  <c r="E1243" i="4" s="1"/>
  <c r="G1243" i="4"/>
  <c r="F1243" i="4"/>
  <c r="G1244" i="4"/>
  <c r="F1244" i="4"/>
  <c r="E1244" i="4" a="1"/>
  <c r="E1244" i="4" s="1"/>
  <c r="F1245" i="4"/>
  <c r="G1245" i="4"/>
  <c r="E1245" i="4" a="1"/>
  <c r="E1245" i="4" s="1"/>
  <c r="E1246" i="4" a="1"/>
  <c r="E1246" i="4" s="1"/>
  <c r="F1246" i="4"/>
  <c r="G1246" i="4"/>
  <c r="E1247" i="4" a="1"/>
  <c r="E1247" i="4" s="1"/>
  <c r="G1247" i="4"/>
  <c r="F1247" i="4"/>
  <c r="E1248" i="4" a="1"/>
  <c r="E1248" i="4" s="1"/>
  <c r="G1248" i="4"/>
  <c r="F1248" i="4"/>
  <c r="F1249" i="4"/>
  <c r="G1249" i="4"/>
  <c r="E1249" i="4" a="1"/>
  <c r="E1249" i="4" s="1"/>
  <c r="G1251" i="4"/>
  <c r="F1251" i="4"/>
  <c r="E1251" i="4" a="1"/>
  <c r="E1251" i="4" s="1"/>
  <c r="F1252" i="4"/>
  <c r="E1252" i="4" a="1"/>
  <c r="E1252" i="4" s="1"/>
  <c r="G1252" i="4"/>
  <c r="E1253" i="4" a="1"/>
  <c r="E1253" i="4" s="1"/>
  <c r="F1253" i="4"/>
  <c r="G1253" i="4"/>
  <c r="E1254" i="4" a="1"/>
  <c r="E1254" i="4" s="1"/>
  <c r="G1254" i="4"/>
  <c r="F1254" i="4"/>
  <c r="E1257" i="4" a="1"/>
  <c r="E1257" i="4" s="1"/>
  <c r="F1257" i="4"/>
  <c r="G1257" i="4"/>
  <c r="E1259" i="4" a="1"/>
  <c r="E1259" i="4" s="1"/>
  <c r="G1259" i="4"/>
  <c r="F1259" i="4"/>
  <c r="E1260" i="4" a="1"/>
  <c r="E1260" i="4" s="1"/>
  <c r="F1260" i="4"/>
  <c r="G1260" i="4"/>
  <c r="F1261" i="4"/>
  <c r="G1261" i="4"/>
  <c r="E1261" i="4" a="1"/>
  <c r="E1261" i="4" s="1"/>
  <c r="F1264" i="4"/>
  <c r="E1264" i="4" a="1"/>
  <c r="E1264" i="4" s="1"/>
  <c r="G1264" i="4"/>
  <c r="E1265" i="4" a="1"/>
  <c r="E1265" i="4" s="1"/>
  <c r="G1265" i="4"/>
  <c r="F1265" i="4"/>
  <c r="F1268" i="4"/>
  <c r="G1268" i="4"/>
  <c r="E1268" i="4" a="1"/>
  <c r="E1268" i="4" s="1"/>
  <c r="E1269" i="4" a="1"/>
  <c r="E1269" i="4" s="1"/>
  <c r="F1269" i="4"/>
  <c r="G1269" i="4"/>
  <c r="E1270" i="4" a="1"/>
  <c r="E1270" i="4" s="1"/>
  <c r="F1270" i="4"/>
  <c r="G1270" i="4"/>
  <c r="F1272" i="4"/>
  <c r="E1272" i="4" a="1"/>
  <c r="E1272" i="4" s="1"/>
  <c r="G1272" i="4"/>
  <c r="F1274" i="4"/>
  <c r="E1274" i="4" a="1"/>
  <c r="E1274" i="4" s="1"/>
  <c r="G1274" i="4"/>
  <c r="E1275" i="4" a="1"/>
  <c r="E1275" i="4" s="1"/>
  <c r="F1275" i="4"/>
  <c r="G1275" i="4"/>
  <c r="E1276" i="4" a="1"/>
  <c r="E1276" i="4" s="1"/>
  <c r="G1276" i="4"/>
  <c r="F1276" i="4"/>
  <c r="F1277" i="4"/>
  <c r="G1277" i="4"/>
  <c r="E1277" i="4" a="1"/>
  <c r="E1277" i="4" s="1"/>
  <c r="G1280" i="4"/>
  <c r="F1280" i="4"/>
  <c r="E1280" i="4" a="1"/>
  <c r="E1280" i="4" s="1"/>
  <c r="E1281" i="4" a="1"/>
  <c r="E1281" i="4" s="1"/>
  <c r="G1281" i="4"/>
  <c r="F1281" i="4"/>
  <c r="F1282" i="4"/>
  <c r="E1282" i="4" a="1"/>
  <c r="E1282" i="4" s="1"/>
  <c r="G1282" i="4"/>
  <c r="F1283" i="4"/>
  <c r="G1283" i="4"/>
  <c r="E1283" i="4" a="1"/>
  <c r="E1283" i="4" s="1"/>
  <c r="E1285" i="4" a="1"/>
  <c r="E1285" i="4" s="1"/>
  <c r="G1285" i="4"/>
  <c r="F1285" i="4"/>
  <c r="F1286" i="4"/>
  <c r="E1286" i="4" a="1"/>
  <c r="E1286" i="4" s="1"/>
  <c r="G1286" i="4"/>
  <c r="F1287" i="4"/>
  <c r="G1287" i="4"/>
  <c r="E1287" i="4" a="1"/>
  <c r="E1287" i="4" s="1"/>
  <c r="F1289" i="4"/>
  <c r="E1289" i="4" a="1"/>
  <c r="E1289" i="4" s="1"/>
  <c r="G1289" i="4"/>
  <c r="F1290" i="4"/>
  <c r="G1290" i="4"/>
  <c r="E1290" i="4" a="1"/>
  <c r="E1290" i="4" s="1"/>
  <c r="F1291" i="4"/>
  <c r="G1291" i="4"/>
  <c r="E1291" i="4" a="1"/>
  <c r="E1291" i="4" s="1"/>
  <c r="F1293" i="4"/>
  <c r="E1293" i="4" a="1"/>
  <c r="E1293" i="4" s="1"/>
  <c r="G1293" i="4"/>
  <c r="F1294" i="4"/>
  <c r="E1294" i="4" a="1"/>
  <c r="E1294" i="4" s="1"/>
  <c r="G1294" i="4"/>
  <c r="F1297" i="4"/>
  <c r="G1297" i="4"/>
  <c r="E1297" i="4" a="1"/>
  <c r="E1297" i="4" s="1"/>
  <c r="E1298" i="4" a="1"/>
  <c r="E1298" i="4" s="1"/>
  <c r="G1298" i="4"/>
  <c r="F1298" i="4"/>
  <c r="G1299" i="4"/>
  <c r="F1299" i="4"/>
  <c r="E1299" i="4" a="1"/>
  <c r="E1299" i="4" s="1"/>
  <c r="G1301" i="4"/>
  <c r="F1301" i="4"/>
  <c r="E1301" i="4" a="1"/>
  <c r="E1301" i="4" s="1"/>
  <c r="G1302" i="4"/>
  <c r="E1302" i="4" a="1"/>
  <c r="E1302" i="4" s="1"/>
  <c r="F1302" i="4"/>
  <c r="F1303" i="4"/>
  <c r="E1303" i="4" a="1"/>
  <c r="E1303" i="4" s="1"/>
  <c r="G1303" i="4"/>
  <c r="F1305" i="4"/>
  <c r="G1305" i="4"/>
  <c r="E1305" i="4" a="1"/>
  <c r="E1305" i="4" s="1"/>
  <c r="E1306" i="4" a="1"/>
  <c r="E1306" i="4" s="1"/>
  <c r="F1306" i="4"/>
  <c r="G1306" i="4"/>
  <c r="E1307" i="4" a="1"/>
  <c r="E1307" i="4" s="1"/>
  <c r="G1307" i="4"/>
  <c r="F1307" i="4"/>
  <c r="E1309" i="4" a="1"/>
  <c r="E1309" i="4" s="1"/>
  <c r="G1309" i="4"/>
  <c r="F1309" i="4"/>
  <c r="E1310" i="4" a="1"/>
  <c r="E1310" i="4" s="1"/>
  <c r="G1310" i="4"/>
  <c r="F1310" i="4"/>
  <c r="G1311" i="4"/>
  <c r="F1311" i="4"/>
  <c r="E1311" i="4" a="1"/>
  <c r="E1311" i="4" s="1"/>
  <c r="E1312" i="4" a="1"/>
  <c r="E1312" i="4" s="1"/>
  <c r="G1312" i="4"/>
  <c r="F1312" i="4"/>
  <c r="F1316" i="4"/>
  <c r="G1316" i="4"/>
  <c r="E1316" i="4" a="1"/>
  <c r="E1316" i="4" s="1"/>
  <c r="E1317" i="4" a="1"/>
  <c r="E1317" i="4" s="1"/>
  <c r="G1317" i="4"/>
  <c r="F1317" i="4"/>
  <c r="G1318" i="4"/>
  <c r="F1318" i="4"/>
  <c r="E1318" i="4" a="1"/>
  <c r="E1318" i="4" s="1"/>
  <c r="F1319" i="4"/>
  <c r="G1319" i="4"/>
  <c r="E1319" i="4" a="1"/>
  <c r="E1319" i="4" s="1"/>
  <c r="F1322" i="4"/>
  <c r="G1322" i="4"/>
  <c r="E1322" i="4" a="1"/>
  <c r="E1322" i="4" s="1"/>
  <c r="E1323" i="4" a="1"/>
  <c r="E1323" i="4" s="1"/>
  <c r="F1323" i="4"/>
  <c r="G1323" i="4"/>
  <c r="E1324" i="4" a="1"/>
  <c r="E1324" i="4" s="1"/>
  <c r="G1324" i="4"/>
  <c r="F1324" i="4"/>
  <c r="F1326" i="4"/>
  <c r="E1326" i="4" a="1"/>
  <c r="E1326" i="4" s="1"/>
  <c r="G1326" i="4"/>
  <c r="G1327" i="4"/>
  <c r="E1327" i="4" a="1"/>
  <c r="E1327" i="4" s="1"/>
  <c r="F1327" i="4"/>
  <c r="E1328" i="4" a="1"/>
  <c r="E1328" i="4" s="1"/>
  <c r="F1328" i="4"/>
  <c r="G1328" i="4"/>
  <c r="G1330" i="4"/>
  <c r="F1330" i="4"/>
  <c r="E1330" i="4" a="1"/>
  <c r="E1330" i="4" s="1"/>
  <c r="E1332" i="4" a="1"/>
  <c r="E1332" i="4" s="1"/>
  <c r="F1332" i="4"/>
  <c r="G1332" i="4"/>
  <c r="E1334" i="4" a="1"/>
  <c r="E1334" i="4" s="1"/>
  <c r="F1334" i="4"/>
  <c r="G1334" i="4"/>
  <c r="G1335" i="4"/>
  <c r="F1335" i="4"/>
  <c r="E1335" i="4" a="1"/>
  <c r="E1335" i="4" s="1"/>
  <c r="E1336" i="4" a="1"/>
  <c r="E1336" i="4" s="1"/>
  <c r="F1336" i="4"/>
  <c r="G1336" i="4"/>
  <c r="E1337" i="4" a="1"/>
  <c r="E1337" i="4" s="1"/>
  <c r="F1337" i="4"/>
  <c r="G1337" i="4"/>
  <c r="G1338" i="4"/>
  <c r="E1338" i="4" a="1"/>
  <c r="E1338" i="4" s="1"/>
  <c r="F1338" i="4"/>
  <c r="F1340" i="4"/>
  <c r="G1340" i="4"/>
  <c r="E1340" i="4" a="1"/>
  <c r="E1340" i="4" s="1"/>
  <c r="F1341" i="4"/>
  <c r="E1341" i="4" a="1"/>
  <c r="E1341" i="4" s="1"/>
  <c r="G1341" i="4"/>
  <c r="E1342" i="4" a="1"/>
  <c r="E1342" i="4" s="1"/>
  <c r="G1342" i="4"/>
  <c r="F1342" i="4"/>
  <c r="G1343" i="4"/>
  <c r="F1343" i="4"/>
  <c r="E1343" i="4" a="1"/>
  <c r="E1343" i="4" s="1"/>
  <c r="E1344" i="4" a="1"/>
  <c r="E1344" i="4" s="1"/>
  <c r="G1344" i="4"/>
  <c r="F1344" i="4"/>
  <c r="G1345" i="4"/>
  <c r="E1345" i="4" a="1"/>
  <c r="E1345" i="4" s="1"/>
  <c r="F1345" i="4"/>
  <c r="E1346" i="4" a="1"/>
  <c r="E1346" i="4" s="1"/>
  <c r="F1346" i="4"/>
  <c r="G1346" i="4"/>
  <c r="F1348" i="4"/>
  <c r="G1348" i="4"/>
  <c r="E1348" i="4" a="1"/>
  <c r="E1348" i="4" s="1"/>
  <c r="E1349" i="4" a="1"/>
  <c r="E1349" i="4" s="1"/>
  <c r="G1349" i="4"/>
  <c r="F1349" i="4"/>
  <c r="F1350" i="4"/>
  <c r="G1350" i="4"/>
  <c r="E1350" i="4" a="1"/>
  <c r="E1350" i="4" s="1"/>
  <c r="E1354" i="4" a="1"/>
  <c r="E1354" i="4" s="1"/>
  <c r="G1354" i="4"/>
  <c r="F1354" i="4"/>
  <c r="F1357" i="4"/>
  <c r="E1357" i="4" a="1"/>
  <c r="E1357" i="4" s="1"/>
  <c r="G1357" i="4"/>
  <c r="E1359" i="4" a="1"/>
  <c r="E1359" i="4" s="1"/>
  <c r="G1359" i="4"/>
  <c r="F1359" i="4"/>
  <c r="G1361" i="4"/>
  <c r="E1361" i="4" a="1"/>
  <c r="E1361" i="4" s="1"/>
  <c r="F1361" i="4"/>
  <c r="F1362" i="4"/>
  <c r="E1362" i="4" a="1"/>
  <c r="E1362" i="4" s="1"/>
  <c r="G1362" i="4"/>
  <c r="F1363" i="4"/>
  <c r="E1363" i="4" a="1"/>
  <c r="E1363" i="4" s="1"/>
  <c r="G1363" i="4"/>
  <c r="G1364" i="4"/>
  <c r="F1364" i="4"/>
  <c r="E1364" i="4" a="1"/>
  <c r="E1364" i="4" s="1"/>
  <c r="E1365" i="4" a="1"/>
  <c r="E1365" i="4" s="1"/>
  <c r="G1365" i="4"/>
  <c r="F1365" i="4"/>
  <c r="G1367" i="4"/>
  <c r="E1367" i="4" a="1"/>
  <c r="E1367" i="4" s="1"/>
  <c r="F1367" i="4"/>
  <c r="E1368" i="4" a="1"/>
  <c r="E1368" i="4" s="1"/>
  <c r="F1368" i="4"/>
  <c r="G1368" i="4"/>
  <c r="E1369" i="4" a="1"/>
  <c r="E1369" i="4" s="1"/>
  <c r="F1369" i="4"/>
  <c r="G1369" i="4"/>
  <c r="E1370" i="4" a="1"/>
  <c r="E1370" i="4" s="1"/>
  <c r="G1370" i="4"/>
  <c r="F1370" i="4"/>
  <c r="F1371" i="4"/>
  <c r="G1371" i="4"/>
  <c r="E1371" i="4" a="1"/>
  <c r="E1371" i="4" s="1"/>
  <c r="E1372" i="4" a="1"/>
  <c r="E1372" i="4" s="1"/>
  <c r="F1372" i="4"/>
  <c r="G1372" i="4"/>
  <c r="F1376" i="4"/>
  <c r="G1376" i="4"/>
  <c r="E1376" i="4" a="1"/>
  <c r="E1376" i="4" s="1"/>
  <c r="F1377" i="4"/>
  <c r="E1377" i="4" a="1"/>
  <c r="E1377" i="4" s="1"/>
  <c r="G1377" i="4"/>
  <c r="G1378" i="4"/>
  <c r="E1378" i="4" a="1"/>
  <c r="E1378" i="4" s="1"/>
  <c r="F1378" i="4"/>
  <c r="E1380" i="4" a="1"/>
  <c r="E1380" i="4" s="1"/>
  <c r="G1380" i="4"/>
  <c r="F1380" i="4"/>
  <c r="G1381" i="4"/>
  <c r="E1381" i="4" a="1"/>
  <c r="E1381" i="4" s="1"/>
  <c r="F1381" i="4"/>
  <c r="G1382" i="4"/>
  <c r="F1382" i="4"/>
  <c r="E1382" i="4" a="1"/>
  <c r="E1382" i="4" s="1"/>
  <c r="G1383" i="4"/>
  <c r="F1383" i="4"/>
  <c r="E1383" i="4" a="1"/>
  <c r="E1383" i="4" s="1"/>
  <c r="F1386" i="4"/>
  <c r="E1386" i="4" a="1"/>
  <c r="E1386" i="4" s="1"/>
  <c r="G1386" i="4"/>
  <c r="E1387" i="4" a="1"/>
  <c r="E1387" i="4" s="1"/>
  <c r="G1387" i="4"/>
  <c r="F1387" i="4"/>
  <c r="F1390" i="4"/>
  <c r="G1390" i="4"/>
  <c r="E1390" i="4" a="1"/>
  <c r="E1390" i="4" s="1"/>
  <c r="E1391" i="4" a="1"/>
  <c r="E1391" i="4" s="1"/>
  <c r="G1391" i="4"/>
  <c r="F1391" i="4"/>
  <c r="F1392" i="4"/>
  <c r="E1392" i="4" a="1"/>
  <c r="E1392" i="4" s="1"/>
  <c r="G1392" i="4"/>
  <c r="E1394" i="4" a="1"/>
  <c r="E1394" i="4" s="1"/>
  <c r="F1394" i="4"/>
  <c r="G1394" i="4"/>
  <c r="G1395" i="4"/>
  <c r="F1395" i="4"/>
  <c r="E1395" i="4" a="1"/>
  <c r="E1395" i="4" s="1"/>
  <c r="F1396" i="4"/>
  <c r="E1396" i="4" a="1"/>
  <c r="E1396" i="4" s="1"/>
  <c r="G1396" i="4"/>
  <c r="G1397" i="4"/>
  <c r="E1397" i="4" a="1"/>
  <c r="E1397" i="4" s="1"/>
  <c r="F1397" i="4"/>
  <c r="F1398" i="4"/>
  <c r="E1398" i="4" a="1"/>
  <c r="E1398" i="4" s="1"/>
  <c r="G1398" i="4"/>
  <c r="F1399" i="4"/>
  <c r="G1399" i="4"/>
  <c r="E1399" i="4" a="1"/>
  <c r="E1399" i="4" s="1"/>
  <c r="E1400" i="4" a="1"/>
  <c r="E1400" i="4" s="1"/>
  <c r="F1400" i="4"/>
  <c r="G1400" i="4"/>
  <c r="F1402" i="4"/>
  <c r="E1402" i="4" a="1"/>
  <c r="E1402" i="4" s="1"/>
  <c r="G1402" i="4"/>
  <c r="F1405" i="4"/>
  <c r="E1405" i="4" a="1"/>
  <c r="E1405" i="4" s="1"/>
  <c r="G1405" i="4"/>
  <c r="G1407" i="4"/>
  <c r="F1407" i="4"/>
  <c r="E1407" i="4" a="1"/>
  <c r="E1407" i="4" s="1"/>
  <c r="E1408" i="4" a="1"/>
  <c r="E1408" i="4" s="1"/>
  <c r="F1408" i="4"/>
  <c r="G1408" i="4"/>
  <c r="F1410" i="4"/>
  <c r="E1410" i="4" a="1"/>
  <c r="E1410" i="4" s="1"/>
  <c r="G1410" i="4"/>
  <c r="F1412" i="4"/>
  <c r="E1412" i="4" a="1"/>
  <c r="E1412" i="4" s="1"/>
  <c r="G1412" i="4"/>
  <c r="E1413" i="4" a="1"/>
  <c r="E1413" i="4" s="1"/>
  <c r="F1413" i="4"/>
  <c r="G1413" i="4"/>
  <c r="F1414" i="4"/>
  <c r="E1414" i="4" a="1"/>
  <c r="E1414" i="4" s="1"/>
  <c r="G1414" i="4"/>
  <c r="G1418" i="4"/>
  <c r="F1418" i="4"/>
  <c r="E1418" i="4" a="1"/>
  <c r="E1418" i="4" s="1"/>
  <c r="E1420" i="4" a="1"/>
  <c r="E1420" i="4" s="1"/>
  <c r="F1420" i="4"/>
  <c r="G1420" i="4"/>
  <c r="G1421" i="4"/>
  <c r="F1421" i="4"/>
  <c r="E1421" i="4" a="1"/>
  <c r="E1421" i="4" s="1"/>
  <c r="G1423" i="4"/>
  <c r="F1423" i="4"/>
  <c r="E1423" i="4" a="1"/>
  <c r="E1423" i="4" s="1"/>
  <c r="G1424" i="4"/>
  <c r="F1424" i="4"/>
  <c r="E1424" i="4" a="1"/>
  <c r="E1424" i="4" s="1"/>
  <c r="G1425" i="4"/>
  <c r="F1425" i="4"/>
  <c r="E1425" i="4" a="1"/>
  <c r="E1425" i="4" s="1"/>
  <c r="G1428" i="4"/>
  <c r="E1428" i="4" a="1"/>
  <c r="E1428" i="4" s="1"/>
  <c r="F1428" i="4"/>
  <c r="F1429" i="4"/>
  <c r="E1429" i="4" a="1"/>
  <c r="E1429" i="4" s="1"/>
  <c r="G1429" i="4"/>
  <c r="E1430" i="4" a="1"/>
  <c r="E1430" i="4" s="1"/>
  <c r="F1430" i="4"/>
  <c r="G1430" i="4"/>
  <c r="F1431" i="4"/>
  <c r="E1431" i="4" a="1"/>
  <c r="E1431" i="4" s="1"/>
  <c r="G1431" i="4"/>
  <c r="G1432" i="4"/>
  <c r="F1432" i="4"/>
  <c r="E1432" i="4" a="1"/>
  <c r="E1432" i="4" s="1"/>
  <c r="E1433" i="4" a="1"/>
  <c r="E1433" i="4" s="1"/>
  <c r="F1433" i="4"/>
  <c r="G1433" i="4"/>
  <c r="G1436" i="4"/>
  <c r="F1436" i="4"/>
  <c r="E1436" i="4" a="1"/>
  <c r="E1436" i="4" s="1"/>
  <c r="F1438" i="4"/>
  <c r="G1438" i="4"/>
  <c r="E1438" i="4" a="1"/>
  <c r="E1438" i="4" s="1"/>
  <c r="F1440" i="4"/>
  <c r="E1440" i="4" a="1"/>
  <c r="E1440" i="4" s="1"/>
  <c r="G1440" i="4"/>
  <c r="F1441" i="4"/>
  <c r="G1441" i="4"/>
  <c r="E1441" i="4" a="1"/>
  <c r="E1441" i="4" s="1"/>
  <c r="E1442" i="4" a="1"/>
  <c r="E1442" i="4" s="1"/>
  <c r="G1442" i="4"/>
  <c r="F1442" i="4"/>
  <c r="F1443" i="4"/>
  <c r="G1443" i="4"/>
  <c r="E1443" i="4" a="1"/>
  <c r="E1443" i="4" s="1"/>
  <c r="E1444" i="4" a="1"/>
  <c r="E1444" i="4" s="1"/>
  <c r="G1444" i="4"/>
  <c r="F1444" i="4"/>
  <c r="F1445" i="4"/>
  <c r="E1445" i="4" a="1"/>
  <c r="E1445" i="4" s="1"/>
  <c r="G1445" i="4"/>
  <c r="F1446" i="4"/>
  <c r="E1446" i="4" a="1"/>
  <c r="E1446" i="4" s="1"/>
  <c r="G1446" i="4"/>
  <c r="E1449" i="4" a="1"/>
  <c r="E1449" i="4" s="1"/>
  <c r="F1449" i="4"/>
  <c r="G1449" i="4"/>
  <c r="F1450" i="4"/>
  <c r="G1450" i="4"/>
  <c r="E1450" i="4" a="1"/>
  <c r="E1450" i="4" s="1"/>
  <c r="F1452" i="4"/>
  <c r="E1452" i="4" a="1"/>
  <c r="E1452" i="4" s="1"/>
  <c r="G1452" i="4"/>
  <c r="G1453" i="4"/>
  <c r="F1453" i="4"/>
  <c r="E1453" i="4" a="1"/>
  <c r="E1453" i="4" s="1"/>
  <c r="E1454" i="4" a="1"/>
  <c r="E1454" i="4" s="1"/>
  <c r="F1454" i="4"/>
  <c r="G1454" i="4"/>
  <c r="G1456" i="4"/>
  <c r="F1456" i="4"/>
  <c r="E1456" i="4" a="1"/>
  <c r="E1456" i="4" s="1"/>
  <c r="E1457" i="4" a="1"/>
  <c r="E1457" i="4" s="1"/>
  <c r="G1457" i="4"/>
  <c r="F1457" i="4"/>
  <c r="F1458" i="4"/>
  <c r="E1458" i="4" a="1"/>
  <c r="E1458" i="4" s="1"/>
  <c r="G1458" i="4"/>
  <c r="F1460" i="4"/>
  <c r="E1460" i="4" a="1"/>
  <c r="E1460" i="4" s="1"/>
  <c r="G1460" i="4"/>
  <c r="E1461" i="4" a="1"/>
  <c r="E1461" i="4" s="1"/>
  <c r="G1461" i="4"/>
  <c r="F1461" i="4"/>
  <c r="E1462" i="4" a="1"/>
  <c r="E1462" i="4" s="1"/>
  <c r="G1462" i="4"/>
  <c r="F1462" i="4"/>
  <c r="G1463" i="4"/>
  <c r="F1463" i="4"/>
  <c r="E1463" i="4" a="1"/>
  <c r="E1463" i="4" s="1"/>
  <c r="F1467" i="4"/>
  <c r="E1467" i="4" a="1"/>
  <c r="E1467" i="4" s="1"/>
  <c r="G1467" i="4"/>
  <c r="E1469" i="4" a="1"/>
  <c r="E1469" i="4" s="1"/>
  <c r="F1469" i="4"/>
  <c r="G1469" i="4"/>
  <c r="F1470" i="4"/>
  <c r="E1470" i="4" a="1"/>
  <c r="E1470" i="4" s="1"/>
  <c r="G1470" i="4"/>
  <c r="F1471" i="4"/>
  <c r="G1471" i="4"/>
  <c r="E1471" i="4" a="1"/>
  <c r="E1471" i="4" s="1"/>
  <c r="E1472" i="4" a="1"/>
  <c r="E1472" i="4" s="1"/>
  <c r="F1472" i="4"/>
  <c r="G1472" i="4"/>
  <c r="F1473" i="4"/>
  <c r="E1473" i="4" a="1"/>
  <c r="E1473" i="4" s="1"/>
  <c r="G1473" i="4"/>
  <c r="E1474" i="4" a="1"/>
  <c r="E1474" i="4" s="1"/>
  <c r="G1474" i="4"/>
  <c r="F1474" i="4"/>
  <c r="E1475" i="4" a="1"/>
  <c r="E1475" i="4" s="1"/>
  <c r="F1475" i="4"/>
  <c r="G1475" i="4"/>
  <c r="E1476" i="4" a="1"/>
  <c r="E1476" i="4" s="1"/>
  <c r="F1476" i="4"/>
  <c r="G1476" i="4"/>
  <c r="F1478" i="4"/>
  <c r="E1478" i="4" a="1"/>
  <c r="E1478" i="4" s="1"/>
  <c r="G1478" i="4"/>
  <c r="G1479" i="4"/>
  <c r="F1479" i="4"/>
  <c r="E1479" i="4" a="1"/>
  <c r="E1479" i="4" s="1"/>
  <c r="F1481" i="4"/>
  <c r="E1481" i="4" a="1"/>
  <c r="E1481" i="4" s="1"/>
  <c r="G1481" i="4"/>
  <c r="E1482" i="4" a="1"/>
  <c r="E1482" i="4" s="1"/>
  <c r="F1482" i="4"/>
  <c r="G1482" i="4"/>
  <c r="E1483" i="4" a="1"/>
  <c r="E1483" i="4" s="1"/>
  <c r="F1483" i="4"/>
  <c r="G1483" i="4"/>
  <c r="E1484" i="4" a="1"/>
  <c r="E1484" i="4" s="1"/>
  <c r="G1484" i="4"/>
  <c r="F1484" i="4"/>
  <c r="E1485" i="4" a="1"/>
  <c r="E1485" i="4" s="1"/>
  <c r="G1485" i="4"/>
  <c r="F1485" i="4"/>
  <c r="G1486" i="4"/>
  <c r="F1486" i="4"/>
  <c r="E1486" i="4" a="1"/>
  <c r="E1486" i="4" s="1"/>
  <c r="F1488" i="4"/>
  <c r="G1488" i="4"/>
  <c r="E1488" i="4" a="1"/>
  <c r="E1488" i="4" s="1"/>
  <c r="F1490" i="4"/>
  <c r="E1490" i="4" a="1"/>
  <c r="E1490" i="4" s="1"/>
  <c r="G1490" i="4"/>
  <c r="F1492" i="4"/>
  <c r="G1492" i="4"/>
  <c r="E1492" i="4" a="1"/>
  <c r="E1492" i="4" s="1"/>
  <c r="E1493" i="4" a="1"/>
  <c r="E1493" i="4" s="1"/>
  <c r="G1493" i="4"/>
  <c r="F1493" i="4"/>
  <c r="F1494" i="4"/>
  <c r="G1494" i="4"/>
  <c r="E1494" i="4" a="1"/>
  <c r="E1494" i="4" s="1"/>
  <c r="F1495" i="4"/>
  <c r="E1495" i="4" a="1"/>
  <c r="E1495" i="4" s="1"/>
  <c r="G1495" i="4"/>
  <c r="F1496" i="4"/>
  <c r="E1496" i="4" a="1"/>
  <c r="E1496" i="4" s="1"/>
  <c r="G1496" i="4"/>
  <c r="F1497" i="4"/>
  <c r="G1497" i="4"/>
  <c r="E1497" i="4" a="1"/>
  <c r="E1497" i="4" s="1"/>
  <c r="F1498" i="4"/>
  <c r="E1498" i="4" a="1"/>
  <c r="E1498" i="4" s="1"/>
  <c r="G1498" i="4"/>
  <c r="E1499" i="4" a="1"/>
  <c r="E1499" i="4" s="1"/>
  <c r="G1499" i="4"/>
  <c r="F1499" i="4"/>
  <c r="F1500" i="4"/>
  <c r="E1500" i="4" a="1"/>
  <c r="E1500" i="4" s="1"/>
  <c r="G1500" i="4"/>
  <c r="G1501" i="4"/>
  <c r="E1501" i="4" a="1"/>
  <c r="E1501" i="4" s="1"/>
  <c r="F1501" i="4"/>
  <c r="E1502" i="4" a="1"/>
  <c r="E1502" i="4" s="1"/>
  <c r="F1502" i="4"/>
  <c r="G1502" i="4"/>
  <c r="G1503" i="4"/>
  <c r="E1503" i="4" a="1"/>
  <c r="E1503" i="4" s="1"/>
  <c r="F1503" i="4"/>
  <c r="E1504" i="4" a="1"/>
  <c r="E1504" i="4" s="1"/>
  <c r="G1504" i="4"/>
  <c r="F1504" i="4"/>
  <c r="F1506" i="4"/>
  <c r="E1506" i="4" a="1"/>
  <c r="E1506" i="4" s="1"/>
  <c r="G1506" i="4"/>
  <c r="F1507" i="4"/>
  <c r="G1507" i="4"/>
  <c r="E1507" i="4" a="1"/>
  <c r="E1507" i="4" s="1"/>
  <c r="E1508" i="4" a="1"/>
  <c r="E1508" i="4" s="1"/>
  <c r="G1508" i="4"/>
  <c r="F1508" i="4"/>
  <c r="G1509" i="4"/>
  <c r="F1509" i="4"/>
  <c r="E1509" i="4" a="1"/>
  <c r="E1509" i="4" s="1"/>
  <c r="G1510" i="4"/>
  <c r="E1510" i="4" a="1"/>
  <c r="E1510" i="4" s="1"/>
  <c r="F1510" i="4"/>
  <c r="G1511" i="4"/>
  <c r="F1511" i="4"/>
  <c r="E1511" i="4" a="1"/>
  <c r="E1511" i="4" s="1"/>
  <c r="E1512" i="4" a="1"/>
  <c r="E1512" i="4" s="1"/>
  <c r="G1512" i="4"/>
  <c r="F1512" i="4"/>
  <c r="E1517" i="4" a="1"/>
  <c r="E1517" i="4" s="1"/>
  <c r="F1517" i="4"/>
  <c r="G1517" i="4"/>
  <c r="F1518" i="4"/>
  <c r="E1518" i="4" a="1"/>
  <c r="E1518" i="4" s="1"/>
  <c r="G1518" i="4"/>
  <c r="G1519" i="4"/>
  <c r="F1519" i="4"/>
  <c r="E1519" i="4" a="1"/>
  <c r="E1519" i="4" s="1"/>
  <c r="E1520" i="4" a="1"/>
  <c r="E1520" i="4" s="1"/>
  <c r="F1520" i="4"/>
  <c r="G1520" i="4"/>
  <c r="G1522" i="4"/>
  <c r="F1522" i="4"/>
  <c r="E1522" i="4" a="1"/>
  <c r="E1522" i="4" s="1"/>
  <c r="G1524" i="4"/>
  <c r="E1524" i="4" a="1"/>
  <c r="E1524" i="4" s="1"/>
  <c r="F1524" i="4"/>
  <c r="E1525" i="4" a="1"/>
  <c r="E1525" i="4" s="1"/>
  <c r="F1525" i="4"/>
  <c r="G1525" i="4"/>
  <c r="E1526" i="4" a="1"/>
  <c r="E1526" i="4" s="1"/>
  <c r="F1526" i="4"/>
  <c r="G1526" i="4"/>
  <c r="E1527" i="4" a="1"/>
  <c r="E1527" i="4" s="1"/>
  <c r="F1527" i="4"/>
  <c r="G1527" i="4"/>
  <c r="F1528" i="4"/>
  <c r="G1528" i="4"/>
  <c r="E1528" i="4" a="1"/>
  <c r="E1528" i="4" s="1"/>
  <c r="F1530" i="4"/>
  <c r="E1530" i="4" a="1"/>
  <c r="E1530" i="4" s="1"/>
  <c r="G1530" i="4"/>
  <c r="G1531" i="4"/>
  <c r="F1531" i="4"/>
  <c r="E1531" i="4" a="1"/>
  <c r="E1531" i="4" s="1"/>
  <c r="E1533" i="4" a="1"/>
  <c r="E1533" i="4" s="1"/>
  <c r="F1533" i="4"/>
  <c r="G1533" i="4"/>
  <c r="F1535" i="4"/>
  <c r="G1535" i="4"/>
  <c r="E1535" i="4" a="1"/>
  <c r="E1535" i="4" s="1"/>
  <c r="E1536" i="4" a="1"/>
  <c r="E1536" i="4" s="1"/>
  <c r="F1536" i="4"/>
  <c r="G1536" i="4"/>
  <c r="F1537" i="4"/>
  <c r="E1537" i="4" a="1"/>
  <c r="E1537" i="4" s="1"/>
  <c r="G1537" i="4"/>
  <c r="E1539" i="4" a="1"/>
  <c r="E1539" i="4" s="1"/>
  <c r="F1539" i="4"/>
  <c r="G1539" i="4"/>
  <c r="G1540" i="4"/>
  <c r="E1540" i="4" a="1"/>
  <c r="E1540" i="4" s="1"/>
  <c r="F1540" i="4"/>
  <c r="G1541" i="4"/>
  <c r="E1541" i="4" a="1"/>
  <c r="E1541" i="4" s="1"/>
  <c r="F1541" i="4"/>
  <c r="E1542" i="4" a="1"/>
  <c r="E1542" i="4" s="1"/>
  <c r="F1542" i="4"/>
  <c r="G1542" i="4"/>
  <c r="E1545" i="4" a="1"/>
  <c r="E1545" i="4" s="1"/>
  <c r="F1545" i="4"/>
  <c r="G1545" i="4"/>
  <c r="G1547" i="4"/>
  <c r="E1547" i="4" a="1"/>
  <c r="E1547" i="4" s="1"/>
  <c r="F1547" i="4"/>
  <c r="E1548" i="4" a="1"/>
  <c r="E1548" i="4" s="1"/>
  <c r="F1548" i="4"/>
  <c r="G1548" i="4"/>
  <c r="G1549" i="4"/>
  <c r="E1549" i="4" a="1"/>
  <c r="E1549" i="4" s="1"/>
  <c r="F1549" i="4"/>
  <c r="E1551" i="4" a="1"/>
  <c r="E1551" i="4" s="1"/>
  <c r="F1551" i="4"/>
  <c r="G1551" i="4"/>
  <c r="G1553" i="4"/>
  <c r="E1553" i="4" a="1"/>
  <c r="E1553" i="4" s="1"/>
  <c r="F1553" i="4"/>
  <c r="G1555" i="4"/>
  <c r="F1555" i="4"/>
  <c r="E1555" i="4" a="1"/>
  <c r="E1555" i="4" s="1"/>
  <c r="E1556" i="4" a="1"/>
  <c r="E1556" i="4" s="1"/>
  <c r="F1556" i="4"/>
  <c r="G1556" i="4"/>
  <c r="E1557" i="4" a="1"/>
  <c r="E1557" i="4" s="1"/>
  <c r="F1557" i="4"/>
  <c r="G1557" i="4"/>
  <c r="F1558" i="4"/>
  <c r="E1558" i="4" a="1"/>
  <c r="E1558" i="4" s="1"/>
  <c r="G1558" i="4"/>
  <c r="E1561" i="4" a="1"/>
  <c r="E1561" i="4" s="1"/>
  <c r="F1561" i="4"/>
  <c r="G1561" i="4"/>
  <c r="G1562" i="4"/>
  <c r="F1562" i="4"/>
  <c r="E1562" i="4" a="1"/>
  <c r="E1562" i="4" s="1"/>
  <c r="E1563" i="4" a="1"/>
  <c r="E1563" i="4" s="1"/>
  <c r="F1563" i="4"/>
  <c r="G1563" i="4"/>
  <c r="E1564" i="4" a="1"/>
  <c r="E1564" i="4" s="1"/>
  <c r="F1564" i="4"/>
  <c r="G1564" i="4"/>
  <c r="F1565" i="4"/>
  <c r="G1565" i="4"/>
  <c r="E1565" i="4" a="1"/>
  <c r="E1565" i="4" s="1"/>
  <c r="F1566" i="4"/>
  <c r="E1566" i="4" a="1"/>
  <c r="E1566" i="4" s="1"/>
  <c r="G1566" i="4"/>
  <c r="E1567" i="4" a="1"/>
  <c r="E1567" i="4" s="1"/>
  <c r="F1567" i="4"/>
  <c r="G1567" i="4"/>
  <c r="F1568" i="4"/>
  <c r="E1568" i="4" a="1"/>
  <c r="E1568" i="4" s="1"/>
  <c r="G1568" i="4"/>
  <c r="G1569" i="4"/>
  <c r="E1569" i="4" a="1"/>
  <c r="E1569" i="4" s="1"/>
  <c r="F1569" i="4"/>
  <c r="E1570" i="4" a="1"/>
  <c r="E1570" i="4" s="1"/>
  <c r="G1570" i="4"/>
  <c r="F1570" i="4"/>
  <c r="G1572" i="4"/>
  <c r="E1572" i="4" a="1"/>
  <c r="E1572" i="4" s="1"/>
  <c r="F1572" i="4"/>
  <c r="F1574" i="4"/>
  <c r="E1574" i="4" a="1"/>
  <c r="E1574" i="4" s="1"/>
  <c r="G1574" i="4"/>
  <c r="G1575" i="4"/>
  <c r="E1575" i="4" a="1"/>
  <c r="E1575" i="4" s="1"/>
  <c r="F1575" i="4"/>
  <c r="E1577" i="4" a="1"/>
  <c r="E1577" i="4" s="1"/>
  <c r="G1577" i="4"/>
  <c r="F1577" i="4"/>
  <c r="G1578" i="4"/>
  <c r="F1578" i="4"/>
  <c r="E1578" i="4" a="1"/>
  <c r="E1578" i="4" s="1"/>
  <c r="G1579" i="4"/>
  <c r="F1579" i="4"/>
  <c r="E1579" i="4" a="1"/>
  <c r="E1579" i="4" s="1"/>
  <c r="G1580" i="4"/>
  <c r="E1580" i="4" a="1"/>
  <c r="E1580" i="4" s="1"/>
  <c r="F1580" i="4"/>
  <c r="F1581" i="4"/>
  <c r="G1581" i="4"/>
  <c r="E1581" i="4" a="1"/>
  <c r="E1581" i="4" s="1"/>
  <c r="G1582" i="4"/>
  <c r="F1582" i="4"/>
  <c r="E1582" i="4" a="1"/>
  <c r="E1582" i="4" s="1"/>
  <c r="G1583" i="4"/>
  <c r="F1583" i="4"/>
  <c r="E1583" i="4" a="1"/>
  <c r="E1583" i="4" s="1"/>
  <c r="G1584" i="4"/>
  <c r="E1584" i="4" a="1"/>
  <c r="E1584" i="4" s="1"/>
  <c r="F1584" i="4"/>
  <c r="G1587" i="4"/>
  <c r="F1587" i="4"/>
  <c r="E1587" i="4" a="1"/>
  <c r="E1587" i="4" s="1"/>
  <c r="G1588" i="4"/>
  <c r="F1588" i="4"/>
  <c r="E1588" i="4" a="1"/>
  <c r="E1588" i="4" s="1"/>
  <c r="E1589" i="4" a="1"/>
  <c r="E1589" i="4" s="1"/>
  <c r="G1589" i="4"/>
  <c r="F1589" i="4"/>
  <c r="G1590" i="4"/>
  <c r="E1590" i="4" a="1"/>
  <c r="E1590" i="4" s="1"/>
  <c r="F1590" i="4"/>
  <c r="G1591" i="4"/>
  <c r="F1591" i="4"/>
  <c r="E1591" i="4" a="1"/>
  <c r="E1591" i="4" s="1"/>
  <c r="F1592" i="4"/>
  <c r="G1592" i="4"/>
  <c r="E1592" i="4" a="1"/>
  <c r="E1592" i="4" s="1"/>
  <c r="F1593" i="4"/>
  <c r="G1593" i="4"/>
  <c r="E1593" i="4" a="1"/>
  <c r="E1593" i="4" s="1"/>
  <c r="E1595" i="4" a="1"/>
  <c r="E1595" i="4" s="1"/>
  <c r="F1595" i="4"/>
  <c r="G1595" i="4"/>
  <c r="G1596" i="4"/>
  <c r="E1596" i="4" a="1"/>
  <c r="E1596" i="4" s="1"/>
  <c r="F1596" i="4"/>
  <c r="G1597" i="4"/>
  <c r="E1597" i="4" a="1"/>
  <c r="E1597" i="4" s="1"/>
  <c r="F1597" i="4"/>
  <c r="E1599" i="4" a="1"/>
  <c r="E1599" i="4" s="1"/>
  <c r="F1599" i="4"/>
  <c r="G1599" i="4"/>
  <c r="F1600" i="4"/>
  <c r="E1600" i="4" a="1"/>
  <c r="E1600" i="4" s="1"/>
  <c r="G1600" i="4"/>
  <c r="G1602" i="4"/>
  <c r="F1602" i="4"/>
  <c r="E1602" i="4" a="1"/>
  <c r="E1602" i="4" s="1"/>
  <c r="F1603" i="4"/>
  <c r="G1603" i="4"/>
  <c r="E1603" i="4" a="1"/>
  <c r="E1603" i="4" s="1"/>
  <c r="G1604" i="4"/>
  <c r="E1604" i="4" a="1"/>
  <c r="E1604" i="4" s="1"/>
  <c r="F1604" i="4"/>
  <c r="G1605" i="4"/>
  <c r="F1605" i="4"/>
  <c r="E1605" i="4" a="1"/>
  <c r="E1605" i="4" s="1"/>
  <c r="G1607" i="4"/>
  <c r="F1607" i="4"/>
  <c r="E1607" i="4" a="1"/>
  <c r="E1607" i="4" s="1"/>
  <c r="G1609" i="4"/>
  <c r="E1609" i="4" a="1"/>
  <c r="E1609" i="4" s="1"/>
  <c r="F1609" i="4"/>
  <c r="E1610" i="4" a="1"/>
  <c r="E1610" i="4" s="1"/>
  <c r="F1610" i="4"/>
  <c r="G1610" i="4"/>
  <c r="G1611" i="4"/>
  <c r="F1611" i="4"/>
  <c r="E1611" i="4" a="1"/>
  <c r="E1611" i="4" s="1"/>
  <c r="E1612" i="4" a="1"/>
  <c r="E1612" i="4" s="1"/>
  <c r="F1612" i="4"/>
  <c r="G1612" i="4"/>
  <c r="F1613" i="4"/>
  <c r="E1613" i="4" a="1"/>
  <c r="E1613" i="4" s="1"/>
  <c r="G1613" i="4"/>
  <c r="G1614" i="4"/>
  <c r="E1614" i="4" a="1"/>
  <c r="E1614" i="4" s="1"/>
  <c r="F1614" i="4"/>
  <c r="E1616" i="4" a="1"/>
  <c r="E1616" i="4" s="1"/>
  <c r="F1616" i="4"/>
  <c r="G1616" i="4"/>
  <c r="E1617" i="4" a="1"/>
  <c r="E1617" i="4" s="1"/>
  <c r="F1617" i="4"/>
  <c r="G1617" i="4"/>
  <c r="F1618" i="4"/>
  <c r="E1618" i="4" a="1"/>
  <c r="E1618" i="4" s="1"/>
  <c r="G1618" i="4"/>
  <c r="E1619" i="4" a="1"/>
  <c r="E1619" i="4" s="1"/>
  <c r="G1619" i="4"/>
  <c r="F1619" i="4"/>
  <c r="G1620" i="4"/>
  <c r="F1620" i="4"/>
  <c r="E1620" i="4" a="1"/>
  <c r="E1620" i="4" s="1"/>
  <c r="G1621" i="4"/>
  <c r="F1621" i="4"/>
  <c r="E1621" i="4" a="1"/>
  <c r="E1621" i="4" s="1"/>
  <c r="E1622" i="4" a="1"/>
  <c r="E1622" i="4" s="1"/>
  <c r="F1622" i="4"/>
  <c r="G1622" i="4"/>
  <c r="G1623" i="4"/>
  <c r="E1623" i="4" a="1"/>
  <c r="E1623" i="4" s="1"/>
  <c r="F1623" i="4"/>
  <c r="G1624" i="4"/>
  <c r="E1624" i="4" a="1"/>
  <c r="E1624" i="4" s="1"/>
  <c r="F1624" i="4"/>
  <c r="G1625" i="4"/>
  <c r="F1625" i="4"/>
  <c r="E1625" i="4" a="1"/>
  <c r="E1625" i="4" s="1"/>
  <c r="G1626" i="4"/>
  <c r="F1626" i="4"/>
  <c r="E1626" i="4" a="1"/>
  <c r="E1626" i="4" s="1"/>
  <c r="G1627" i="4"/>
  <c r="F1627" i="4"/>
  <c r="E1627" i="4" a="1"/>
  <c r="E1627" i="4" s="1"/>
  <c r="E1628" i="4" a="1"/>
  <c r="E1628" i="4" s="1"/>
  <c r="F1628" i="4"/>
  <c r="G1628" i="4"/>
  <c r="F1629" i="4"/>
  <c r="G1629" i="4"/>
  <c r="E1629" i="4" a="1"/>
  <c r="E1629" i="4" s="1"/>
  <c r="F1630" i="4"/>
  <c r="G1630" i="4"/>
  <c r="E1630" i="4" a="1"/>
  <c r="E1630" i="4" s="1"/>
  <c r="F1631" i="4"/>
  <c r="G1631" i="4"/>
  <c r="E1631" i="4" a="1"/>
  <c r="E1631" i="4" s="1"/>
  <c r="E1632" i="4" a="1"/>
  <c r="E1632" i="4" s="1"/>
  <c r="G1632" i="4"/>
  <c r="F1632" i="4"/>
  <c r="G1635" i="4"/>
  <c r="E1635" i="4" a="1"/>
  <c r="E1635" i="4" s="1"/>
  <c r="F1635" i="4"/>
  <c r="E1636" i="4" a="1"/>
  <c r="E1636" i="4" s="1"/>
  <c r="G1636" i="4"/>
  <c r="F1636" i="4"/>
  <c r="F1638" i="4"/>
  <c r="G1638" i="4"/>
  <c r="E1638" i="4" a="1"/>
  <c r="E1638" i="4" s="1"/>
  <c r="F1640" i="4"/>
  <c r="G1640" i="4"/>
  <c r="E1640" i="4" a="1"/>
  <c r="E1640" i="4" s="1"/>
  <c r="F1642" i="4"/>
  <c r="G1642" i="4"/>
  <c r="E1642" i="4" a="1"/>
  <c r="E1642" i="4" s="1"/>
  <c r="F1645" i="4"/>
  <c r="G1645" i="4"/>
  <c r="E1645" i="4" a="1"/>
  <c r="E1645" i="4" s="1"/>
  <c r="G1646" i="4"/>
  <c r="F1646" i="4"/>
  <c r="E1646" i="4" a="1"/>
  <c r="E1646" i="4" s="1"/>
  <c r="E1648" i="4" a="1"/>
  <c r="E1648" i="4" s="1"/>
  <c r="F1648" i="4"/>
  <c r="G1648" i="4"/>
  <c r="E1650" i="4" a="1"/>
  <c r="E1650" i="4" s="1"/>
  <c r="F1650" i="4"/>
  <c r="G1650" i="4"/>
  <c r="E1651" i="4" a="1"/>
  <c r="E1651" i="4" s="1"/>
  <c r="G1651" i="4"/>
  <c r="F1651" i="4"/>
  <c r="E1652" i="4" a="1"/>
  <c r="E1652" i="4" s="1"/>
  <c r="F1652" i="4"/>
  <c r="G1652" i="4"/>
  <c r="F1656" i="4"/>
  <c r="E1656" i="4" a="1"/>
  <c r="E1656" i="4" s="1"/>
  <c r="G1656" i="4"/>
  <c r="F1657" i="4"/>
  <c r="E1657" i="4" a="1"/>
  <c r="E1657" i="4" s="1"/>
  <c r="G1657" i="4"/>
  <c r="F1658" i="4"/>
  <c r="G1658" i="4"/>
  <c r="E1658" i="4" a="1"/>
  <c r="E1658" i="4" s="1"/>
  <c r="G1659" i="4"/>
  <c r="E1659" i="4" a="1"/>
  <c r="E1659" i="4" s="1"/>
  <c r="F1659" i="4"/>
  <c r="F1660" i="4"/>
  <c r="E1660" i="4" a="1"/>
  <c r="E1660" i="4" s="1"/>
  <c r="G1660" i="4"/>
  <c r="G1661" i="4"/>
  <c r="F1661" i="4"/>
  <c r="E1661" i="4" a="1"/>
  <c r="E1661" i="4" s="1"/>
  <c r="F1662" i="4"/>
  <c r="G1662" i="4"/>
  <c r="E1662" i="4" a="1"/>
  <c r="E1662" i="4" s="1"/>
  <c r="F1663" i="4"/>
  <c r="E1663" i="4" a="1"/>
  <c r="E1663" i="4" s="1"/>
  <c r="G1663" i="4"/>
  <c r="G1664" i="4"/>
  <c r="E1664" i="4" a="1"/>
  <c r="E1664" i="4" s="1"/>
  <c r="F1664" i="4"/>
  <c r="F1665" i="4"/>
  <c r="E1665" i="4" a="1"/>
  <c r="E1665" i="4" s="1"/>
  <c r="G1665" i="4"/>
  <c r="F1666" i="4"/>
  <c r="E1666" i="4" a="1"/>
  <c r="E1666" i="4" s="1"/>
  <c r="G1666" i="4"/>
  <c r="F1667" i="4"/>
  <c r="E1667" i="4" a="1"/>
  <c r="E1667" i="4" s="1"/>
  <c r="G1667" i="4"/>
  <c r="E1668" i="4" a="1"/>
  <c r="E1668" i="4" s="1"/>
  <c r="G1668" i="4"/>
  <c r="F1668" i="4"/>
  <c r="F1669" i="4"/>
  <c r="E1669" i="4" a="1"/>
  <c r="E1669" i="4" s="1"/>
  <c r="G1669" i="4"/>
  <c r="F1670" i="4"/>
  <c r="E1670" i="4" a="1"/>
  <c r="E1670" i="4" s="1"/>
  <c r="G1670" i="4"/>
  <c r="E1671" i="4" a="1"/>
  <c r="E1671" i="4" s="1"/>
  <c r="F1671" i="4"/>
  <c r="G1671" i="4"/>
  <c r="F1672" i="4"/>
  <c r="G1672" i="4"/>
  <c r="E1672" i="4" a="1"/>
  <c r="E1672" i="4" s="1"/>
  <c r="F1673" i="4"/>
  <c r="G1673" i="4"/>
  <c r="E1673" i="4" a="1"/>
  <c r="E1673" i="4" s="1"/>
  <c r="F1676" i="4"/>
  <c r="E1676" i="4" a="1"/>
  <c r="E1676" i="4" s="1"/>
  <c r="G1676" i="4"/>
  <c r="F1677" i="4"/>
  <c r="E1677" i="4" a="1"/>
  <c r="E1677" i="4" s="1"/>
  <c r="G1677" i="4"/>
  <c r="E1678" i="4" a="1"/>
  <c r="E1678" i="4" s="1"/>
  <c r="F1678" i="4"/>
  <c r="G1678" i="4"/>
  <c r="E1679" i="4" a="1"/>
  <c r="E1679" i="4" s="1"/>
  <c r="G1679" i="4"/>
  <c r="F1679" i="4"/>
  <c r="G1680" i="4"/>
  <c r="E1680" i="4" a="1"/>
  <c r="E1680" i="4" s="1"/>
  <c r="F1680" i="4"/>
  <c r="G1681" i="4"/>
  <c r="F1681" i="4"/>
  <c r="E1681" i="4" a="1"/>
  <c r="E1681" i="4" s="1"/>
  <c r="E1682" i="4" a="1"/>
  <c r="E1682" i="4" s="1"/>
  <c r="F1682" i="4"/>
  <c r="G1682" i="4"/>
  <c r="G1683" i="4"/>
  <c r="F1683" i="4"/>
  <c r="E1683" i="4" a="1"/>
  <c r="E1683" i="4" s="1"/>
  <c r="E1684" i="4" a="1"/>
  <c r="E1684" i="4" s="1"/>
  <c r="F1684" i="4"/>
  <c r="G1684" i="4"/>
  <c r="F1685" i="4"/>
  <c r="E1685" i="4" a="1"/>
  <c r="E1685" i="4" s="1"/>
  <c r="G1685" i="4"/>
  <c r="G1686" i="4"/>
  <c r="F1686" i="4"/>
  <c r="E1686" i="4" a="1"/>
  <c r="E1686" i="4" s="1"/>
  <c r="E1687" i="4" a="1"/>
  <c r="E1687" i="4" s="1"/>
  <c r="F1687" i="4"/>
  <c r="G1687" i="4"/>
  <c r="G1688" i="4"/>
  <c r="F1688" i="4"/>
  <c r="E1688" i="4" a="1"/>
  <c r="E1688" i="4" s="1"/>
  <c r="G1689" i="4"/>
  <c r="E1689" i="4" a="1"/>
  <c r="E1689" i="4" s="1"/>
  <c r="F1689" i="4"/>
  <c r="E1691" i="4" a="1"/>
  <c r="E1691" i="4" s="1"/>
  <c r="G1691" i="4"/>
  <c r="F1691" i="4"/>
  <c r="F1692" i="4"/>
  <c r="E1692" i="4" a="1"/>
  <c r="E1692" i="4" s="1"/>
  <c r="G1692" i="4"/>
  <c r="E1693" i="4" a="1"/>
  <c r="E1693" i="4" s="1"/>
  <c r="F1693" i="4"/>
  <c r="G1693" i="4"/>
  <c r="F1694" i="4"/>
  <c r="E1694" i="4" a="1"/>
  <c r="E1694" i="4" s="1"/>
  <c r="G1694" i="4"/>
  <c r="G1695" i="4"/>
  <c r="E1695" i="4" a="1"/>
  <c r="E1695" i="4" s="1"/>
  <c r="F1695" i="4"/>
  <c r="G1696" i="4"/>
  <c r="F1696" i="4"/>
  <c r="E1696" i="4" a="1"/>
  <c r="E1696" i="4" s="1"/>
  <c r="G1697" i="4"/>
  <c r="E1697" i="4" a="1"/>
  <c r="E1697" i="4" s="1"/>
  <c r="F1697" i="4"/>
  <c r="E1698" i="4" a="1"/>
  <c r="E1698" i="4" s="1"/>
  <c r="F1698" i="4"/>
  <c r="G1698" i="4"/>
  <c r="E1699" i="4" a="1"/>
  <c r="E1699" i="4" s="1"/>
  <c r="G1699" i="4"/>
  <c r="F1699" i="4"/>
  <c r="G1700" i="4"/>
  <c r="F1700" i="4"/>
  <c r="E1700" i="4" a="1"/>
  <c r="E1700" i="4" s="1"/>
  <c r="E1706" i="4" a="1"/>
  <c r="E1706" i="4" s="1"/>
  <c r="F1706" i="4"/>
  <c r="G1706" i="4"/>
  <c r="E1707" i="4" a="1"/>
  <c r="E1707" i="4" s="1"/>
  <c r="G1707" i="4"/>
  <c r="F1707" i="4"/>
  <c r="G1708" i="4"/>
  <c r="F1708" i="4"/>
  <c r="E1708" i="4" a="1"/>
  <c r="E1708" i="4" s="1"/>
  <c r="E1709" i="4" a="1"/>
  <c r="E1709" i="4" s="1"/>
  <c r="G1709" i="4"/>
  <c r="F1709" i="4"/>
  <c r="E1710" i="4" a="1"/>
  <c r="E1710" i="4" s="1"/>
  <c r="G1710" i="4"/>
  <c r="F1710" i="4"/>
  <c r="E1711" i="4" a="1"/>
  <c r="E1711" i="4" s="1"/>
  <c r="G1711" i="4"/>
  <c r="F1711" i="4"/>
  <c r="G1713" i="4"/>
  <c r="F1713" i="4"/>
  <c r="E1713" i="4" a="1"/>
  <c r="E1713" i="4" s="1"/>
  <c r="F1714" i="4"/>
  <c r="E1714" i="4" a="1"/>
  <c r="E1714" i="4" s="1"/>
  <c r="G1714" i="4"/>
  <c r="E1715" i="4" a="1"/>
  <c r="E1715" i="4" s="1"/>
  <c r="G1715" i="4"/>
  <c r="F1715" i="4"/>
  <c r="G1716" i="4"/>
  <c r="F1716" i="4"/>
  <c r="E1716" i="4" a="1"/>
  <c r="E1716" i="4" s="1"/>
  <c r="G1717" i="4"/>
  <c r="F1717" i="4"/>
  <c r="E1717" i="4" a="1"/>
  <c r="E1717" i="4" s="1"/>
  <c r="G1718" i="4"/>
  <c r="F1718" i="4"/>
  <c r="E1718" i="4" a="1"/>
  <c r="E1718" i="4" s="1"/>
  <c r="F1720" i="4"/>
  <c r="G1720" i="4"/>
  <c r="E1720" i="4" a="1"/>
  <c r="E1720" i="4" s="1"/>
  <c r="G1721" i="4"/>
  <c r="F1721" i="4"/>
  <c r="E1721" i="4" a="1"/>
  <c r="E1721" i="4" s="1"/>
  <c r="E1723" i="4" a="1"/>
  <c r="E1723" i="4" s="1"/>
  <c r="F1723" i="4"/>
  <c r="G1723" i="4"/>
  <c r="G1725" i="4"/>
  <c r="F1725" i="4"/>
  <c r="E1725" i="4" a="1"/>
  <c r="E1725" i="4" s="1"/>
  <c r="E1726" i="4" a="1"/>
  <c r="E1726" i="4" s="1"/>
  <c r="F1726" i="4"/>
  <c r="G1726" i="4"/>
  <c r="E1727" i="4" a="1"/>
  <c r="E1727" i="4" s="1"/>
  <c r="F1727" i="4"/>
  <c r="G1727" i="4"/>
  <c r="E1728" i="4" a="1"/>
  <c r="E1728" i="4" s="1"/>
  <c r="F1728" i="4"/>
  <c r="G1728" i="4"/>
  <c r="E1729" i="4" a="1"/>
  <c r="E1729" i="4" s="1"/>
  <c r="G1729" i="4"/>
  <c r="F1729" i="4"/>
  <c r="G1730" i="4"/>
  <c r="E1730" i="4" a="1"/>
  <c r="E1730" i="4" s="1"/>
  <c r="F1730" i="4"/>
  <c r="G1733" i="4"/>
  <c r="E1733" i="4" a="1"/>
  <c r="E1733" i="4" s="1"/>
  <c r="F1733" i="4"/>
  <c r="G1735" i="4"/>
  <c r="F1735" i="4"/>
  <c r="E1735" i="4" a="1"/>
  <c r="E1735" i="4" s="1"/>
  <c r="F1736" i="4"/>
  <c r="G1736" i="4"/>
  <c r="E1736" i="4" a="1"/>
  <c r="E1736" i="4" s="1"/>
  <c r="F1738" i="4"/>
  <c r="E1738" i="4" a="1"/>
  <c r="E1738" i="4" s="1"/>
  <c r="G1738" i="4"/>
  <c r="E1741" i="4" a="1"/>
  <c r="E1741" i="4" s="1"/>
  <c r="F1741" i="4"/>
  <c r="G1741" i="4"/>
  <c r="G1742" i="4"/>
  <c r="F1742" i="4"/>
  <c r="E1742" i="4" a="1"/>
  <c r="E1742" i="4" s="1"/>
  <c r="E1743" i="4" a="1"/>
  <c r="E1743" i="4" s="1"/>
  <c r="F1743" i="4"/>
  <c r="G1743" i="4"/>
  <c r="E1744" i="4" a="1"/>
  <c r="E1744" i="4" s="1"/>
  <c r="G1744" i="4"/>
  <c r="F1744" i="4"/>
  <c r="G1745" i="4"/>
  <c r="F1745" i="4"/>
  <c r="E1745" i="4" a="1"/>
  <c r="E1745" i="4" s="1"/>
  <c r="G1748" i="4"/>
  <c r="F1748" i="4"/>
  <c r="E1748" i="4" a="1"/>
  <c r="E1748" i="4" s="1"/>
  <c r="G1750" i="4"/>
  <c r="F1750" i="4"/>
  <c r="E1750" i="4" a="1"/>
  <c r="E1750" i="4" s="1"/>
  <c r="G1751" i="4"/>
  <c r="E1751" i="4" a="1"/>
  <c r="E1751" i="4" s="1"/>
  <c r="F1751" i="4"/>
  <c r="F1754" i="4"/>
  <c r="E1754" i="4" a="1"/>
  <c r="E1754" i="4" s="1"/>
  <c r="G1754" i="4"/>
  <c r="G1755" i="4"/>
  <c r="E1755" i="4" a="1"/>
  <c r="E1755" i="4" s="1"/>
  <c r="F1755" i="4"/>
  <c r="E1756" i="4" a="1"/>
  <c r="E1756" i="4" s="1"/>
  <c r="F1756" i="4"/>
  <c r="G1756" i="4"/>
  <c r="G1757" i="4"/>
  <c r="F1757" i="4"/>
  <c r="E1757" i="4" a="1"/>
  <c r="E1757" i="4" s="1"/>
  <c r="G1759" i="4"/>
  <c r="F1759" i="4"/>
  <c r="E1759" i="4" a="1"/>
  <c r="E1759" i="4" s="1"/>
  <c r="F1762" i="4"/>
  <c r="G1762" i="4"/>
  <c r="E1762" i="4" a="1"/>
  <c r="E1762" i="4" s="1"/>
  <c r="G1765" i="4"/>
  <c r="F1765" i="4"/>
  <c r="E1765" i="4" a="1"/>
  <c r="E1765" i="4" s="1"/>
  <c r="G1766" i="4"/>
  <c r="E1766" i="4" a="1"/>
  <c r="E1766" i="4" s="1"/>
  <c r="F1766" i="4"/>
  <c r="G1767" i="4"/>
  <c r="E1767" i="4" a="1"/>
  <c r="E1767" i="4" s="1"/>
  <c r="F1767" i="4"/>
  <c r="G1771" i="4"/>
  <c r="F1771" i="4"/>
  <c r="E1771" i="4" a="1"/>
  <c r="E1771" i="4" s="1"/>
  <c r="E1772" i="4" a="1"/>
  <c r="E1772" i="4" s="1"/>
  <c r="G1772" i="4"/>
  <c r="F1772" i="4"/>
  <c r="F1773" i="4"/>
  <c r="G1773" i="4"/>
  <c r="E1773" i="4" a="1"/>
  <c r="E1773" i="4" s="1"/>
  <c r="E1775" i="4" a="1"/>
  <c r="E1775" i="4" s="1"/>
  <c r="F1775" i="4"/>
  <c r="G1775" i="4"/>
  <c r="F1779" i="4"/>
  <c r="G1779" i="4"/>
  <c r="E1779" i="4" a="1"/>
  <c r="E1779" i="4" s="1"/>
  <c r="G1781" i="4"/>
  <c r="F1781" i="4"/>
  <c r="E1781" i="4" a="1"/>
  <c r="E1781" i="4" s="1"/>
  <c r="G1782" i="4"/>
  <c r="E1782" i="4" a="1"/>
  <c r="E1782" i="4" s="1"/>
  <c r="F1782" i="4"/>
  <c r="F1783" i="4"/>
  <c r="E1783" i="4" a="1"/>
  <c r="E1783" i="4" s="1"/>
  <c r="G1783" i="4"/>
  <c r="F1785" i="4"/>
  <c r="G1785" i="4"/>
  <c r="E1785" i="4" a="1"/>
  <c r="E1785" i="4" s="1"/>
  <c r="F1786" i="4"/>
  <c r="G1786" i="4"/>
  <c r="E1786" i="4" a="1"/>
  <c r="E1786" i="4" s="1"/>
  <c r="G1787" i="4"/>
  <c r="F1787" i="4"/>
  <c r="E1787" i="4" a="1"/>
  <c r="E1787" i="4" s="1"/>
  <c r="E1789" i="4" a="1"/>
  <c r="E1789" i="4" s="1"/>
  <c r="G1789" i="4"/>
  <c r="F1789" i="4"/>
  <c r="G1791" i="4"/>
  <c r="E1791" i="4" a="1"/>
  <c r="E1791" i="4" s="1"/>
  <c r="F1791" i="4"/>
  <c r="G1792" i="4"/>
  <c r="E1792" i="4" a="1"/>
  <c r="E1792" i="4" s="1"/>
  <c r="F1792" i="4"/>
  <c r="G1793" i="4"/>
  <c r="F1793" i="4"/>
  <c r="E1793" i="4" a="1"/>
  <c r="E1793" i="4" s="1"/>
  <c r="G1794" i="4"/>
  <c r="F1794" i="4"/>
  <c r="E1794" i="4" a="1"/>
  <c r="E1794" i="4" s="1"/>
  <c r="G1795" i="4"/>
  <c r="E1795" i="4" a="1"/>
  <c r="E1795" i="4" s="1"/>
  <c r="F1795" i="4"/>
  <c r="G1796" i="4"/>
  <c r="F1796" i="4"/>
  <c r="E1796" i="4" a="1"/>
  <c r="E1796" i="4" s="1"/>
  <c r="E1797" i="4" a="1"/>
  <c r="E1797" i="4" s="1"/>
  <c r="F1797" i="4"/>
  <c r="G1797" i="4"/>
  <c r="F1798" i="4"/>
  <c r="E1798" i="4" a="1"/>
  <c r="E1798" i="4" s="1"/>
  <c r="G1798" i="4"/>
  <c r="E1799" i="4" a="1"/>
  <c r="E1799" i="4" s="1"/>
  <c r="F1799" i="4"/>
  <c r="G1799" i="4"/>
  <c r="E1800" i="4" a="1"/>
  <c r="E1800" i="4" s="1"/>
  <c r="F1800" i="4"/>
  <c r="G1800" i="4"/>
  <c r="G1801" i="4"/>
  <c r="F1801" i="4"/>
  <c r="E1801" i="4" a="1"/>
  <c r="E1801" i="4" s="1"/>
  <c r="F1805" i="4"/>
  <c r="G1805" i="4"/>
  <c r="E1805" i="4" a="1"/>
  <c r="E1805" i="4" s="1"/>
  <c r="E1806" i="4" a="1"/>
  <c r="E1806" i="4" s="1"/>
  <c r="F1806" i="4"/>
  <c r="G1806" i="4"/>
  <c r="G1807" i="4"/>
  <c r="F1807" i="4"/>
  <c r="E1807" i="4" a="1"/>
  <c r="E1807" i="4" s="1"/>
  <c r="F1808" i="4"/>
  <c r="E1808" i="4" a="1"/>
  <c r="E1808" i="4" s="1"/>
  <c r="G1808" i="4"/>
  <c r="F1809" i="4"/>
  <c r="E1809" i="4" a="1"/>
  <c r="E1809" i="4" s="1"/>
  <c r="G1809" i="4"/>
  <c r="G1811" i="4"/>
  <c r="F1811" i="4"/>
  <c r="E1811" i="4" a="1"/>
  <c r="E1811" i="4" s="1"/>
  <c r="E1812" i="4" a="1"/>
  <c r="E1812" i="4" s="1"/>
  <c r="F1812" i="4"/>
  <c r="G1812" i="4"/>
  <c r="G1813" i="4"/>
  <c r="E1813" i="4" a="1"/>
  <c r="E1813" i="4" s="1"/>
  <c r="F1813" i="4"/>
  <c r="G1814" i="4"/>
  <c r="F1814" i="4"/>
  <c r="E1814" i="4" a="1"/>
  <c r="E1814" i="4" s="1"/>
  <c r="G1815" i="4"/>
  <c r="E1815" i="4" a="1"/>
  <c r="E1815" i="4" s="1"/>
  <c r="F1815" i="4"/>
  <c r="E1816" i="4" a="1"/>
  <c r="E1816" i="4" s="1"/>
  <c r="F1816" i="4"/>
  <c r="G1816" i="4"/>
  <c r="E1817" i="4" a="1"/>
  <c r="E1817" i="4" s="1"/>
  <c r="F1817" i="4"/>
  <c r="G1817" i="4"/>
  <c r="E1818" i="4" a="1"/>
  <c r="E1818" i="4" s="1"/>
  <c r="G1818" i="4"/>
  <c r="F1818" i="4"/>
  <c r="G1820" i="4"/>
  <c r="E1820" i="4" a="1"/>
  <c r="E1820" i="4" s="1"/>
  <c r="F1820" i="4"/>
  <c r="G1821" i="4"/>
  <c r="E1821" i="4" a="1"/>
  <c r="E1821" i="4" s="1"/>
  <c r="F1821" i="4"/>
  <c r="F1822" i="4"/>
  <c r="G1822" i="4"/>
  <c r="E1822" i="4" a="1"/>
  <c r="E1822" i="4" s="1"/>
  <c r="G1823" i="4"/>
  <c r="E1823" i="4" a="1"/>
  <c r="E1823" i="4" s="1"/>
  <c r="F1823" i="4"/>
  <c r="G1827" i="4"/>
  <c r="E1827" i="4" a="1"/>
  <c r="E1827" i="4" s="1"/>
  <c r="F1827" i="4"/>
  <c r="G1828" i="4"/>
  <c r="E1828" i="4" a="1"/>
  <c r="E1828" i="4" s="1"/>
  <c r="F1828" i="4"/>
  <c r="G1829" i="4"/>
  <c r="E1829" i="4" a="1"/>
  <c r="E1829" i="4" s="1"/>
  <c r="F1829" i="4"/>
  <c r="G1830" i="4"/>
  <c r="E1830" i="4" a="1"/>
  <c r="E1830" i="4" s="1"/>
  <c r="F1830" i="4"/>
  <c r="E1831" i="4" a="1"/>
  <c r="E1831" i="4" s="1"/>
  <c r="G1831" i="4"/>
  <c r="F1831" i="4"/>
  <c r="E1832" i="4" a="1"/>
  <c r="E1832" i="4" s="1"/>
  <c r="F1832" i="4"/>
  <c r="G1832" i="4"/>
  <c r="F1834" i="4"/>
  <c r="G1834" i="4"/>
  <c r="E1834" i="4" a="1"/>
  <c r="E1834" i="4" s="1"/>
  <c r="F1835" i="4"/>
  <c r="G1835" i="4"/>
  <c r="E1835" i="4" a="1"/>
  <c r="E1835" i="4" s="1"/>
  <c r="G1836" i="4"/>
  <c r="F1836" i="4"/>
  <c r="E1836" i="4" a="1"/>
  <c r="E1836" i="4" s="1"/>
  <c r="E1838" i="4" a="1"/>
  <c r="E1838" i="4" s="1"/>
  <c r="F1838" i="4"/>
  <c r="G1838" i="4"/>
  <c r="E1839" i="4" a="1"/>
  <c r="E1839" i="4" s="1"/>
  <c r="F1839" i="4"/>
  <c r="G1839" i="4"/>
  <c r="E1840" i="4" a="1"/>
  <c r="E1840" i="4" s="1"/>
  <c r="F1840" i="4"/>
  <c r="G1840" i="4"/>
  <c r="E1842" i="4" a="1"/>
  <c r="E1842" i="4" s="1"/>
  <c r="F1842" i="4"/>
  <c r="G1842" i="4"/>
  <c r="E1843" i="4" a="1"/>
  <c r="E1843" i="4" s="1"/>
  <c r="F1843" i="4"/>
  <c r="G1843" i="4"/>
  <c r="G1846" i="4"/>
  <c r="F1846" i="4"/>
  <c r="E1846" i="4" a="1"/>
  <c r="E1846" i="4" s="1"/>
  <c r="F1849" i="4"/>
  <c r="E1849" i="4" a="1"/>
  <c r="E1849" i="4" s="1"/>
  <c r="G1849" i="4"/>
  <c r="G1850" i="4"/>
  <c r="F1850" i="4"/>
  <c r="E1850" i="4" a="1"/>
  <c r="E1850" i="4" s="1"/>
  <c r="F1851" i="4"/>
  <c r="E1851" i="4" a="1"/>
  <c r="E1851" i="4" s="1"/>
  <c r="G1851" i="4"/>
  <c r="G1854" i="4"/>
  <c r="F1854" i="4"/>
  <c r="E1854" i="4" a="1"/>
  <c r="E1854" i="4" s="1"/>
  <c r="G1855" i="4"/>
  <c r="E1855" i="4" a="1"/>
  <c r="E1855" i="4" s="1"/>
  <c r="F1855" i="4"/>
  <c r="E1857" i="4" a="1"/>
  <c r="E1857" i="4" s="1"/>
  <c r="G1857" i="4"/>
  <c r="F1857" i="4"/>
  <c r="G1858" i="4"/>
  <c r="E1858" i="4" a="1"/>
  <c r="E1858" i="4" s="1"/>
  <c r="F1858" i="4"/>
  <c r="G1859" i="4"/>
  <c r="E1859" i="4" a="1"/>
  <c r="E1859" i="4" s="1"/>
  <c r="F1859" i="4"/>
  <c r="F1860" i="4"/>
  <c r="G1860" i="4"/>
  <c r="E1860" i="4" a="1"/>
  <c r="E1860" i="4" s="1"/>
  <c r="E1861" i="4" a="1"/>
  <c r="E1861" i="4" s="1"/>
  <c r="G1861" i="4"/>
  <c r="F1861" i="4"/>
  <c r="E1862" i="4" a="1"/>
  <c r="E1862" i="4" s="1"/>
  <c r="G1862" i="4"/>
  <c r="F1862" i="4"/>
  <c r="F1863" i="4"/>
  <c r="E1863" i="4" a="1"/>
  <c r="E1863" i="4" s="1"/>
  <c r="G1863" i="4"/>
  <c r="E1864" i="4" a="1"/>
  <c r="E1864" i="4" s="1"/>
  <c r="G1864" i="4"/>
  <c r="F1864" i="4"/>
  <c r="G1865" i="4"/>
  <c r="E1865" i="4" a="1"/>
  <c r="E1865" i="4" s="1"/>
  <c r="F1865" i="4"/>
  <c r="E1868" i="4" a="1"/>
  <c r="E1868" i="4" s="1"/>
  <c r="G1868" i="4"/>
  <c r="F1868" i="4"/>
  <c r="G1869" i="4"/>
  <c r="E1869" i="4" a="1"/>
  <c r="E1869" i="4" s="1"/>
  <c r="F1869" i="4"/>
  <c r="G1870" i="4"/>
  <c r="F1870" i="4"/>
  <c r="E1870" i="4" a="1"/>
  <c r="E1870" i="4" s="1"/>
  <c r="G1872" i="4"/>
  <c r="E1872" i="4" a="1"/>
  <c r="E1872" i="4" s="1"/>
  <c r="F1872" i="4"/>
  <c r="E1873" i="4" a="1"/>
  <c r="E1873" i="4" s="1"/>
  <c r="G1873" i="4"/>
  <c r="F1873" i="4"/>
  <c r="E1874" i="4" a="1"/>
  <c r="E1874" i="4" s="1"/>
  <c r="F1874" i="4"/>
  <c r="G1874" i="4"/>
  <c r="F1875" i="4"/>
  <c r="E1875" i="4" a="1"/>
  <c r="E1875" i="4" s="1"/>
  <c r="G1875" i="4"/>
  <c r="F1876" i="4"/>
  <c r="E1876" i="4" a="1"/>
  <c r="E1876" i="4" s="1"/>
  <c r="G1876" i="4"/>
  <c r="G1877" i="4"/>
  <c r="F1877" i="4"/>
  <c r="E1877" i="4" a="1"/>
  <c r="E1877" i="4" s="1"/>
  <c r="E1878" i="4" a="1"/>
  <c r="E1878" i="4" s="1"/>
  <c r="F1878" i="4"/>
  <c r="G1878" i="4"/>
  <c r="G1883" i="4"/>
  <c r="E1883" i="4" a="1"/>
  <c r="E1883" i="4" s="1"/>
  <c r="F1883" i="4"/>
  <c r="G1885" i="4"/>
  <c r="F1885" i="4"/>
  <c r="E1885" i="4" a="1"/>
  <c r="E1885" i="4" s="1"/>
  <c r="G1886" i="4"/>
  <c r="F1886" i="4"/>
  <c r="E1886" i="4" a="1"/>
  <c r="E1886" i="4" s="1"/>
  <c r="E1887" i="4" a="1"/>
  <c r="E1887" i="4" s="1"/>
  <c r="G1887" i="4"/>
  <c r="F1887" i="4"/>
  <c r="E1888" i="4" a="1"/>
  <c r="E1888" i="4" s="1"/>
  <c r="F1888" i="4"/>
  <c r="G1888" i="4"/>
  <c r="F1889" i="4"/>
  <c r="E1889" i="4" a="1"/>
  <c r="E1889" i="4" s="1"/>
  <c r="G1889" i="4"/>
  <c r="E1890" i="4" a="1"/>
  <c r="E1890" i="4" s="1"/>
  <c r="F1890" i="4"/>
  <c r="G1890" i="4"/>
  <c r="E1891" i="4" a="1"/>
  <c r="E1891" i="4" s="1"/>
  <c r="F1891" i="4"/>
  <c r="G1891" i="4"/>
  <c r="E1892" i="4" a="1"/>
  <c r="E1892" i="4" s="1"/>
  <c r="F1892" i="4"/>
  <c r="G1892" i="4"/>
  <c r="E1893" i="4" a="1"/>
  <c r="E1893" i="4" s="1"/>
  <c r="G1893" i="4"/>
  <c r="F1893" i="4"/>
  <c r="E1895" i="4" a="1"/>
  <c r="E1895" i="4" s="1"/>
  <c r="F1895" i="4"/>
  <c r="G1895" i="4"/>
  <c r="E1896" i="4" a="1"/>
  <c r="E1896" i="4" s="1"/>
  <c r="G1896" i="4"/>
  <c r="F1896" i="4"/>
  <c r="G1897" i="4"/>
  <c r="E1897" i="4" a="1"/>
  <c r="E1897" i="4" s="1"/>
  <c r="F1897" i="4"/>
  <c r="G1898" i="4"/>
  <c r="F1898" i="4"/>
  <c r="E1898" i="4" a="1"/>
  <c r="E1898" i="4" s="1"/>
  <c r="F1899" i="4"/>
  <c r="E1899" i="4" a="1"/>
  <c r="E1899" i="4" s="1"/>
  <c r="G1899" i="4"/>
  <c r="F1901" i="4"/>
  <c r="E1901" i="4" a="1"/>
  <c r="E1901" i="4" s="1"/>
  <c r="G1901" i="4"/>
  <c r="F1902" i="4"/>
  <c r="G1902" i="4"/>
  <c r="E1902" i="4" a="1"/>
  <c r="E1902" i="4" s="1"/>
  <c r="G1904" i="4"/>
  <c r="F1904" i="4"/>
  <c r="E1904" i="4" a="1"/>
  <c r="E1904" i="4" s="1"/>
  <c r="E1906" i="4" a="1"/>
  <c r="E1906" i="4" s="1"/>
  <c r="F1906" i="4"/>
  <c r="G1906" i="4"/>
  <c r="F1907" i="4"/>
  <c r="G1907" i="4"/>
  <c r="E1907" i="4" a="1"/>
  <c r="E1907" i="4" s="1"/>
  <c r="G1909" i="4"/>
  <c r="E1909" i="4" a="1"/>
  <c r="E1909" i="4" s="1"/>
  <c r="F1909" i="4"/>
  <c r="E1910" i="4" a="1"/>
  <c r="E1910" i="4" s="1"/>
  <c r="F1910" i="4"/>
  <c r="G1910" i="4"/>
  <c r="E1913" i="4" a="1"/>
  <c r="E1913" i="4" s="1"/>
  <c r="F1913" i="4"/>
  <c r="G1913" i="4"/>
  <c r="G1915" i="4"/>
  <c r="E1915" i="4" a="1"/>
  <c r="E1915" i="4" s="1"/>
  <c r="F1915" i="4"/>
  <c r="F1917" i="4"/>
  <c r="E1917" i="4" a="1"/>
  <c r="E1917" i="4" s="1"/>
  <c r="G1917" i="4"/>
  <c r="G1920" i="4"/>
  <c r="F1920" i="4"/>
  <c r="E1920" i="4" a="1"/>
  <c r="E1920" i="4" s="1"/>
  <c r="G1921" i="4"/>
  <c r="F1921" i="4"/>
  <c r="E1921" i="4" a="1"/>
  <c r="E1921" i="4" s="1"/>
  <c r="F1922" i="4"/>
  <c r="E1922" i="4" a="1"/>
  <c r="E1922" i="4" s="1"/>
  <c r="G1922" i="4"/>
  <c r="F1923" i="4"/>
  <c r="G1923" i="4"/>
  <c r="E1923" i="4" a="1"/>
  <c r="E1923" i="4" s="1"/>
  <c r="F1924" i="4"/>
  <c r="E1924" i="4" a="1"/>
  <c r="E1924" i="4" s="1"/>
  <c r="G1924" i="4"/>
  <c r="F1925" i="4"/>
  <c r="E1925" i="4" a="1"/>
  <c r="E1925" i="4" s="1"/>
  <c r="G1925" i="4"/>
  <c r="G1926" i="4"/>
  <c r="F1926" i="4"/>
  <c r="E1926" i="4" a="1"/>
  <c r="E1926" i="4" s="1"/>
  <c r="E1927" i="4" a="1"/>
  <c r="E1927" i="4" s="1"/>
  <c r="F1927" i="4"/>
  <c r="G1927" i="4"/>
  <c r="G1928" i="4"/>
  <c r="F1928" i="4"/>
  <c r="E1928" i="4" a="1"/>
  <c r="E1928" i="4" s="1"/>
  <c r="F1929" i="4"/>
  <c r="E1929" i="4" a="1"/>
  <c r="E1929" i="4" s="1"/>
  <c r="G1929" i="4"/>
  <c r="F1930" i="4"/>
  <c r="G1930" i="4"/>
  <c r="E1930" i="4" a="1"/>
  <c r="E1930" i="4" s="1"/>
  <c r="G1932" i="4"/>
  <c r="E1932" i="4" a="1"/>
  <c r="E1932" i="4" s="1"/>
  <c r="F1932" i="4"/>
  <c r="E1933" i="4" a="1"/>
  <c r="E1933" i="4" s="1"/>
  <c r="F1933" i="4"/>
  <c r="G1933" i="4"/>
  <c r="F1934" i="4"/>
  <c r="E1934" i="4" a="1"/>
  <c r="E1934" i="4" s="1"/>
  <c r="G1934" i="4"/>
  <c r="E1938" i="4" a="1"/>
  <c r="E1938" i="4" s="1"/>
  <c r="F1938" i="4"/>
  <c r="G1938" i="4"/>
  <c r="G1939" i="4"/>
  <c r="E1939" i="4" a="1"/>
  <c r="E1939" i="4" s="1"/>
  <c r="F1939" i="4"/>
  <c r="G1940" i="4"/>
  <c r="F1940" i="4"/>
  <c r="E1940" i="4" a="1"/>
  <c r="E1940" i="4" s="1"/>
  <c r="G1941" i="4"/>
  <c r="F1941" i="4"/>
  <c r="E1941" i="4" a="1"/>
  <c r="E1941" i="4" s="1"/>
  <c r="G1942" i="4"/>
  <c r="E1942" i="4" a="1"/>
  <c r="E1942" i="4" s="1"/>
  <c r="F1942" i="4"/>
  <c r="G1944" i="4"/>
  <c r="E1944" i="4" a="1"/>
  <c r="E1944" i="4" s="1"/>
  <c r="F1944" i="4"/>
  <c r="G1945" i="4"/>
  <c r="F1945" i="4"/>
  <c r="E1945" i="4" a="1"/>
  <c r="E1945" i="4" s="1"/>
  <c r="E1946" i="4" a="1"/>
  <c r="E1946" i="4" s="1"/>
  <c r="F1946" i="4"/>
  <c r="G1946" i="4"/>
  <c r="E1948" i="4" a="1"/>
  <c r="E1948" i="4" s="1"/>
  <c r="F1948" i="4"/>
  <c r="G1948" i="4"/>
  <c r="E1949" i="4" a="1"/>
  <c r="E1949" i="4" s="1"/>
  <c r="F1949" i="4"/>
  <c r="G1949" i="4"/>
  <c r="G1952" i="4"/>
  <c r="E1952" i="4" a="1"/>
  <c r="E1952" i="4" s="1"/>
  <c r="F1952" i="4"/>
  <c r="F1954" i="4"/>
  <c r="E1954" i="4" a="1"/>
  <c r="E1954" i="4" s="1"/>
  <c r="G1954" i="4"/>
  <c r="E1958" i="4" a="1"/>
  <c r="E1958" i="4" s="1"/>
  <c r="F1958" i="4"/>
  <c r="G1958" i="4"/>
  <c r="E1959" i="4" a="1"/>
  <c r="E1959" i="4" s="1"/>
  <c r="F1959" i="4"/>
  <c r="G1959" i="4"/>
  <c r="F1960" i="4"/>
  <c r="E1960" i="4" a="1"/>
  <c r="E1960" i="4" s="1"/>
  <c r="G1960" i="4"/>
  <c r="F1962" i="4"/>
  <c r="E1962" i="4" a="1"/>
  <c r="E1962" i="4" s="1"/>
  <c r="G1962" i="4"/>
  <c r="F1965" i="4"/>
  <c r="E1965" i="4" a="1"/>
  <c r="E1965" i="4" s="1"/>
  <c r="G1965" i="4"/>
  <c r="F1967" i="4"/>
  <c r="G1967" i="4"/>
  <c r="E1967" i="4" a="1"/>
  <c r="E1967" i="4" s="1"/>
  <c r="G1968" i="4"/>
  <c r="F1968" i="4"/>
  <c r="E1968" i="4" a="1"/>
  <c r="E1968" i="4" s="1"/>
  <c r="F1969" i="4"/>
  <c r="G1969" i="4"/>
  <c r="E1969" i="4" a="1"/>
  <c r="E1969" i="4" s="1"/>
  <c r="E1970" i="4" a="1"/>
  <c r="E1970" i="4" s="1"/>
  <c r="G1970" i="4"/>
  <c r="F1970" i="4"/>
  <c r="F1972" i="4"/>
  <c r="E1972" i="4" a="1"/>
  <c r="E1972" i="4" s="1"/>
  <c r="G1972" i="4"/>
  <c r="G1973" i="4"/>
  <c r="F1973" i="4"/>
  <c r="E1973" i="4" a="1"/>
  <c r="E1973" i="4" s="1"/>
  <c r="E1976" i="4" a="1"/>
  <c r="E1976" i="4" s="1"/>
  <c r="F1976" i="4"/>
  <c r="G1976" i="4"/>
  <c r="F1978" i="4"/>
  <c r="G1978" i="4"/>
  <c r="E1978" i="4" a="1"/>
  <c r="E1978" i="4" s="1"/>
  <c r="F1979" i="4"/>
  <c r="E1979" i="4" a="1"/>
  <c r="E1979" i="4" s="1"/>
  <c r="G1979" i="4"/>
  <c r="G1981" i="4"/>
  <c r="F1981" i="4"/>
  <c r="E1981" i="4" a="1"/>
  <c r="E1981" i="4" s="1"/>
  <c r="F1982" i="4"/>
  <c r="E1982" i="4" a="1"/>
  <c r="E1982" i="4" s="1"/>
  <c r="G1982" i="4"/>
  <c r="G1983" i="4"/>
  <c r="E1983" i="4" a="1"/>
  <c r="E1983" i="4" s="1"/>
  <c r="F1983" i="4"/>
  <c r="G1984" i="4"/>
  <c r="F1984" i="4"/>
  <c r="E1984" i="4" a="1"/>
  <c r="E1984" i="4" s="1"/>
  <c r="F1985" i="4"/>
  <c r="G1985" i="4"/>
  <c r="E1985" i="4" a="1"/>
  <c r="E1985" i="4" s="1"/>
  <c r="G1986" i="4"/>
  <c r="E1986" i="4" a="1"/>
  <c r="E1986" i="4" s="1"/>
  <c r="F1986" i="4"/>
  <c r="F1987" i="4"/>
  <c r="E1987" i="4" a="1"/>
  <c r="E1987" i="4" s="1"/>
  <c r="G1987" i="4"/>
  <c r="G1988" i="4"/>
  <c r="F1988" i="4"/>
  <c r="E1988" i="4" a="1"/>
  <c r="E1988" i="4" s="1"/>
  <c r="E1989" i="4" a="1"/>
  <c r="E1989" i="4" s="1"/>
  <c r="F1989" i="4"/>
  <c r="G1989" i="4"/>
  <c r="E1991" i="4" a="1"/>
  <c r="E1991" i="4" s="1"/>
  <c r="F1991" i="4"/>
  <c r="G1991" i="4"/>
  <c r="G1992" i="4"/>
  <c r="F1992" i="4"/>
  <c r="E1992" i="4" a="1"/>
  <c r="E1992" i="4" s="1"/>
  <c r="E1993" i="4" a="1"/>
  <c r="E1993" i="4" s="1"/>
  <c r="F1993" i="4"/>
  <c r="G1993" i="4"/>
  <c r="F1995" i="4"/>
  <c r="E1995" i="4" a="1"/>
  <c r="E1995" i="4" s="1"/>
  <c r="G1995" i="4"/>
  <c r="G1996" i="4"/>
  <c r="F1996" i="4"/>
  <c r="E1996" i="4" a="1"/>
  <c r="E1996" i="4" s="1"/>
  <c r="G1997" i="4"/>
  <c r="F1997" i="4"/>
  <c r="E1997" i="4" a="1"/>
  <c r="E1997" i="4" s="1"/>
  <c r="G1999" i="4"/>
  <c r="F1999" i="4"/>
  <c r="E1999" i="4" a="1"/>
  <c r="E1999" i="4" s="1"/>
  <c r="F2000" i="4"/>
  <c r="E2000" i="4" a="1"/>
  <c r="E2000" i="4" s="1"/>
  <c r="G2000" i="4"/>
  <c r="G2001" i="4"/>
  <c r="F2001" i="4"/>
  <c r="E2001" i="4" a="1"/>
  <c r="E2001" i="4" s="1"/>
  <c r="F2003" i="4"/>
  <c r="E2003" i="4" a="1"/>
  <c r="E2003" i="4" s="1"/>
  <c r="G2003" i="4"/>
  <c r="F2004" i="4"/>
  <c r="E2004" i="4" a="1"/>
  <c r="E2004" i="4" s="1"/>
  <c r="G2004" i="4"/>
  <c r="G2005" i="4"/>
  <c r="E2005" i="4" a="1"/>
  <c r="E2005" i="4" s="1"/>
  <c r="F2005" i="4"/>
  <c r="E2006" i="4" a="1"/>
  <c r="E2006" i="4" s="1"/>
  <c r="G2006" i="4"/>
  <c r="F2006" i="4"/>
  <c r="F2007" i="4"/>
  <c r="G2007" i="4"/>
  <c r="E2007" i="4" a="1"/>
  <c r="E2007" i="4" s="1"/>
  <c r="E2009" i="4" a="1"/>
  <c r="E2009" i="4" s="1"/>
  <c r="F2009" i="4"/>
  <c r="G2009" i="4"/>
  <c r="E2010" i="4" a="1"/>
  <c r="E2010" i="4" s="1"/>
  <c r="F2010" i="4"/>
  <c r="G2010" i="4"/>
  <c r="G2015" i="4"/>
  <c r="F2015" i="4"/>
  <c r="E2015" i="4" a="1"/>
  <c r="E2015" i="4" s="1"/>
  <c r="G2016" i="4"/>
  <c r="E2016" i="4" a="1"/>
  <c r="E2016" i="4" s="1"/>
  <c r="F2016" i="4"/>
  <c r="G2019" i="4"/>
  <c r="E2019" i="4" a="1"/>
  <c r="E2019" i="4" s="1"/>
  <c r="F2019" i="4"/>
  <c r="E2020" i="4" a="1"/>
  <c r="E2020" i="4" s="1"/>
  <c r="F2020" i="4"/>
  <c r="G2020" i="4"/>
  <c r="G2021" i="4"/>
  <c r="E2021" i="4" a="1"/>
  <c r="E2021" i="4" s="1"/>
  <c r="F2021" i="4"/>
  <c r="F2022" i="4"/>
  <c r="G2022" i="4"/>
  <c r="E2022" i="4" a="1"/>
  <c r="E2022" i="4" s="1"/>
  <c r="G2023" i="4"/>
  <c r="E2023" i="4" a="1"/>
  <c r="E2023" i="4" s="1"/>
  <c r="F2023" i="4"/>
  <c r="G2024" i="4"/>
  <c r="E2024" i="4" a="1"/>
  <c r="E2024" i="4" s="1"/>
  <c r="F2024" i="4"/>
  <c r="E2025" i="4" a="1"/>
  <c r="E2025" i="4" s="1"/>
  <c r="F2025" i="4"/>
  <c r="G2025" i="4"/>
  <c r="F2027" i="4"/>
  <c r="E2027" i="4" a="1"/>
  <c r="E2027" i="4" s="1"/>
  <c r="G2027" i="4"/>
  <c r="F2028" i="4"/>
  <c r="E2028" i="4" a="1"/>
  <c r="E2028" i="4" s="1"/>
  <c r="G2028" i="4"/>
  <c r="E2029" i="4" a="1"/>
  <c r="E2029" i="4" s="1"/>
  <c r="F2029" i="4"/>
  <c r="G2029" i="4"/>
  <c r="F2030" i="4"/>
  <c r="E2030" i="4" a="1"/>
  <c r="E2030" i="4" s="1"/>
  <c r="G2030" i="4"/>
  <c r="F2031" i="4"/>
  <c r="E2031" i="4" a="1"/>
  <c r="E2031" i="4" s="1"/>
  <c r="G2031" i="4"/>
  <c r="F2032" i="4"/>
  <c r="E2032" i="4" a="1"/>
  <c r="E2032" i="4" s="1"/>
  <c r="G2032" i="4"/>
  <c r="E2033" i="4" a="1"/>
  <c r="E2033" i="4" s="1"/>
  <c r="G2033" i="4"/>
  <c r="F2033" i="4"/>
  <c r="E2034" i="4" a="1"/>
  <c r="E2034" i="4" s="1"/>
  <c r="F2034" i="4"/>
  <c r="G2034" i="4"/>
  <c r="F2035" i="4"/>
  <c r="E2035" i="4" a="1"/>
  <c r="E2035" i="4" s="1"/>
  <c r="G2035" i="4"/>
  <c r="E2036" i="4" a="1"/>
  <c r="E2036" i="4" s="1"/>
  <c r="G2036" i="4"/>
  <c r="F2036" i="4"/>
  <c r="G2037" i="4"/>
  <c r="F2037" i="4"/>
  <c r="E2037" i="4" a="1"/>
  <c r="E2037" i="4" s="1"/>
  <c r="F2038" i="4"/>
  <c r="E2038" i="4" a="1"/>
  <c r="E2038" i="4" s="1"/>
  <c r="G2038" i="4"/>
  <c r="F2039" i="4"/>
  <c r="E2039" i="4" a="1"/>
  <c r="E2039" i="4" s="1"/>
  <c r="G2039" i="4"/>
  <c r="E2042" i="4" a="1"/>
  <c r="E2042" i="4" s="1"/>
  <c r="F2042" i="4"/>
  <c r="G2042" i="4"/>
  <c r="F2043" i="4"/>
  <c r="G2043" i="4"/>
  <c r="E2043" i="4" a="1"/>
  <c r="E2043" i="4" s="1"/>
  <c r="G2044" i="4"/>
  <c r="E2044" i="4" a="1"/>
  <c r="E2044" i="4" s="1"/>
  <c r="F2044" i="4"/>
  <c r="G2045" i="4"/>
  <c r="F2045" i="4"/>
  <c r="E2045" i="4" a="1"/>
  <c r="E2045" i="4" s="1"/>
  <c r="F2046" i="4"/>
  <c r="E2046" i="4" a="1"/>
  <c r="E2046" i="4" s="1"/>
  <c r="G2046" i="4"/>
  <c r="G2047" i="4"/>
  <c r="E2047" i="4" a="1"/>
  <c r="E2047" i="4" s="1"/>
  <c r="F2047" i="4"/>
  <c r="F2048" i="4"/>
  <c r="E2048" i="4" a="1"/>
  <c r="E2048" i="4" s="1"/>
  <c r="G2048" i="4"/>
  <c r="E2049" i="4" a="1"/>
  <c r="E2049" i="4" s="1"/>
  <c r="G2049" i="4"/>
  <c r="F2049" i="4"/>
  <c r="F2050" i="4"/>
  <c r="E2050" i="4" a="1"/>
  <c r="E2050" i="4" s="1"/>
  <c r="G2050" i="4"/>
  <c r="F2052" i="4"/>
  <c r="E2052" i="4" a="1"/>
  <c r="E2052" i="4" s="1"/>
  <c r="G2052" i="4"/>
  <c r="F2053" i="4"/>
  <c r="E2053" i="4" a="1"/>
  <c r="E2053" i="4" s="1"/>
  <c r="G2053" i="4"/>
  <c r="G2054" i="4"/>
  <c r="F2054" i="4"/>
  <c r="E2054" i="4" a="1"/>
  <c r="E2054" i="4" s="1"/>
  <c r="G2055" i="4"/>
  <c r="F2055" i="4"/>
  <c r="E2055" i="4" a="1"/>
  <c r="E2055" i="4" s="1"/>
  <c r="G2056" i="4"/>
  <c r="F2056" i="4"/>
  <c r="E2056" i="4" a="1"/>
  <c r="E2056" i="4" s="1"/>
  <c r="G2057" i="4"/>
  <c r="E2057" i="4" a="1"/>
  <c r="E2057" i="4" s="1"/>
  <c r="F2057" i="4"/>
  <c r="F2058" i="4"/>
  <c r="E2058" i="4" a="1"/>
  <c r="E2058" i="4" s="1"/>
  <c r="G2058" i="4"/>
  <c r="G2061" i="4"/>
  <c r="E2061" i="4" a="1"/>
  <c r="E2061" i="4" s="1"/>
  <c r="F2061" i="4"/>
  <c r="E2062" i="4" a="1"/>
  <c r="E2062" i="4" s="1"/>
  <c r="G2062" i="4"/>
  <c r="F2062" i="4"/>
  <c r="F2063" i="4"/>
  <c r="E2063" i="4" a="1"/>
  <c r="E2063" i="4" s="1"/>
  <c r="G2063" i="4"/>
  <c r="E2064" i="4" a="1"/>
  <c r="E2064" i="4" s="1"/>
  <c r="G2064" i="4"/>
  <c r="F2064" i="4"/>
  <c r="F2066" i="4"/>
  <c r="G2066" i="4"/>
  <c r="E2066" i="4" a="1"/>
  <c r="E2066" i="4" s="1"/>
  <c r="F2067" i="4"/>
  <c r="E2067" i="4" a="1"/>
  <c r="E2067" i="4" s="1"/>
  <c r="G2067" i="4"/>
  <c r="E2068" i="4" a="1"/>
  <c r="E2068" i="4" s="1"/>
  <c r="G2068" i="4"/>
  <c r="F2068" i="4"/>
  <c r="G2069" i="4"/>
  <c r="E2069" i="4" a="1"/>
  <c r="E2069" i="4" s="1"/>
  <c r="F2069" i="4"/>
  <c r="G2070" i="4"/>
  <c r="E2070" i="4" a="1"/>
  <c r="E2070" i="4" s="1"/>
  <c r="F2070" i="4"/>
  <c r="G2071" i="4"/>
  <c r="F2071" i="4"/>
  <c r="E2071" i="4" a="1"/>
  <c r="E2071" i="4" s="1"/>
  <c r="E2072" i="4" a="1"/>
  <c r="E2072" i="4" s="1"/>
  <c r="G2072" i="4"/>
  <c r="F2072" i="4"/>
  <c r="F2073" i="4"/>
  <c r="E2073" i="4" a="1"/>
  <c r="E2073" i="4" s="1"/>
  <c r="G2073" i="4"/>
  <c r="F2076" i="4"/>
  <c r="G2076" i="4"/>
  <c r="E2076" i="4" a="1"/>
  <c r="E2076" i="4" s="1"/>
  <c r="F2077" i="4"/>
  <c r="E2077" i="4" a="1"/>
  <c r="E2077" i="4" s="1"/>
  <c r="G2077" i="4"/>
  <c r="F2079" i="4"/>
  <c r="E2079" i="4" a="1"/>
  <c r="E2079" i="4" s="1"/>
  <c r="G2079" i="4"/>
  <c r="E2083" i="4" a="1"/>
  <c r="E2083" i="4" s="1"/>
  <c r="F2083" i="4"/>
  <c r="G2083" i="4"/>
  <c r="F2084" i="4"/>
  <c r="E2084" i="4" a="1"/>
  <c r="E2084" i="4" s="1"/>
  <c r="G2084" i="4"/>
  <c r="F2085" i="4"/>
  <c r="G2085" i="4"/>
  <c r="E2085" i="4" a="1"/>
  <c r="E2085" i="4" s="1"/>
  <c r="F2086" i="4"/>
  <c r="E2086" i="4" a="1"/>
  <c r="E2086" i="4" s="1"/>
  <c r="G2086" i="4"/>
  <c r="F2087" i="4"/>
  <c r="E2087" i="4" a="1"/>
  <c r="E2087" i="4" s="1"/>
  <c r="G2087" i="4"/>
  <c r="F2090" i="4"/>
  <c r="E2090" i="4" a="1"/>
  <c r="E2090" i="4" s="1"/>
  <c r="G2090" i="4"/>
  <c r="F2091" i="4"/>
  <c r="E2091" i="4" a="1"/>
  <c r="E2091" i="4" s="1"/>
  <c r="G2091" i="4"/>
  <c r="E2092" i="4" a="1"/>
  <c r="E2092" i="4" s="1"/>
  <c r="F2092" i="4"/>
  <c r="G2092" i="4"/>
  <c r="E2093" i="4" a="1"/>
  <c r="E2093" i="4" s="1"/>
  <c r="F2093" i="4"/>
  <c r="G2093" i="4"/>
  <c r="E2097" i="4" a="1"/>
  <c r="E2097" i="4" s="1"/>
  <c r="F2097" i="4"/>
  <c r="G2097" i="4"/>
  <c r="F2098" i="4"/>
  <c r="E2098" i="4" a="1"/>
  <c r="E2098" i="4" s="1"/>
  <c r="G2098" i="4"/>
  <c r="E2099" i="4" a="1"/>
  <c r="E2099" i="4" s="1"/>
  <c r="F2099" i="4"/>
  <c r="G2099" i="4"/>
  <c r="E2101" i="4" a="1"/>
  <c r="E2101" i="4" s="1"/>
  <c r="F2101" i="4"/>
  <c r="G2101" i="4"/>
  <c r="E2102" i="4" a="1"/>
  <c r="E2102" i="4" s="1"/>
  <c r="F2102" i="4"/>
  <c r="G2102" i="4"/>
  <c r="F2103" i="4"/>
  <c r="G2103" i="4"/>
  <c r="E2103" i="4" a="1"/>
  <c r="E2103" i="4" s="1"/>
  <c r="E2104" i="4" a="1"/>
  <c r="E2104" i="4" s="1"/>
  <c r="G2104" i="4"/>
  <c r="F2104" i="4"/>
  <c r="E2107" i="4" a="1"/>
  <c r="E2107" i="4" s="1"/>
  <c r="F2107" i="4"/>
  <c r="G2107" i="4"/>
  <c r="E2108" i="4" a="1"/>
  <c r="E2108" i="4" s="1"/>
  <c r="F2108" i="4"/>
  <c r="G2108" i="4"/>
  <c r="G2110" i="4"/>
  <c r="E2110" i="4" a="1"/>
  <c r="E2110" i="4" s="1"/>
  <c r="F2110" i="4"/>
  <c r="F2111" i="4"/>
  <c r="E2111" i="4" a="1"/>
  <c r="E2111" i="4" s="1"/>
  <c r="G2111" i="4"/>
  <c r="E2112" i="4" a="1"/>
  <c r="E2112" i="4" s="1"/>
  <c r="F2112" i="4"/>
  <c r="G2112" i="4"/>
  <c r="G2113" i="4"/>
  <c r="E2113" i="4" a="1"/>
  <c r="E2113" i="4" s="1"/>
  <c r="F2113" i="4"/>
  <c r="E2114" i="4" a="1"/>
  <c r="E2114" i="4" s="1"/>
  <c r="G2114" i="4"/>
  <c r="F2114" i="4"/>
  <c r="G2115" i="4"/>
  <c r="E2115" i="4" a="1"/>
  <c r="E2115" i="4" s="1"/>
  <c r="F2115" i="4"/>
  <c r="E2116" i="4" a="1"/>
  <c r="E2116" i="4" s="1"/>
  <c r="F2116" i="4"/>
  <c r="G2116" i="4"/>
  <c r="E2117" i="4" a="1"/>
  <c r="E2117" i="4" s="1"/>
  <c r="F2117" i="4"/>
  <c r="G2117" i="4"/>
  <c r="G2118" i="4"/>
  <c r="E2118" i="4" a="1"/>
  <c r="E2118" i="4" s="1"/>
  <c r="F2118" i="4"/>
  <c r="G2119" i="4"/>
  <c r="E2119" i="4" a="1"/>
  <c r="E2119" i="4" s="1"/>
  <c r="F2119" i="4"/>
  <c r="F2122" i="4"/>
  <c r="G2122" i="4"/>
  <c r="E2122" i="4" a="1"/>
  <c r="E2122" i="4" s="1"/>
  <c r="G2123" i="4"/>
  <c r="F2123" i="4"/>
  <c r="E2123" i="4" a="1"/>
  <c r="E2123" i="4" s="1"/>
  <c r="F2124" i="4"/>
  <c r="G2124" i="4"/>
  <c r="E2124" i="4" a="1"/>
  <c r="E2124" i="4" s="1"/>
  <c r="G2125" i="4"/>
  <c r="E2125" i="4" a="1"/>
  <c r="E2125" i="4" s="1"/>
  <c r="F2125" i="4"/>
  <c r="E2126" i="4" a="1"/>
  <c r="E2126" i="4" s="1"/>
  <c r="G2126" i="4"/>
  <c r="F2126" i="4"/>
  <c r="G2127" i="4"/>
  <c r="F2127" i="4"/>
  <c r="E2127" i="4" a="1"/>
  <c r="E2127" i="4" s="1"/>
  <c r="F2129" i="4"/>
  <c r="G2129" i="4"/>
  <c r="E2129" i="4" a="1"/>
  <c r="E2129" i="4" s="1"/>
  <c r="G2130" i="4"/>
  <c r="E2130" i="4" a="1"/>
  <c r="E2130" i="4" s="1"/>
  <c r="F2130" i="4"/>
  <c r="E2131" i="4" a="1"/>
  <c r="E2131" i="4" s="1"/>
  <c r="F2131" i="4"/>
  <c r="G2131" i="4"/>
  <c r="G2132" i="4"/>
  <c r="E2132" i="4" a="1"/>
  <c r="E2132" i="4" s="1"/>
  <c r="F2132" i="4"/>
  <c r="F2134" i="4"/>
  <c r="E2134" i="4" a="1"/>
  <c r="E2134" i="4" s="1"/>
  <c r="G2134" i="4"/>
  <c r="G2135" i="4"/>
  <c r="F2135" i="4"/>
  <c r="E2135" i="4" a="1"/>
  <c r="E2135" i="4" s="1"/>
  <c r="F2136" i="4"/>
  <c r="E2136" i="4" a="1"/>
  <c r="E2136" i="4" s="1"/>
  <c r="G2136" i="4"/>
  <c r="G2137" i="4"/>
  <c r="E2137" i="4" a="1"/>
  <c r="E2137" i="4" s="1"/>
  <c r="F2137" i="4"/>
  <c r="E2138" i="4" a="1"/>
  <c r="E2138" i="4" s="1"/>
  <c r="F2138" i="4"/>
  <c r="G2138" i="4"/>
  <c r="F2139" i="4"/>
  <c r="G2139" i="4"/>
  <c r="E2139" i="4" a="1"/>
  <c r="E2139" i="4" s="1"/>
  <c r="E2144" i="4" a="1"/>
  <c r="E2144" i="4" s="1"/>
  <c r="F2144" i="4"/>
  <c r="G2144" i="4"/>
  <c r="E2145" i="4" a="1"/>
  <c r="E2145" i="4" s="1"/>
  <c r="F2145" i="4"/>
  <c r="G2145" i="4"/>
  <c r="E2147" i="4" a="1"/>
  <c r="E2147" i="4" s="1"/>
  <c r="F2147" i="4"/>
  <c r="G2147" i="4"/>
  <c r="E2151" i="4" a="1"/>
  <c r="E2151" i="4" s="1"/>
  <c r="G2151" i="4"/>
  <c r="F2151" i="4"/>
  <c r="G2152" i="4"/>
  <c r="E2152" i="4" a="1"/>
  <c r="E2152" i="4" s="1"/>
  <c r="F2152" i="4"/>
  <c r="F2153" i="4"/>
  <c r="E2153" i="4" a="1"/>
  <c r="E2153" i="4" s="1"/>
  <c r="G2153" i="4"/>
  <c r="E2154" i="4" a="1"/>
  <c r="E2154" i="4" s="1"/>
  <c r="F2154" i="4"/>
  <c r="G2154" i="4"/>
  <c r="F2155" i="4"/>
  <c r="E2155" i="4" a="1"/>
  <c r="E2155" i="4" s="1"/>
  <c r="G2155" i="4"/>
  <c r="E2158" i="4" a="1"/>
  <c r="E2158" i="4" s="1"/>
  <c r="F2158" i="4"/>
  <c r="G2158" i="4"/>
  <c r="F2160" i="4"/>
  <c r="E2160" i="4" a="1"/>
  <c r="E2160" i="4" s="1"/>
  <c r="G2160" i="4"/>
  <c r="E2161" i="4" a="1"/>
  <c r="E2161" i="4" s="1"/>
  <c r="G2161" i="4"/>
  <c r="F2161" i="4"/>
  <c r="E2162" i="4" a="1"/>
  <c r="E2162" i="4" s="1"/>
  <c r="F2162" i="4"/>
  <c r="G2162" i="4"/>
  <c r="F2163" i="4"/>
  <c r="E2163" i="4" a="1"/>
  <c r="E2163" i="4" s="1"/>
  <c r="G2163" i="4"/>
  <c r="E2164" i="4" a="1"/>
  <c r="E2164" i="4" s="1"/>
  <c r="G2164" i="4"/>
  <c r="F2164" i="4"/>
  <c r="G2166" i="4"/>
  <c r="E2166" i="4" a="1"/>
  <c r="E2166" i="4" s="1"/>
  <c r="F2166" i="4"/>
  <c r="G2168" i="4"/>
  <c r="F2168" i="4"/>
  <c r="E2168" i="4" a="1"/>
  <c r="E2168" i="4" s="1"/>
  <c r="G2169" i="4"/>
  <c r="F2169" i="4"/>
  <c r="E2169" i="4" a="1"/>
  <c r="E2169" i="4" s="1"/>
  <c r="G2171" i="4"/>
  <c r="F2171" i="4"/>
  <c r="E2171" i="4" a="1"/>
  <c r="E2171" i="4" s="1"/>
  <c r="F2172" i="4"/>
  <c r="G2172" i="4"/>
  <c r="E2172" i="4" a="1"/>
  <c r="E2172" i="4" s="1"/>
  <c r="E2173" i="4" a="1"/>
  <c r="E2173" i="4" s="1"/>
  <c r="G2173" i="4"/>
  <c r="F2173" i="4"/>
  <c r="E2175" i="4" a="1"/>
  <c r="E2175" i="4" s="1"/>
  <c r="G2175" i="4"/>
  <c r="F2175" i="4"/>
  <c r="E2176" i="4" a="1"/>
  <c r="E2176" i="4" s="1"/>
  <c r="G2176" i="4"/>
  <c r="F2176" i="4"/>
  <c r="F2177" i="4"/>
  <c r="E2177" i="4" a="1"/>
  <c r="E2177" i="4" s="1"/>
  <c r="G2177" i="4"/>
  <c r="F2178" i="4"/>
  <c r="E2178" i="4" a="1"/>
  <c r="E2178" i="4" s="1"/>
  <c r="G2178" i="4"/>
  <c r="E2179" i="4" a="1"/>
  <c r="E2179" i="4" s="1"/>
  <c r="F2179" i="4"/>
  <c r="G2179" i="4"/>
  <c r="F2180" i="4"/>
  <c r="E2180" i="4" a="1"/>
  <c r="E2180" i="4" s="1"/>
  <c r="G2180" i="4"/>
  <c r="G2181" i="4"/>
  <c r="F2181" i="4"/>
  <c r="E2181" i="4" a="1"/>
  <c r="E2181" i="4" s="1"/>
  <c r="E2182" i="4" a="1"/>
  <c r="E2182" i="4" s="1"/>
  <c r="G2182" i="4"/>
  <c r="F2182" i="4"/>
  <c r="F2183" i="4"/>
  <c r="G2183" i="4"/>
  <c r="E2183" i="4" a="1"/>
  <c r="E2183" i="4" s="1"/>
  <c r="G2184" i="4"/>
  <c r="F2184" i="4"/>
  <c r="E2184" i="4" a="1"/>
  <c r="E2184" i="4" s="1"/>
  <c r="G2185" i="4"/>
  <c r="F2185" i="4"/>
  <c r="E2185" i="4" a="1"/>
  <c r="E2185" i="4" s="1"/>
  <c r="E2186" i="4" a="1"/>
  <c r="E2186" i="4" s="1"/>
  <c r="G2186" i="4"/>
  <c r="F2186" i="4"/>
  <c r="G2187" i="4"/>
  <c r="E2187" i="4" a="1"/>
  <c r="E2187" i="4" s="1"/>
  <c r="F2187" i="4"/>
  <c r="F2188" i="4"/>
  <c r="E2188" i="4" a="1"/>
  <c r="E2188" i="4" s="1"/>
  <c r="G2188" i="4"/>
  <c r="G2189" i="4"/>
  <c r="F2189" i="4"/>
  <c r="E2189" i="4" a="1"/>
  <c r="E2189" i="4" s="1"/>
  <c r="F2190" i="4"/>
  <c r="G2190" i="4"/>
  <c r="E2190" i="4" a="1"/>
  <c r="E2190" i="4" s="1"/>
  <c r="F2191" i="4"/>
  <c r="E2191" i="4" a="1"/>
  <c r="E2191" i="4" s="1"/>
  <c r="G2191" i="4"/>
  <c r="E2193" i="4" a="1"/>
  <c r="E2193" i="4" s="1"/>
  <c r="G2193" i="4"/>
  <c r="F2193" i="4"/>
  <c r="E2194" i="4" a="1"/>
  <c r="E2194" i="4" s="1"/>
  <c r="F2194" i="4"/>
  <c r="G2194" i="4"/>
  <c r="G2196" i="4"/>
  <c r="F2196" i="4"/>
  <c r="E2196" i="4" a="1"/>
  <c r="E2196" i="4" s="1"/>
  <c r="E2197" i="4" a="1"/>
  <c r="E2197" i="4" s="1"/>
  <c r="G2197" i="4"/>
  <c r="F2197" i="4"/>
  <c r="G2198" i="4"/>
  <c r="E2198" i="4" a="1"/>
  <c r="E2198" i="4" s="1"/>
  <c r="F2198" i="4"/>
  <c r="F2199" i="4"/>
  <c r="E2199" i="4" a="1"/>
  <c r="E2199" i="4" s="1"/>
  <c r="G2199" i="4"/>
  <c r="F2200" i="4"/>
  <c r="G2200" i="4"/>
  <c r="E2200" i="4" a="1"/>
  <c r="E2200" i="4" s="1"/>
  <c r="F2201" i="4"/>
  <c r="G2201" i="4"/>
  <c r="E2201" i="4" a="1"/>
  <c r="E2201" i="4" s="1"/>
  <c r="E2202" i="4" a="1"/>
  <c r="E2202" i="4" s="1"/>
  <c r="F2202" i="4"/>
  <c r="G2202" i="4"/>
  <c r="F2204" i="4"/>
  <c r="E2204" i="4" a="1"/>
  <c r="E2204" i="4" s="1"/>
  <c r="G2204" i="4"/>
  <c r="E2205" i="4" a="1"/>
  <c r="E2205" i="4" s="1"/>
  <c r="F2205" i="4"/>
  <c r="G2205" i="4"/>
  <c r="F2206" i="4"/>
  <c r="E2206" i="4" a="1"/>
  <c r="E2206" i="4" s="1"/>
  <c r="G2206" i="4"/>
  <c r="F2207" i="4"/>
  <c r="G2207" i="4"/>
  <c r="E2207" i="4" a="1"/>
  <c r="E2207" i="4" s="1"/>
  <c r="G2208" i="4"/>
  <c r="E2208" i="4" a="1"/>
  <c r="E2208" i="4" s="1"/>
  <c r="F2208" i="4"/>
  <c r="G2209" i="4"/>
  <c r="F2209" i="4"/>
  <c r="E2209" i="4" a="1"/>
  <c r="E2209" i="4" s="1"/>
  <c r="F2210" i="4"/>
  <c r="E2210" i="4" a="1"/>
  <c r="E2210" i="4" s="1"/>
  <c r="G2210" i="4"/>
  <c r="G2211" i="4"/>
  <c r="F2211" i="4"/>
  <c r="E2211" i="4" a="1"/>
  <c r="E2211" i="4" s="1"/>
  <c r="G2212" i="4"/>
  <c r="E2212" i="4" a="1"/>
  <c r="E2212" i="4" s="1"/>
  <c r="F2212" i="4"/>
  <c r="E2213" i="4" a="1"/>
  <c r="E2213" i="4" s="1"/>
  <c r="F2213" i="4"/>
  <c r="G2213" i="4"/>
  <c r="G2214" i="4"/>
  <c r="F2214" i="4"/>
  <c r="E2214" i="4" a="1"/>
  <c r="E2214" i="4" s="1"/>
  <c r="G2215" i="4"/>
  <c r="E2215" i="4" a="1"/>
  <c r="E2215" i="4" s="1"/>
  <c r="F2215" i="4"/>
  <c r="F2216" i="4"/>
  <c r="G2216" i="4"/>
  <c r="E2216" i="4" a="1"/>
  <c r="E2216" i="4" s="1"/>
  <c r="E2217" i="4" a="1"/>
  <c r="E2217" i="4" s="1"/>
  <c r="F2217" i="4"/>
  <c r="G2217" i="4"/>
  <c r="E2218" i="4" a="1"/>
  <c r="E2218" i="4" s="1"/>
  <c r="F2218" i="4"/>
  <c r="G2218" i="4"/>
  <c r="F2219" i="4"/>
  <c r="G2219" i="4"/>
  <c r="E2219" i="4" a="1"/>
  <c r="E2219" i="4" s="1"/>
  <c r="E2220" i="4" a="1"/>
  <c r="E2220" i="4" s="1"/>
  <c r="G2220" i="4"/>
  <c r="F2220" i="4"/>
  <c r="E2221" i="4" a="1"/>
  <c r="E2221" i="4" s="1"/>
  <c r="G2221" i="4"/>
  <c r="F2221" i="4"/>
  <c r="E2222" i="4" a="1"/>
  <c r="E2222" i="4" s="1"/>
  <c r="F2222" i="4"/>
  <c r="G2222" i="4"/>
  <c r="G2224" i="4"/>
  <c r="F2224" i="4"/>
  <c r="E2224" i="4" a="1"/>
  <c r="E2224" i="4" s="1"/>
  <c r="F2225" i="4"/>
  <c r="E2225" i="4" a="1"/>
  <c r="E2225" i="4" s="1"/>
  <c r="G2225" i="4"/>
  <c r="F2226" i="4"/>
  <c r="E2226" i="4" a="1"/>
  <c r="E2226" i="4" s="1"/>
  <c r="G2226" i="4"/>
  <c r="E2227" i="4" a="1"/>
  <c r="E2227" i="4" s="1"/>
  <c r="F2227" i="4"/>
  <c r="G2227" i="4"/>
  <c r="F2228" i="4"/>
  <c r="E2228" i="4" a="1"/>
  <c r="E2228" i="4" s="1"/>
  <c r="G2228" i="4"/>
  <c r="G2229" i="4"/>
  <c r="E2229" i="4" a="1"/>
  <c r="E2229" i="4" s="1"/>
  <c r="F2229" i="4"/>
  <c r="E2230" i="4" a="1"/>
  <c r="E2230" i="4" s="1"/>
  <c r="G2230" i="4"/>
  <c r="F2230" i="4"/>
  <c r="G2233" i="4"/>
  <c r="F2233" i="4"/>
  <c r="E2233" i="4" a="1"/>
  <c r="E2233" i="4" s="1"/>
  <c r="E2235" i="4" a="1"/>
  <c r="E2235" i="4" s="1"/>
  <c r="F2235" i="4"/>
  <c r="G2235" i="4"/>
  <c r="E2236" i="4" a="1"/>
  <c r="E2236" i="4" s="1"/>
  <c r="G2236" i="4"/>
  <c r="F2236" i="4"/>
  <c r="G2237" i="4"/>
  <c r="F2237" i="4"/>
  <c r="E2237" i="4" a="1"/>
  <c r="E2237" i="4" s="1"/>
  <c r="E2239" i="4" a="1"/>
  <c r="E2239" i="4" s="1"/>
  <c r="F2239" i="4"/>
  <c r="G2239" i="4"/>
  <c r="F2240" i="4"/>
  <c r="E2240" i="4" a="1"/>
  <c r="E2240" i="4" s="1"/>
  <c r="G2240" i="4"/>
  <c r="F2241" i="4"/>
  <c r="E2241" i="4" a="1"/>
  <c r="E2241" i="4" s="1"/>
  <c r="G2241" i="4"/>
  <c r="G2243" i="4"/>
  <c r="E2243" i="4" a="1"/>
  <c r="E2243" i="4" s="1"/>
  <c r="F2243" i="4"/>
  <c r="E2244" i="4" a="1"/>
  <c r="E2244" i="4" s="1"/>
  <c r="F2244" i="4"/>
  <c r="G2244" i="4"/>
  <c r="G2246" i="4"/>
  <c r="E2246" i="4" a="1"/>
  <c r="E2246" i="4" s="1"/>
  <c r="F2246" i="4"/>
  <c r="F2247" i="4"/>
  <c r="E2247" i="4" a="1"/>
  <c r="E2247" i="4" s="1"/>
  <c r="G2247" i="4"/>
  <c r="G2248" i="4"/>
  <c r="E2248" i="4" a="1"/>
  <c r="E2248" i="4" s="1"/>
  <c r="F2248" i="4"/>
  <c r="E2249" i="4" a="1"/>
  <c r="E2249" i="4" s="1"/>
  <c r="F2249" i="4"/>
  <c r="G2249" i="4"/>
  <c r="G2250" i="4"/>
  <c r="F2250" i="4"/>
  <c r="E2250" i="4" a="1"/>
  <c r="E2250" i="4" s="1"/>
  <c r="E2251" i="4" a="1"/>
  <c r="E2251" i="4" s="1"/>
  <c r="F2251" i="4"/>
  <c r="G2251" i="4"/>
  <c r="G2252" i="4"/>
  <c r="E2252" i="4" a="1"/>
  <c r="E2252" i="4" s="1"/>
  <c r="F2252" i="4"/>
  <c r="E2255" i="4" a="1"/>
  <c r="E2255" i="4" s="1"/>
  <c r="F2255" i="4"/>
  <c r="G2255" i="4"/>
  <c r="G2256" i="4"/>
  <c r="E2256" i="4" a="1"/>
  <c r="E2256" i="4" s="1"/>
  <c r="F2256" i="4"/>
  <c r="E2257" i="4" a="1"/>
  <c r="E2257" i="4" s="1"/>
  <c r="F2257" i="4"/>
  <c r="G2257" i="4"/>
  <c r="E2259" i="4" a="1"/>
  <c r="E2259" i="4" s="1"/>
  <c r="F2259" i="4"/>
  <c r="G2259" i="4"/>
  <c r="F2261" i="4"/>
  <c r="E2261" i="4" a="1"/>
  <c r="E2261" i="4" s="1"/>
  <c r="G2261" i="4"/>
  <c r="G2263" i="4"/>
  <c r="E2263" i="4" a="1"/>
  <c r="E2263" i="4" s="1"/>
  <c r="F2263" i="4"/>
  <c r="G2266" i="4"/>
  <c r="E2266" i="4" a="1"/>
  <c r="E2266" i="4" s="1"/>
  <c r="F2266" i="4"/>
  <c r="E2267" i="4" a="1"/>
  <c r="E2267" i="4" s="1"/>
  <c r="F2267" i="4"/>
  <c r="G2267" i="4"/>
  <c r="G2268" i="4"/>
  <c r="E2268" i="4" a="1"/>
  <c r="E2268" i="4" s="1"/>
  <c r="F2268" i="4"/>
  <c r="G2269" i="4"/>
  <c r="F2269" i="4"/>
  <c r="E2269" i="4" a="1"/>
  <c r="E2269" i="4" s="1"/>
  <c r="E2270" i="4" a="1"/>
  <c r="E2270" i="4" s="1"/>
  <c r="F2270" i="4"/>
  <c r="G2270" i="4"/>
  <c r="G2271" i="4"/>
  <c r="E2271" i="4" a="1"/>
  <c r="E2271" i="4" s="1"/>
  <c r="F2271" i="4"/>
  <c r="G2272" i="4"/>
  <c r="F2272" i="4"/>
  <c r="E2272" i="4" a="1"/>
  <c r="E2272" i="4" s="1"/>
  <c r="G2273" i="4"/>
  <c r="E2273" i="4" a="1"/>
  <c r="E2273" i="4" s="1"/>
  <c r="F2273" i="4"/>
  <c r="F2274" i="4"/>
  <c r="G2274" i="4"/>
  <c r="E2274" i="4" a="1"/>
  <c r="E2274" i="4" s="1"/>
  <c r="G2275" i="4"/>
  <c r="F2275" i="4"/>
  <c r="E2275" i="4" a="1"/>
  <c r="E2275" i="4" s="1"/>
  <c r="F2281" i="4"/>
  <c r="E2281" i="4" a="1"/>
  <c r="E2281" i="4" s="1"/>
  <c r="G2281" i="4"/>
  <c r="F2282" i="4"/>
  <c r="E2282" i="4" a="1"/>
  <c r="E2282" i="4" s="1"/>
  <c r="G2282" i="4"/>
  <c r="E2283" i="4" a="1"/>
  <c r="E2283" i="4" s="1"/>
  <c r="G2283" i="4"/>
  <c r="F2283" i="4"/>
  <c r="G2284" i="4"/>
  <c r="F2284" i="4"/>
  <c r="E2284" i="4" a="1"/>
  <c r="E2284" i="4" s="1"/>
  <c r="E2285" i="4" a="1"/>
  <c r="E2285" i="4" s="1"/>
  <c r="G2285" i="4"/>
  <c r="F2285" i="4"/>
  <c r="G2288" i="4"/>
  <c r="F2288" i="4"/>
  <c r="E2288" i="4" a="1"/>
  <c r="E2288" i="4" s="1"/>
  <c r="E2289" i="4" a="1"/>
  <c r="E2289" i="4" s="1"/>
  <c r="F2289" i="4"/>
  <c r="G2289" i="4"/>
  <c r="G2290" i="4"/>
  <c r="F2290" i="4"/>
  <c r="E2290" i="4" a="1"/>
  <c r="E2290" i="4" s="1"/>
  <c r="F2292" i="4"/>
  <c r="G2292" i="4"/>
  <c r="E2292" i="4" a="1"/>
  <c r="E2292" i="4" s="1"/>
  <c r="E2294" i="4" a="1"/>
  <c r="E2294" i="4" s="1"/>
  <c r="F2294" i="4"/>
  <c r="G2294" i="4"/>
  <c r="E2296" i="4" a="1"/>
  <c r="E2296" i="4" s="1"/>
  <c r="G2296" i="4"/>
  <c r="F2296" i="4"/>
  <c r="E2297" i="4" a="1"/>
  <c r="E2297" i="4" s="1"/>
  <c r="G2297" i="4"/>
  <c r="F2297" i="4"/>
  <c r="E2298" i="4" a="1"/>
  <c r="E2298" i="4" s="1"/>
  <c r="G2298" i="4"/>
  <c r="F2298" i="4"/>
  <c r="G2299" i="4"/>
  <c r="F2299" i="4"/>
  <c r="E2299" i="4" a="1"/>
  <c r="E2299" i="4" s="1"/>
  <c r="E2302" i="4" a="1"/>
  <c r="E2302" i="4" s="1"/>
  <c r="F2302" i="4"/>
  <c r="G2302" i="4"/>
  <c r="F2305" i="4"/>
  <c r="E2305" i="4" a="1"/>
  <c r="E2305" i="4" s="1"/>
  <c r="G2305" i="4"/>
  <c r="E2306" i="4" a="1"/>
  <c r="E2306" i="4" s="1"/>
  <c r="F2306" i="4"/>
  <c r="G2306" i="4"/>
  <c r="G2307" i="4"/>
  <c r="F2307" i="4"/>
  <c r="E2307" i="4" a="1"/>
  <c r="E2307" i="4" s="1"/>
  <c r="F2309" i="4"/>
  <c r="E2309" i="4" a="1"/>
  <c r="E2309" i="4" s="1"/>
  <c r="G2309" i="4"/>
  <c r="E2310" i="4" a="1"/>
  <c r="E2310" i="4" s="1"/>
  <c r="G2310" i="4"/>
  <c r="F2310" i="4"/>
  <c r="G2311" i="4"/>
  <c r="E2311" i="4" a="1"/>
  <c r="E2311" i="4" s="1"/>
  <c r="F2311" i="4"/>
  <c r="E2312" i="4" a="1"/>
  <c r="E2312" i="4" s="1"/>
  <c r="G2312" i="4"/>
  <c r="F2312" i="4"/>
  <c r="G2314" i="4"/>
  <c r="F2314" i="4"/>
  <c r="E2314" i="4" a="1"/>
  <c r="E2314" i="4" s="1"/>
  <c r="E2315" i="4" a="1"/>
  <c r="E2315" i="4" s="1"/>
  <c r="G2315" i="4"/>
  <c r="F2315" i="4"/>
  <c r="F2316" i="4"/>
  <c r="G2316" i="4"/>
  <c r="E2316" i="4" a="1"/>
  <c r="E2316" i="4" s="1"/>
  <c r="E2317" i="4" a="1"/>
  <c r="E2317" i="4" s="1"/>
  <c r="G2317" i="4"/>
  <c r="F2317" i="4"/>
  <c r="G2318" i="4"/>
  <c r="F2318" i="4"/>
  <c r="E2318" i="4" a="1"/>
  <c r="E2318" i="4" s="1"/>
  <c r="G2320" i="4"/>
  <c r="F2320" i="4"/>
  <c r="E2320" i="4" a="1"/>
  <c r="E2320" i="4" s="1"/>
  <c r="G2323" i="4"/>
  <c r="E2323" i="4" a="1"/>
  <c r="E2323" i="4" s="1"/>
  <c r="F2323" i="4"/>
  <c r="E2324" i="4" a="1"/>
  <c r="E2324" i="4" s="1"/>
  <c r="F2324" i="4"/>
  <c r="G2324" i="4"/>
  <c r="F2325" i="4"/>
  <c r="G2325" i="4"/>
  <c r="E2325" i="4" a="1"/>
  <c r="E2325" i="4" s="1"/>
  <c r="G2327" i="4"/>
  <c r="E2327" i="4" a="1"/>
  <c r="E2327" i="4" s="1"/>
  <c r="F2327" i="4"/>
  <c r="G2328" i="4"/>
  <c r="E2328" i="4" a="1"/>
  <c r="E2328" i="4" s="1"/>
  <c r="F2328" i="4"/>
  <c r="E2329" i="4" a="1"/>
  <c r="E2329" i="4" s="1"/>
  <c r="F2329" i="4"/>
  <c r="G2329" i="4"/>
  <c r="E2330" i="4" a="1"/>
  <c r="E2330" i="4" s="1"/>
  <c r="G2330" i="4"/>
  <c r="F2330" i="4"/>
  <c r="F2331" i="4"/>
  <c r="G2331" i="4"/>
  <c r="E2331" i="4" a="1"/>
  <c r="E2331" i="4" s="1"/>
  <c r="F2332" i="4"/>
  <c r="E2332" i="4" a="1"/>
  <c r="E2332" i="4" s="1"/>
  <c r="G2332" i="4"/>
  <c r="F2333" i="4"/>
  <c r="E2333" i="4" a="1"/>
  <c r="E2333" i="4" s="1"/>
  <c r="G2333" i="4"/>
  <c r="E2334" i="4" a="1"/>
  <c r="E2334" i="4" s="1"/>
  <c r="G2334" i="4"/>
  <c r="F2334" i="4"/>
  <c r="F2335" i="4"/>
  <c r="E2335" i="4" a="1"/>
  <c r="E2335" i="4" s="1"/>
  <c r="G2335" i="4"/>
  <c r="G2336" i="4"/>
  <c r="F2336" i="4"/>
  <c r="E2336" i="4" a="1"/>
  <c r="E2336" i="4" s="1"/>
  <c r="E2337" i="4" a="1"/>
  <c r="E2337" i="4" s="1"/>
  <c r="F2337" i="4"/>
  <c r="G2337" i="4"/>
  <c r="G2338" i="4"/>
  <c r="E2338" i="4" a="1"/>
  <c r="E2338" i="4" s="1"/>
  <c r="F2338" i="4"/>
  <c r="G2339" i="4"/>
  <c r="E2339" i="4" a="1"/>
  <c r="E2339" i="4" s="1"/>
  <c r="F2339" i="4"/>
  <c r="G2340" i="4"/>
  <c r="F2340" i="4"/>
  <c r="E2340" i="4" a="1"/>
  <c r="E2340" i="4" s="1"/>
  <c r="E2341" i="4" a="1"/>
  <c r="E2341" i="4" s="1"/>
  <c r="F2341" i="4"/>
  <c r="G2341" i="4"/>
  <c r="G2342" i="4"/>
  <c r="F2342" i="4"/>
  <c r="E2342" i="4" a="1"/>
  <c r="E2342" i="4" s="1"/>
  <c r="G2343" i="4"/>
  <c r="E2343" i="4" a="1"/>
  <c r="E2343" i="4" s="1"/>
  <c r="F2343" i="4"/>
  <c r="F2344" i="4"/>
  <c r="G2344" i="4"/>
  <c r="E2344" i="4" a="1"/>
  <c r="E2344" i="4" s="1"/>
  <c r="E2345" i="4" a="1"/>
  <c r="E2345" i="4" s="1"/>
  <c r="F2345" i="4"/>
  <c r="G2345" i="4"/>
  <c r="F2346" i="4"/>
  <c r="E2346" i="4" a="1"/>
  <c r="E2346" i="4" s="1"/>
  <c r="G2346" i="4"/>
  <c r="E2347" i="4" a="1"/>
  <c r="E2347" i="4" s="1"/>
  <c r="F2347" i="4"/>
  <c r="G2347" i="4"/>
  <c r="G2349" i="4"/>
  <c r="F2349" i="4"/>
  <c r="E2349" i="4" a="1"/>
  <c r="E2349" i="4" s="1"/>
  <c r="G2350" i="4"/>
  <c r="F2350" i="4"/>
  <c r="E2350" i="4" a="1"/>
  <c r="E2350" i="4" s="1"/>
  <c r="F2351" i="4"/>
  <c r="G2351" i="4"/>
  <c r="E2351" i="4" a="1"/>
  <c r="E2351" i="4" s="1"/>
  <c r="F2352" i="4"/>
  <c r="E2352" i="4" a="1"/>
  <c r="E2352" i="4" s="1"/>
  <c r="G2352" i="4"/>
  <c r="F2354" i="4"/>
  <c r="G2354" i="4"/>
  <c r="E2354" i="4" a="1"/>
  <c r="E2354" i="4" s="1"/>
  <c r="E2355" i="4" a="1"/>
  <c r="E2355" i="4" s="1"/>
  <c r="F2355" i="4"/>
  <c r="G2355" i="4"/>
  <c r="F2356" i="4"/>
  <c r="E2356" i="4" a="1"/>
  <c r="E2356" i="4" s="1"/>
  <c r="G2356" i="4"/>
  <c r="F2358" i="4"/>
  <c r="E2358" i="4" a="1"/>
  <c r="E2358" i="4" s="1"/>
  <c r="G2358" i="4"/>
  <c r="E2359" i="4" a="1"/>
  <c r="E2359" i="4" s="1"/>
  <c r="F2359" i="4"/>
  <c r="G2359" i="4"/>
  <c r="F2361" i="4"/>
  <c r="G2361" i="4"/>
  <c r="E2361" i="4" a="1"/>
  <c r="E2361" i="4" s="1"/>
  <c r="E2362" i="4" a="1"/>
  <c r="E2362" i="4" s="1"/>
  <c r="G2362" i="4"/>
  <c r="F2362" i="4"/>
  <c r="E2363" i="4" a="1"/>
  <c r="E2363" i="4" s="1"/>
  <c r="F2363" i="4"/>
  <c r="G2363" i="4"/>
  <c r="E2364" i="4" a="1"/>
  <c r="E2364" i="4" s="1"/>
  <c r="G2364" i="4"/>
  <c r="F2364" i="4"/>
  <c r="E2366" i="4" a="1"/>
  <c r="E2366" i="4" s="1"/>
  <c r="G2366" i="4"/>
  <c r="F2366" i="4"/>
  <c r="G2367" i="4"/>
  <c r="E2367" i="4" a="1"/>
  <c r="E2367" i="4" s="1"/>
  <c r="F2367" i="4"/>
  <c r="F2368" i="4"/>
  <c r="G2368" i="4"/>
  <c r="E2368" i="4" a="1"/>
  <c r="E2368" i="4" s="1"/>
  <c r="G2369" i="4"/>
  <c r="F2369" i="4"/>
  <c r="E2369" i="4" a="1"/>
  <c r="E2369" i="4" s="1"/>
  <c r="F2370" i="4"/>
  <c r="G2370" i="4"/>
  <c r="E2370" i="4" a="1"/>
  <c r="E2370" i="4" s="1"/>
  <c r="G2373" i="4"/>
  <c r="F2373" i="4"/>
  <c r="E2373" i="4" a="1"/>
  <c r="E2373" i="4" s="1"/>
  <c r="E2374" i="4" a="1"/>
  <c r="E2374" i="4" s="1"/>
  <c r="G2374" i="4"/>
  <c r="F2374" i="4"/>
  <c r="G2375" i="4"/>
  <c r="F2375" i="4"/>
  <c r="E2375" i="4" a="1"/>
  <c r="E2375" i="4" s="1"/>
  <c r="E2376" i="4" a="1"/>
  <c r="E2376" i="4" s="1"/>
  <c r="F2376" i="4"/>
  <c r="G2376" i="4"/>
  <c r="E2377" i="4" a="1"/>
  <c r="E2377" i="4" s="1"/>
  <c r="G2377" i="4"/>
  <c r="F2377" i="4"/>
  <c r="E2380" i="4" a="1"/>
  <c r="E2380" i="4" s="1"/>
  <c r="G2380" i="4"/>
  <c r="F2380" i="4"/>
  <c r="E2381" i="4" a="1"/>
  <c r="E2381" i="4" s="1"/>
  <c r="F2381" i="4"/>
  <c r="G2381" i="4"/>
  <c r="E2382" i="4" a="1"/>
  <c r="E2382" i="4" s="1"/>
  <c r="F2382" i="4"/>
  <c r="G2382" i="4"/>
  <c r="F2383" i="4"/>
  <c r="G2383" i="4"/>
  <c r="E2383" i="4" a="1"/>
  <c r="E2383" i="4" s="1"/>
  <c r="E2384" i="4" a="1"/>
  <c r="E2384" i="4" s="1"/>
  <c r="F2384" i="4"/>
  <c r="G2384" i="4"/>
  <c r="E2385" i="4" a="1"/>
  <c r="E2385" i="4" s="1"/>
  <c r="F2385" i="4"/>
  <c r="G2385" i="4"/>
  <c r="E2387" i="4" a="1"/>
  <c r="E2387" i="4" s="1"/>
  <c r="F2387" i="4"/>
  <c r="G2387" i="4"/>
  <c r="F2388" i="4"/>
  <c r="E2388" i="4" a="1"/>
  <c r="E2388" i="4" s="1"/>
  <c r="G2388" i="4"/>
  <c r="E2389" i="4" a="1"/>
  <c r="E2389" i="4" s="1"/>
  <c r="G2389" i="4"/>
  <c r="F2389" i="4"/>
  <c r="E2390" i="4" a="1"/>
  <c r="E2390" i="4" s="1"/>
  <c r="F2390" i="4"/>
  <c r="G2390" i="4"/>
  <c r="F2391" i="4"/>
  <c r="E2391" i="4" a="1"/>
  <c r="E2391" i="4" s="1"/>
  <c r="G2391" i="4"/>
  <c r="F2392" i="4"/>
  <c r="E2392" i="4" a="1"/>
  <c r="E2392" i="4" s="1"/>
  <c r="G2392" i="4"/>
  <c r="F2393" i="4"/>
  <c r="E2393" i="4" a="1"/>
  <c r="E2393" i="4" s="1"/>
  <c r="G2393" i="4"/>
  <c r="F2394" i="4"/>
  <c r="E2394" i="4" a="1"/>
  <c r="E2394" i="4" s="1"/>
  <c r="G2394" i="4"/>
  <c r="G2395" i="4"/>
  <c r="F2395" i="4"/>
  <c r="E2395" i="4" a="1"/>
  <c r="E2395" i="4" s="1"/>
  <c r="F2396" i="4"/>
  <c r="E2396" i="4" a="1"/>
  <c r="E2396" i="4" s="1"/>
  <c r="G2396" i="4"/>
  <c r="G2397" i="4"/>
  <c r="E2397" i="4" a="1"/>
  <c r="E2397" i="4" s="1"/>
  <c r="F2397" i="4"/>
  <c r="G2398" i="4"/>
  <c r="E2398" i="4" a="1"/>
  <c r="E2398" i="4" s="1"/>
  <c r="F2398" i="4"/>
  <c r="F2399" i="4"/>
  <c r="E2399" i="4" a="1"/>
  <c r="E2399" i="4" s="1"/>
  <c r="G2399" i="4"/>
  <c r="E2400" i="4" a="1"/>
  <c r="E2400" i="4" s="1"/>
  <c r="F2400" i="4"/>
  <c r="G2400" i="4"/>
  <c r="G2401" i="4"/>
  <c r="F2401" i="4"/>
  <c r="E2401" i="4" a="1"/>
  <c r="E2401" i="4" s="1"/>
  <c r="G2402" i="4"/>
  <c r="F2402" i="4"/>
  <c r="E2402" i="4" a="1"/>
  <c r="E2402" i="4" s="1"/>
  <c r="E2404" i="4" a="1"/>
  <c r="E2404" i="4" s="1"/>
  <c r="F2404" i="4"/>
  <c r="G2404" i="4"/>
  <c r="F2405" i="4"/>
  <c r="E2405" i="4" a="1"/>
  <c r="E2405" i="4" s="1"/>
  <c r="G2405" i="4"/>
  <c r="F2407" i="4"/>
  <c r="G2407" i="4"/>
  <c r="E2407" i="4" a="1"/>
  <c r="E2407" i="4" s="1"/>
  <c r="F2409" i="4"/>
  <c r="E2409" i="4" a="1"/>
  <c r="E2409" i="4" s="1"/>
  <c r="G2409" i="4"/>
  <c r="F2410" i="4"/>
  <c r="E2410" i="4" a="1"/>
  <c r="E2410" i="4" s="1"/>
  <c r="G2410" i="4"/>
  <c r="G2413" i="4"/>
  <c r="F2413" i="4"/>
  <c r="E2413" i="4" a="1"/>
  <c r="E2413" i="4" s="1"/>
  <c r="G2414" i="4"/>
  <c r="F2414" i="4"/>
  <c r="E2414" i="4" a="1"/>
  <c r="E2414" i="4" s="1"/>
  <c r="G2417" i="4"/>
  <c r="F2417" i="4"/>
  <c r="E2417" i="4" a="1"/>
  <c r="E2417" i="4" s="1"/>
  <c r="G2424" i="4"/>
  <c r="E2424" i="4" a="1"/>
  <c r="E2424" i="4" s="1"/>
  <c r="F2424" i="4"/>
  <c r="G2426" i="4"/>
  <c r="E2426" i="4" a="1"/>
  <c r="E2426" i="4" s="1"/>
  <c r="F2426" i="4"/>
  <c r="G2429" i="4"/>
  <c r="E2429" i="4" a="1"/>
  <c r="E2429" i="4" s="1"/>
  <c r="F2429" i="4"/>
  <c r="G2430" i="4"/>
  <c r="F2430" i="4"/>
  <c r="E2430" i="4" a="1"/>
  <c r="E2430" i="4" s="1"/>
  <c r="G2431" i="4"/>
  <c r="F2431" i="4"/>
  <c r="E2431" i="4" a="1"/>
  <c r="E2431" i="4" s="1"/>
  <c r="G2435" i="4"/>
  <c r="E2435" i="4" a="1"/>
  <c r="E2435" i="4" s="1"/>
  <c r="F2435" i="4"/>
  <c r="F2438" i="4"/>
  <c r="E2438" i="4" a="1"/>
  <c r="E2438" i="4" s="1"/>
  <c r="G2438" i="4"/>
  <c r="G2439" i="4"/>
  <c r="F2439" i="4"/>
  <c r="E2439" i="4" a="1"/>
  <c r="E2439" i="4" s="1"/>
  <c r="G2440" i="4"/>
  <c r="F2440" i="4"/>
  <c r="E2440" i="4" a="1"/>
  <c r="E2440" i="4" s="1"/>
  <c r="E2441" i="4" a="1"/>
  <c r="E2441" i="4" s="1"/>
  <c r="F2441" i="4"/>
  <c r="G2441" i="4"/>
  <c r="F2444" i="4"/>
  <c r="G2444" i="4"/>
  <c r="E2444" i="4" a="1"/>
  <c r="E2444" i="4" s="1"/>
  <c r="G2445" i="4"/>
  <c r="E2445" i="4" a="1"/>
  <c r="E2445" i="4" s="1"/>
  <c r="F2445" i="4"/>
  <c r="G2446" i="4"/>
  <c r="E2446" i="4" a="1"/>
  <c r="E2446" i="4" s="1"/>
  <c r="F2446" i="4"/>
  <c r="F2449" i="4"/>
  <c r="G2449" i="4"/>
  <c r="E2449" i="4" a="1"/>
  <c r="E2449" i="4" s="1"/>
  <c r="F2452" i="4"/>
  <c r="E2452" i="4" a="1"/>
  <c r="E2452" i="4" s="1"/>
  <c r="G2452" i="4"/>
  <c r="G2456" i="4"/>
  <c r="E2456" i="4" a="1"/>
  <c r="E2456" i="4" s="1"/>
  <c r="F2456" i="4"/>
  <c r="F2459" i="4"/>
  <c r="E2459" i="4" a="1"/>
  <c r="E2459" i="4" s="1"/>
  <c r="G2459" i="4"/>
  <c r="E2461" i="4" a="1"/>
  <c r="E2461" i="4" s="1"/>
  <c r="F2461" i="4"/>
  <c r="G2461" i="4"/>
  <c r="E2462" i="4" a="1"/>
  <c r="E2462" i="4" s="1"/>
  <c r="F2462" i="4"/>
  <c r="G2462" i="4"/>
  <c r="E2463" i="4" a="1"/>
  <c r="E2463" i="4" s="1"/>
  <c r="F2463" i="4"/>
  <c r="G2463" i="4"/>
  <c r="G2465" i="4"/>
  <c r="F2465" i="4"/>
  <c r="E2465" i="4" a="1"/>
  <c r="E2465" i="4" s="1"/>
  <c r="G2467" i="4"/>
  <c r="E2467" i="4" a="1"/>
  <c r="E2467" i="4" s="1"/>
  <c r="F2467" i="4"/>
  <c r="E2470" i="4" a="1"/>
  <c r="E2470" i="4" s="1"/>
  <c r="F2470" i="4"/>
  <c r="G2470" i="4"/>
  <c r="E2473" i="4" a="1"/>
  <c r="E2473" i="4" s="1"/>
  <c r="F2473" i="4"/>
  <c r="G2473" i="4"/>
  <c r="E2479" i="4" a="1"/>
  <c r="E2479" i="4" s="1"/>
  <c r="F2479" i="4"/>
  <c r="G2479" i="4"/>
  <c r="G2485" i="4"/>
  <c r="F2485" i="4"/>
  <c r="E2485" i="4" a="1"/>
  <c r="E2485" i="4" s="1"/>
  <c r="F2487" i="4"/>
  <c r="G2487" i="4"/>
  <c r="E2487" i="4" a="1"/>
  <c r="E2487" i="4" s="1"/>
  <c r="F2490" i="4"/>
  <c r="E2490" i="4" a="1"/>
  <c r="E2490" i="4" s="1"/>
  <c r="G2490" i="4"/>
  <c r="E2491" i="4" a="1"/>
  <c r="E2491" i="4" s="1"/>
  <c r="F2491" i="4"/>
  <c r="G2491" i="4"/>
  <c r="E2492" i="4" a="1"/>
  <c r="E2492" i="4" s="1"/>
  <c r="G2492" i="4"/>
  <c r="F2492" i="4"/>
  <c r="G2496" i="4"/>
  <c r="E2496" i="4" a="1"/>
  <c r="E2496" i="4" s="1"/>
  <c r="F2496" i="4"/>
  <c r="G2499" i="4"/>
  <c r="E2499" i="4" a="1"/>
  <c r="E2499" i="4" s="1"/>
  <c r="F2499" i="4"/>
  <c r="E2501" i="4" a="1"/>
  <c r="E2501" i="4" s="1"/>
  <c r="F2501" i="4"/>
  <c r="G2501" i="4"/>
  <c r="F2502" i="4"/>
  <c r="G2502" i="4"/>
  <c r="E2502" i="4" a="1"/>
  <c r="E2502" i="4" s="1"/>
  <c r="E2505" i="4" a="1"/>
  <c r="E2505" i="4" s="1"/>
  <c r="G2505" i="4"/>
  <c r="F2505" i="4"/>
  <c r="G2507" i="4"/>
  <c r="F2507" i="4"/>
  <c r="E2507" i="4" a="1"/>
  <c r="E2507" i="4" s="1"/>
  <c r="F2508" i="4"/>
  <c r="G2508" i="4"/>
  <c r="E2508" i="4" a="1"/>
  <c r="E2508" i="4" s="1"/>
  <c r="G2509" i="4"/>
  <c r="E2509" i="4" a="1"/>
  <c r="E2509" i="4" s="1"/>
  <c r="F2509" i="4"/>
  <c r="G2511" i="4"/>
  <c r="F2511" i="4"/>
  <c r="E2511" i="4" a="1"/>
  <c r="E2511" i="4" s="1"/>
  <c r="F2512" i="4"/>
  <c r="G2512" i="4"/>
  <c r="E2512" i="4" a="1"/>
  <c r="E2512" i="4" s="1"/>
  <c r="F2513" i="4"/>
  <c r="E2513" i="4" a="1"/>
  <c r="E2513" i="4" s="1"/>
  <c r="G2513" i="4"/>
  <c r="E2515" i="4" a="1"/>
  <c r="E2515" i="4" s="1"/>
  <c r="F2515" i="4"/>
  <c r="G2515" i="4"/>
  <c r="E2516" i="4" a="1"/>
  <c r="E2516" i="4" s="1"/>
  <c r="F2516" i="4"/>
  <c r="G2516" i="4"/>
  <c r="F2517" i="4"/>
  <c r="G2517" i="4"/>
  <c r="E2517" i="4" a="1"/>
  <c r="E2517" i="4" s="1"/>
  <c r="E2518" i="4" a="1"/>
  <c r="E2518" i="4" s="1"/>
  <c r="G2518" i="4"/>
  <c r="F2518" i="4"/>
  <c r="E2520" i="4" a="1"/>
  <c r="E2520" i="4" s="1"/>
  <c r="F2520" i="4"/>
  <c r="G2520" i="4"/>
  <c r="E2521" i="4" a="1"/>
  <c r="E2521" i="4" s="1"/>
  <c r="F2521" i="4"/>
  <c r="G2521" i="4"/>
  <c r="G2522" i="4"/>
  <c r="E2522" i="4" a="1"/>
  <c r="E2522" i="4" s="1"/>
  <c r="F2522" i="4"/>
  <c r="F2523" i="4"/>
  <c r="E2523" i="4" a="1"/>
  <c r="E2523" i="4" s="1"/>
  <c r="G2523" i="4"/>
  <c r="G2524" i="4"/>
  <c r="E2524" i="4" a="1"/>
  <c r="E2524" i="4" s="1"/>
  <c r="F2524" i="4"/>
  <c r="G2525" i="4"/>
  <c r="E2525" i="4" a="1"/>
  <c r="E2525" i="4" s="1"/>
  <c r="F2525" i="4"/>
  <c r="G2526" i="4"/>
  <c r="E2526" i="4" a="1"/>
  <c r="E2526" i="4" s="1"/>
  <c r="F2526" i="4"/>
  <c r="G2528" i="4"/>
  <c r="F2528" i="4"/>
  <c r="E2528" i="4" a="1"/>
  <c r="E2528" i="4" s="1"/>
  <c r="G2531" i="4"/>
  <c r="F2531" i="4"/>
  <c r="E2531" i="4" a="1"/>
  <c r="E2531" i="4" s="1"/>
  <c r="G2532" i="4"/>
  <c r="E2532" i="4" a="1"/>
  <c r="E2532" i="4" s="1"/>
  <c r="F2532" i="4"/>
  <c r="G2533" i="4"/>
  <c r="E2533" i="4" a="1"/>
  <c r="E2533" i="4" s="1"/>
  <c r="F2533" i="4"/>
  <c r="E2535" i="4" a="1"/>
  <c r="E2535" i="4" s="1"/>
  <c r="F2535" i="4"/>
  <c r="G2535" i="4"/>
  <c r="F2538" i="4"/>
  <c r="E2538" i="4" a="1"/>
  <c r="E2538" i="4" s="1"/>
  <c r="G2538" i="4"/>
  <c r="E2539" i="4" a="1"/>
  <c r="E2539" i="4" s="1"/>
  <c r="F2539" i="4"/>
  <c r="G2539" i="4"/>
  <c r="F2540" i="4"/>
  <c r="E2540" i="4" a="1"/>
  <c r="E2540" i="4" s="1"/>
  <c r="G2540" i="4"/>
  <c r="F2541" i="4"/>
  <c r="E2541" i="4" a="1"/>
  <c r="E2541" i="4" s="1"/>
  <c r="G2541" i="4"/>
  <c r="E2542" i="4" a="1"/>
  <c r="E2542" i="4" s="1"/>
  <c r="G2542" i="4"/>
  <c r="F2542" i="4"/>
  <c r="E2545" i="4" a="1"/>
  <c r="E2545" i="4" s="1"/>
  <c r="F2545" i="4"/>
  <c r="G2545" i="4"/>
  <c r="E2546" i="4" a="1"/>
  <c r="E2546" i="4" s="1"/>
  <c r="F2546" i="4"/>
  <c r="G2546" i="4"/>
  <c r="E2547" i="4" a="1"/>
  <c r="E2547" i="4" s="1"/>
  <c r="F2547" i="4"/>
  <c r="G2547" i="4"/>
  <c r="E2548" i="4" a="1"/>
  <c r="E2548" i="4" s="1"/>
  <c r="F2548" i="4"/>
  <c r="G2548" i="4"/>
  <c r="E2549" i="4" a="1"/>
  <c r="E2549" i="4" s="1"/>
  <c r="F2549" i="4"/>
  <c r="G2549" i="4"/>
  <c r="G2550" i="4"/>
  <c r="F2550" i="4"/>
  <c r="E2550" i="4" a="1"/>
  <c r="E2550" i="4" s="1"/>
  <c r="F2551" i="4"/>
  <c r="G2551" i="4"/>
  <c r="E2551" i="4" a="1"/>
  <c r="E2551" i="4" s="1"/>
  <c r="E2552" i="4" a="1"/>
  <c r="E2552" i="4" s="1"/>
  <c r="G2552" i="4"/>
  <c r="F2552" i="4"/>
  <c r="G2553" i="4"/>
  <c r="F2553" i="4"/>
  <c r="E2553" i="4" a="1"/>
  <c r="E2553" i="4" s="1"/>
  <c r="G2554" i="4"/>
  <c r="F2554" i="4"/>
  <c r="E2554" i="4" a="1"/>
  <c r="E2554" i="4" s="1"/>
  <c r="E2555" i="4" a="1"/>
  <c r="E2555" i="4" s="1"/>
  <c r="F2555" i="4"/>
  <c r="G2555" i="4"/>
  <c r="F2556" i="4"/>
  <c r="E2556" i="4" a="1"/>
  <c r="E2556" i="4" s="1"/>
  <c r="G2556" i="4"/>
  <c r="G2557" i="4"/>
  <c r="F2557" i="4"/>
  <c r="E2557" i="4" a="1"/>
  <c r="E2557" i="4" s="1"/>
  <c r="F2558" i="4"/>
  <c r="G2558" i="4"/>
  <c r="E2558" i="4" a="1"/>
  <c r="E2558" i="4" s="1"/>
  <c r="F2559" i="4"/>
  <c r="G2559" i="4"/>
  <c r="E2559" i="4" a="1"/>
  <c r="E2559" i="4" s="1"/>
  <c r="F2560" i="4"/>
  <c r="G2560" i="4"/>
  <c r="E2560" i="4" a="1"/>
  <c r="E2560" i="4" s="1"/>
  <c r="F2561" i="4"/>
  <c r="G2561" i="4"/>
  <c r="E2561" i="4" a="1"/>
  <c r="E2561" i="4" s="1"/>
  <c r="E2562" i="4" a="1"/>
  <c r="E2562" i="4" s="1"/>
  <c r="F2562" i="4"/>
  <c r="G2562" i="4"/>
  <c r="F2563" i="4"/>
  <c r="E2563" i="4" a="1"/>
  <c r="E2563" i="4" s="1"/>
  <c r="G2563" i="4"/>
  <c r="E2564" i="4" a="1"/>
  <c r="E2564" i="4" s="1"/>
  <c r="F2564" i="4"/>
  <c r="G2564" i="4"/>
  <c r="F2565" i="4"/>
  <c r="E2565" i="4" a="1"/>
  <c r="E2565" i="4" s="1"/>
  <c r="G2565" i="4"/>
  <c r="E2566" i="4" a="1"/>
  <c r="E2566" i="4" s="1"/>
  <c r="F2566" i="4"/>
  <c r="G2566" i="4"/>
  <c r="F2570" i="4"/>
  <c r="E2570" i="4" a="1"/>
  <c r="E2570" i="4" s="1"/>
  <c r="G2570" i="4"/>
  <c r="F2571" i="4"/>
  <c r="E2571" i="4" a="1"/>
  <c r="E2571" i="4" s="1"/>
  <c r="G2571" i="4"/>
  <c r="E2572" i="4" a="1"/>
  <c r="E2572" i="4" s="1"/>
  <c r="G2572" i="4"/>
  <c r="F2572" i="4"/>
  <c r="G2573" i="4"/>
  <c r="F2573" i="4"/>
  <c r="E2573" i="4" a="1"/>
  <c r="E2573" i="4" s="1"/>
  <c r="F2574" i="4"/>
  <c r="E2574" i="4" a="1"/>
  <c r="E2574" i="4" s="1"/>
  <c r="G2574" i="4"/>
  <c r="E2575" i="4" a="1"/>
  <c r="E2575" i="4" s="1"/>
  <c r="G2575" i="4"/>
  <c r="F2575" i="4"/>
  <c r="E2576" i="4" a="1"/>
  <c r="E2576" i="4" s="1"/>
  <c r="F2576" i="4"/>
  <c r="G2576" i="4"/>
  <c r="F2579" i="4"/>
  <c r="G2579" i="4"/>
  <c r="E2579" i="4" a="1"/>
  <c r="E2579" i="4" s="1"/>
  <c r="F2580" i="4"/>
  <c r="E2580" i="4" a="1"/>
  <c r="E2580" i="4" s="1"/>
  <c r="G2580" i="4"/>
  <c r="G2582" i="4"/>
  <c r="F2582" i="4"/>
  <c r="E2582" i="4" a="1"/>
  <c r="E2582" i="4" s="1"/>
  <c r="E2583" i="4" a="1"/>
  <c r="E2583" i="4" s="1"/>
  <c r="F2583" i="4"/>
  <c r="G2583" i="4"/>
  <c r="E2584" i="4" a="1"/>
  <c r="E2584" i="4" s="1"/>
  <c r="F2584" i="4"/>
  <c r="G2584" i="4"/>
  <c r="F2587" i="4"/>
  <c r="E2587" i="4" a="1"/>
  <c r="E2587" i="4" s="1"/>
  <c r="G2587" i="4"/>
  <c r="G2589" i="4"/>
  <c r="E2589" i="4" a="1"/>
  <c r="E2589" i="4" s="1"/>
  <c r="F2589" i="4"/>
  <c r="G2590" i="4"/>
  <c r="F2590" i="4"/>
  <c r="E2590" i="4" a="1"/>
  <c r="E2590" i="4" s="1"/>
  <c r="G2593" i="4"/>
  <c r="E2593" i="4" a="1"/>
  <c r="E2593" i="4" s="1"/>
  <c r="F2593" i="4"/>
  <c r="E2594" i="4" a="1"/>
  <c r="E2594" i="4" s="1"/>
  <c r="F2594" i="4"/>
  <c r="G2594" i="4"/>
  <c r="G2595" i="4"/>
  <c r="F2595" i="4"/>
  <c r="E2595" i="4" a="1"/>
  <c r="E2595" i="4" s="1"/>
  <c r="G2597" i="4"/>
  <c r="F2597" i="4"/>
  <c r="E2597" i="4" a="1"/>
  <c r="E2597" i="4" s="1"/>
  <c r="G2599" i="4"/>
  <c r="E2599" i="4" a="1"/>
  <c r="E2599" i="4" s="1"/>
  <c r="F2599" i="4"/>
  <c r="F2600" i="4"/>
  <c r="E2600" i="4" a="1"/>
  <c r="E2600" i="4" s="1"/>
  <c r="G2600" i="4"/>
  <c r="E2601" i="4" a="1"/>
  <c r="E2601" i="4" s="1"/>
  <c r="G2601" i="4"/>
  <c r="F2601" i="4"/>
  <c r="E2602" i="4" a="1"/>
  <c r="E2602" i="4" s="1"/>
  <c r="F2602" i="4"/>
  <c r="G2602" i="4"/>
  <c r="E661" i="4" a="1"/>
  <c r="E661" i="4" s="1"/>
  <c r="F661" i="4"/>
  <c r="G661" i="4"/>
  <c r="E243" i="4" a="1"/>
  <c r="E243" i="4" s="1"/>
  <c r="G243" i="4"/>
  <c r="F243" i="4"/>
  <c r="E766" i="4" a="1"/>
  <c r="E766" i="4" s="1"/>
  <c r="F766" i="4"/>
  <c r="G766" i="4"/>
  <c r="F2157" i="4"/>
  <c r="E2157" i="4" a="1"/>
  <c r="E2157" i="4" s="1"/>
  <c r="G2157" i="4"/>
  <c r="F951" i="4"/>
  <c r="E951" i="4" a="1"/>
  <c r="E951" i="4" s="1"/>
  <c r="G951" i="4"/>
  <c r="E1774" i="4" a="1"/>
  <c r="E1774" i="4" s="1"/>
  <c r="F1774" i="4"/>
  <c r="G1774" i="4"/>
  <c r="D44" i="4"/>
  <c r="D783" i="4"/>
  <c r="G779" i="4"/>
  <c r="E779" i="4" a="1"/>
  <c r="E779" i="4" s="1"/>
  <c r="F779" i="4"/>
  <c r="G557" i="4"/>
  <c r="E557" i="4" a="1"/>
  <c r="E557" i="4" s="1"/>
  <c r="F557" i="4"/>
  <c r="E1466" i="4" a="1"/>
  <c r="E1466" i="4" s="1"/>
  <c r="F1466" i="4"/>
  <c r="G1466" i="4"/>
  <c r="F1234" i="4"/>
  <c r="G1234" i="4"/>
  <c r="E1234" i="4" a="1"/>
  <c r="E1234" i="4" s="1"/>
  <c r="G828" i="4"/>
  <c r="F828" i="4"/>
  <c r="E828" i="4" a="1"/>
  <c r="E828" i="4" s="1"/>
  <c r="G103" i="4"/>
  <c r="E103" i="4" a="1"/>
  <c r="E103" i="4" s="1"/>
  <c r="F103" i="4"/>
  <c r="G834" i="4"/>
  <c r="E834" i="4" a="1"/>
  <c r="E834" i="4" s="1"/>
  <c r="F834" i="4"/>
  <c r="F17" i="4"/>
  <c r="G17" i="4"/>
  <c r="E17" i="4" a="1"/>
  <c r="E17" i="4" s="1"/>
  <c r="E1776" i="4" a="1"/>
  <c r="E1776" i="4" s="1"/>
  <c r="F1776" i="4"/>
  <c r="G1776" i="4"/>
  <c r="E12" i="4" a="1"/>
  <c r="E12" i="4" s="1"/>
  <c r="G12" i="4"/>
  <c r="F12" i="4"/>
  <c r="F1881" i="4"/>
  <c r="E1881" i="4" a="1"/>
  <c r="E1881" i="4" s="1"/>
  <c r="G1881" i="4"/>
  <c r="G1784" i="4"/>
  <c r="F1784" i="4"/>
  <c r="E1784" i="4" a="1"/>
  <c r="E1784" i="4" s="1"/>
  <c r="D1388" i="4"/>
  <c r="D1594" i="4"/>
  <c r="D75" i="4"/>
  <c r="G285" i="4"/>
  <c r="F285" i="4"/>
  <c r="E285" i="4" a="1"/>
  <c r="E285" i="4" s="1"/>
  <c r="G888" i="4"/>
  <c r="F888" i="4"/>
  <c r="E888" i="4" a="1"/>
  <c r="E888" i="4" s="1"/>
  <c r="G1142" i="4"/>
  <c r="E1142" i="4" a="1"/>
  <c r="E1142" i="4" s="1"/>
  <c r="F1142" i="4"/>
  <c r="F446" i="4"/>
  <c r="E446" i="4" a="1"/>
  <c r="E446" i="4" s="1"/>
  <c r="G446" i="4"/>
  <c r="D857" i="4"/>
  <c r="D920" i="4"/>
  <c r="F660" i="4"/>
  <c r="E660" i="4" a="1"/>
  <c r="E660" i="4" s="1"/>
  <c r="G660" i="4"/>
  <c r="F260" i="4"/>
  <c r="E260" i="4" a="1"/>
  <c r="E260" i="4" s="1"/>
  <c r="G260" i="4"/>
  <c r="G319" i="4"/>
  <c r="E319" i="4" a="1"/>
  <c r="E319" i="4" s="1"/>
  <c r="F319" i="4"/>
  <c r="G115" i="4"/>
  <c r="E115" i="4" a="1"/>
  <c r="E115" i="4" s="1"/>
  <c r="F115" i="4"/>
  <c r="G968" i="4"/>
  <c r="E968" i="4" a="1"/>
  <c r="E968" i="4" s="1"/>
  <c r="F968" i="4"/>
  <c r="G1162" i="4"/>
  <c r="F1162" i="4"/>
  <c r="E1162" i="4" a="1"/>
  <c r="E1162" i="4" s="1"/>
  <c r="G749" i="4"/>
  <c r="E749" i="4" a="1"/>
  <c r="E749" i="4" s="1"/>
  <c r="F749" i="4"/>
  <c r="E295" i="4" a="1"/>
  <c r="E295" i="4" s="1"/>
  <c r="F295" i="4"/>
  <c r="G295" i="4"/>
  <c r="E2264" i="4" a="1"/>
  <c r="E2264" i="4" s="1"/>
  <c r="F2264" i="4"/>
  <c r="G2264" i="4"/>
  <c r="G378" i="4"/>
  <c r="E378" i="4" a="1"/>
  <c r="E378" i="4" s="1"/>
  <c r="F378" i="4"/>
  <c r="G1321" i="4"/>
  <c r="E1321" i="4" a="1"/>
  <c r="E1321" i="4" s="1"/>
  <c r="F1321" i="4"/>
  <c r="E101" i="4" a="1"/>
  <c r="E101" i="4" s="1"/>
  <c r="F101" i="4"/>
  <c r="G101" i="4"/>
  <c r="G1212" i="4"/>
  <c r="E1212" i="4" a="1"/>
  <c r="E1212" i="4" s="1"/>
  <c r="F1212" i="4"/>
  <c r="E2100" i="4" a="1"/>
  <c r="E2100" i="4" s="1"/>
  <c r="F2100" i="4"/>
  <c r="G2100" i="4"/>
  <c r="F1788" i="4"/>
  <c r="G1788" i="4"/>
  <c r="E1788" i="4" a="1"/>
  <c r="E1788" i="4" s="1"/>
  <c r="E2353" i="4" a="1"/>
  <c r="E2353" i="4" s="1"/>
  <c r="F2353" i="4"/>
  <c r="G2353" i="4"/>
  <c r="G851" i="4"/>
  <c r="F851" i="4"/>
  <c r="E851" i="4" a="1"/>
  <c r="E851" i="4" s="1"/>
  <c r="G153" i="4"/>
  <c r="E153" i="4" a="1"/>
  <c r="E153" i="4" s="1"/>
  <c r="F153" i="4"/>
  <c r="F73" i="4"/>
  <c r="E73" i="4" a="1"/>
  <c r="E73" i="4" s="1"/>
  <c r="G73" i="4"/>
  <c r="E1256" i="4" a="1"/>
  <c r="E1256" i="4" s="1"/>
  <c r="G1256" i="4"/>
  <c r="F1256" i="4"/>
  <c r="G165" i="4"/>
  <c r="F165" i="4"/>
  <c r="E165" i="4" a="1"/>
  <c r="E165" i="4" s="1"/>
  <c r="F837" i="4"/>
  <c r="E837" i="4" a="1"/>
  <c r="E837" i="4" s="1"/>
  <c r="G837" i="4"/>
  <c r="F273" i="4"/>
  <c r="G273" i="4"/>
  <c r="E273" i="4" a="1"/>
  <c r="E273" i="4" s="1"/>
  <c r="G274" i="4"/>
  <c r="F274" i="4"/>
  <c r="E274" i="4" a="1"/>
  <c r="E274" i="4" s="1"/>
  <c r="G2170" i="4"/>
  <c r="F2170" i="4"/>
  <c r="E2170" i="4" a="1"/>
  <c r="E2170" i="4" s="1"/>
  <c r="G2495" i="4"/>
  <c r="E2495" i="4" a="1"/>
  <c r="E2495" i="4" s="1"/>
  <c r="F2495" i="4"/>
  <c r="G2408" i="4"/>
  <c r="F2408" i="4"/>
  <c r="E2408" i="4" a="1"/>
  <c r="E2408" i="4" s="1"/>
  <c r="G2195" i="4"/>
  <c r="E2195" i="4" a="1"/>
  <c r="E2195" i="4" s="1"/>
  <c r="F2195" i="4"/>
  <c r="G1770" i="4"/>
  <c r="E1770" i="4" a="1"/>
  <c r="E1770" i="4" s="1"/>
  <c r="F1770" i="4"/>
  <c r="F1255" i="4"/>
  <c r="E1255" i="4" a="1"/>
  <c r="E1255" i="4" s="1"/>
  <c r="G1255" i="4"/>
  <c r="E693" i="4" a="1"/>
  <c r="E693" i="4" s="1"/>
  <c r="G693" i="4"/>
  <c r="F693" i="4"/>
  <c r="E698" i="4" a="1"/>
  <c r="E698" i="4" s="1"/>
  <c r="G698" i="4"/>
  <c r="F698" i="4"/>
  <c r="G1523" i="4"/>
  <c r="F1523" i="4"/>
  <c r="E1523" i="4" a="1"/>
  <c r="E1523" i="4" s="1"/>
  <c r="E2411" i="4" a="1"/>
  <c r="E2411" i="4" s="1"/>
  <c r="F2411" i="4"/>
  <c r="G2411" i="4"/>
  <c r="F1451" i="4"/>
  <c r="E1451" i="4" a="1"/>
  <c r="E1451" i="4" s="1"/>
  <c r="G1451" i="4"/>
  <c r="E2094" i="4" a="1"/>
  <c r="E2094" i="4" s="1"/>
  <c r="F2094" i="4"/>
  <c r="G2094" i="4"/>
  <c r="G331" i="4"/>
  <c r="F331" i="4"/>
  <c r="E331" i="4" a="1"/>
  <c r="E331" i="4" s="1"/>
  <c r="E509" i="4" a="1"/>
  <c r="E509" i="4" s="1"/>
  <c r="F509" i="4"/>
  <c r="G509" i="4"/>
  <c r="D2437" i="4"/>
  <c r="D205" i="4"/>
  <c r="G585" i="4"/>
  <c r="F585" i="4"/>
  <c r="E585" i="4" a="1"/>
  <c r="E585" i="4" s="1"/>
  <c r="G1879" i="4"/>
  <c r="E1879" i="4" a="1"/>
  <c r="E1879" i="4" s="1"/>
  <c r="F1879" i="4"/>
  <c r="F1701" i="4"/>
  <c r="E1701" i="4" a="1"/>
  <c r="E1701" i="4" s="1"/>
  <c r="G1701" i="4"/>
  <c r="E1644" i="4" a="1"/>
  <c r="E1644" i="4" s="1"/>
  <c r="G1644" i="4"/>
  <c r="F1644" i="4"/>
  <c r="F409" i="4"/>
  <c r="G409" i="4"/>
  <c r="E409" i="4" a="1"/>
  <c r="E409" i="4" s="1"/>
  <c r="F490" i="4"/>
  <c r="G490" i="4"/>
  <c r="E490" i="4" a="1"/>
  <c r="E490" i="4" s="1"/>
  <c r="D2372" i="4"/>
  <c r="D1266" i="4"/>
  <c r="G584" i="4"/>
  <c r="F584" i="4"/>
  <c r="E584" i="4" a="1"/>
  <c r="E584" i="4" s="1"/>
  <c r="F2234" i="4"/>
  <c r="G2234" i="4"/>
  <c r="E2234" i="4" a="1"/>
  <c r="E2234" i="4" s="1"/>
  <c r="F2133" i="4"/>
  <c r="E2133" i="4" a="1"/>
  <c r="E2133" i="4" s="1"/>
  <c r="G2133" i="4"/>
  <c r="G959" i="4"/>
  <c r="F959" i="4"/>
  <c r="E959" i="4" a="1"/>
  <c r="E959" i="4" s="1"/>
  <c r="D2143" i="4"/>
  <c r="D2075" i="4"/>
  <c r="F855" i="4"/>
  <c r="E855" i="4" a="1"/>
  <c r="E855" i="4" s="1"/>
  <c r="G855" i="4"/>
  <c r="F1534" i="4"/>
  <c r="G1534" i="4"/>
  <c r="E1534" i="4" a="1"/>
  <c r="E1534" i="4" s="1"/>
  <c r="F2148" i="4"/>
  <c r="E2148" i="4" a="1"/>
  <c r="E2148" i="4" s="1"/>
  <c r="G2148" i="4"/>
  <c r="F924" i="4"/>
  <c r="E924" i="4" a="1"/>
  <c r="E924" i="4" s="1"/>
  <c r="G924" i="4"/>
  <c r="D1313" i="4"/>
  <c r="D2543" i="4"/>
  <c r="G1489" i="4"/>
  <c r="E1489" i="4" a="1"/>
  <c r="E1489" i="4" s="1"/>
  <c r="F1489" i="4"/>
  <c r="E2454" i="4" a="1"/>
  <c r="E2454" i="4" s="1"/>
  <c r="F2454" i="4"/>
  <c r="G2454" i="4"/>
  <c r="D70" i="4"/>
  <c r="D5" i="4"/>
  <c r="E2419" i="4" a="1"/>
  <c r="E2419" i="4" s="1"/>
  <c r="G2419" i="4"/>
  <c r="F2419" i="4"/>
  <c r="G2425" i="4"/>
  <c r="E2425" i="4" a="1"/>
  <c r="E2425" i="4" s="1"/>
  <c r="F2425" i="4"/>
  <c r="G2156" i="4"/>
  <c r="E2156" i="4" a="1"/>
  <c r="E2156" i="4" s="1"/>
  <c r="F2156" i="4"/>
  <c r="E202" i="4" a="1"/>
  <c r="E202" i="4" s="1"/>
  <c r="G202" i="4"/>
  <c r="F202" i="4"/>
  <c r="D986" i="4"/>
  <c r="D1204" i="4"/>
  <c r="D1513" i="4"/>
  <c r="D1119" i="4"/>
  <c r="D2081" i="4"/>
  <c r="D1419" i="4"/>
  <c r="E1267" i="4" a="1"/>
  <c r="E1267" i="4" s="1"/>
  <c r="F1267" i="4"/>
  <c r="G1267" i="4"/>
  <c r="E1560" i="4" a="1"/>
  <c r="E1560" i="4" s="1"/>
  <c r="G1560" i="4"/>
  <c r="F1560" i="4"/>
  <c r="F2386" i="4"/>
  <c r="G2386" i="4"/>
  <c r="E2386" i="4" a="1"/>
  <c r="E2386" i="4" s="1"/>
  <c r="E475" i="4" a="1"/>
  <c r="E475" i="4" s="1"/>
  <c r="G475" i="4"/>
  <c r="F475" i="4"/>
  <c r="D1654" i="4"/>
  <c r="D1576" i="4"/>
  <c r="E1258" i="4" a="1"/>
  <c r="E1258" i="4" s="1"/>
  <c r="F1258" i="4"/>
  <c r="G1258" i="4"/>
  <c r="G1300" i="4"/>
  <c r="E1300" i="4" a="1"/>
  <c r="E1300" i="4" s="1"/>
  <c r="F1300" i="4"/>
  <c r="E477" i="4" a="1"/>
  <c r="E477" i="4" s="1"/>
  <c r="G477" i="4"/>
  <c r="F477" i="4"/>
  <c r="E112" i="4" a="1"/>
  <c r="E112" i="4" s="1"/>
  <c r="G112" i="4"/>
  <c r="F112" i="4"/>
  <c r="E729" i="4" a="1"/>
  <c r="E729" i="4" s="1"/>
  <c r="G729" i="4"/>
  <c r="F729" i="4"/>
  <c r="F1637" i="4"/>
  <c r="E1637" i="4" a="1"/>
  <c r="E1637" i="4" s="1"/>
  <c r="G1637" i="4"/>
  <c r="F805" i="4"/>
  <c r="E805" i="4" a="1"/>
  <c r="E805" i="4" s="1"/>
  <c r="G805" i="4"/>
  <c r="G1468" i="4"/>
  <c r="E1468" i="4" a="1"/>
  <c r="E1468" i="4" s="1"/>
  <c r="F1468" i="4"/>
  <c r="E1155" i="4" a="1"/>
  <c r="E1155" i="4" s="1"/>
  <c r="F1155" i="4"/>
  <c r="G1155" i="4"/>
  <c r="D47" i="4"/>
  <c r="D1763" i="4"/>
  <c r="D2011" i="4"/>
  <c r="E1152" i="4" a="1"/>
  <c r="E1152" i="4" s="1"/>
  <c r="F1152" i="4"/>
  <c r="G1152" i="4"/>
  <c r="E1719" i="4" a="1"/>
  <c r="E1719" i="4" s="1"/>
  <c r="G1719" i="4"/>
  <c r="F1719" i="4"/>
  <c r="G2150" i="4"/>
  <c r="E2150" i="4" a="1"/>
  <c r="E2150" i="4" s="1"/>
  <c r="F2150" i="4"/>
  <c r="G2258" i="4"/>
  <c r="F2258" i="4"/>
  <c r="E2258" i="4" a="1"/>
  <c r="E2258" i="4" s="1"/>
  <c r="F1027" i="4"/>
  <c r="E1027" i="4" a="1"/>
  <c r="E1027" i="4" s="1"/>
  <c r="G1027" i="4"/>
  <c r="F2357" i="4"/>
  <c r="E2357" i="4" a="1"/>
  <c r="E2357" i="4" s="1"/>
  <c r="G2357" i="4"/>
  <c r="F171" i="4"/>
  <c r="G171" i="4"/>
  <c r="E171" i="4" a="1"/>
  <c r="E171" i="4" s="1"/>
  <c r="G1169" i="4"/>
  <c r="E1169" i="4" a="1"/>
  <c r="E1169" i="4" s="1"/>
  <c r="F1169" i="4"/>
  <c r="F2105" i="4"/>
  <c r="G2105" i="4"/>
  <c r="E2105" i="4" a="1"/>
  <c r="E2105" i="4" s="1"/>
  <c r="F1634" i="4"/>
  <c r="E1634" i="4" a="1"/>
  <c r="E1634" i="4" s="1"/>
  <c r="G1634" i="4"/>
  <c r="E2142" i="4" a="1"/>
  <c r="E2142" i="4" s="1"/>
  <c r="F2142" i="4"/>
  <c r="G2142" i="4"/>
  <c r="F1841" i="4"/>
  <c r="E1841" i="4" a="1"/>
  <c r="E1841" i="4" s="1"/>
  <c r="G1841" i="4"/>
  <c r="F451" i="4"/>
  <c r="G451" i="4"/>
  <c r="E451" i="4" a="1"/>
  <c r="E451" i="4" s="1"/>
  <c r="D1746" i="4"/>
  <c r="D1655" i="4"/>
  <c r="F1758" i="4"/>
  <c r="E1758" i="4" a="1"/>
  <c r="E1758" i="4" s="1"/>
  <c r="G1758" i="4"/>
  <c r="F2464" i="4"/>
  <c r="E2464" i="4" a="1"/>
  <c r="E2464" i="4" s="1"/>
  <c r="G2464" i="4"/>
  <c r="D1552" i="4"/>
  <c r="D344" i="4"/>
  <c r="D1866" i="4"/>
  <c r="D1975" i="4"/>
  <c r="F2457" i="4"/>
  <c r="E2457" i="4" a="1"/>
  <c r="E2457" i="4" s="1"/>
  <c r="G2457" i="4"/>
  <c r="F891" i="4"/>
  <c r="G891" i="4"/>
  <c r="E891" i="4" a="1"/>
  <c r="E891" i="4" s="1"/>
  <c r="F1546" i="4"/>
  <c r="G1546" i="4"/>
  <c r="E1546" i="4" a="1"/>
  <c r="E1546" i="4" s="1"/>
  <c r="F2192" i="4"/>
  <c r="E2192" i="4" a="1"/>
  <c r="E2192" i="4" s="1"/>
  <c r="G2192" i="4"/>
  <c r="F251" i="4"/>
  <c r="E251" i="4" a="1"/>
  <c r="E251" i="4" s="1"/>
  <c r="G251" i="4"/>
  <c r="G1008" i="4"/>
  <c r="F1008" i="4"/>
  <c r="E1008" i="4" a="1"/>
  <c r="E1008" i="4" s="1"/>
  <c r="G1847" i="4"/>
  <c r="E1847" i="4" a="1"/>
  <c r="E1847" i="4" s="1"/>
  <c r="F1847" i="4"/>
  <c r="E507" i="4" a="1"/>
  <c r="E507" i="4" s="1"/>
  <c r="G507" i="4"/>
  <c r="F507" i="4"/>
  <c r="D1980" i="4"/>
  <c r="D615" i="4"/>
  <c r="D1911" i="4"/>
  <c r="E2260" i="4" a="1"/>
  <c r="E2260" i="4" s="1"/>
  <c r="F2260" i="4"/>
  <c r="G2260" i="4"/>
  <c r="F28" i="4"/>
  <c r="E28" i="4" a="1"/>
  <c r="E28" i="4" s="1"/>
  <c r="G28" i="4"/>
  <c r="F1153" i="4"/>
  <c r="G1153" i="4"/>
  <c r="E1153" i="4" a="1"/>
  <c r="E1153" i="4" s="1"/>
  <c r="E1374" i="4" a="1"/>
  <c r="E1374" i="4" s="1"/>
  <c r="G1374" i="4"/>
  <c r="F1374" i="4"/>
  <c r="G133" i="4"/>
  <c r="F133" i="4"/>
  <c r="E133" i="4" a="1"/>
  <c r="E133" i="4" s="1"/>
  <c r="D1477" i="4"/>
  <c r="D2078" i="4"/>
  <c r="E1426" i="4" a="1"/>
  <c r="E1426" i="4" s="1"/>
  <c r="F1426" i="4"/>
  <c r="G1426" i="4"/>
  <c r="F1417" i="4"/>
  <c r="G1417" i="4"/>
  <c r="E1417" i="4" a="1"/>
  <c r="E1417" i="4" s="1"/>
  <c r="F493" i="4"/>
  <c r="G493" i="4"/>
  <c r="E493" i="4" a="1"/>
  <c r="E493" i="4" s="1"/>
  <c r="G1802" i="4"/>
  <c r="F1802" i="4"/>
  <c r="E1802" i="4" a="1"/>
  <c r="E1802" i="4" s="1"/>
  <c r="F1353" i="4"/>
  <c r="E1353" i="4" a="1"/>
  <c r="E1353" i="4" s="1"/>
  <c r="G1353" i="4"/>
  <c r="G1320" i="4"/>
  <c r="F1320" i="4"/>
  <c r="E1320" i="4" a="1"/>
  <c r="E1320" i="4" s="1"/>
  <c r="F677" i="4"/>
  <c r="E677" i="4" a="1"/>
  <c r="E677" i="4" s="1"/>
  <c r="G677" i="4"/>
  <c r="F845" i="4"/>
  <c r="E845" i="4" a="1"/>
  <c r="E845" i="4" s="1"/>
  <c r="G845" i="4"/>
  <c r="D722" i="4"/>
  <c r="D1049" i="4"/>
  <c r="G105" i="4"/>
  <c r="F105" i="4"/>
  <c r="E105" i="4" a="1"/>
  <c r="E105" i="4" s="1"/>
  <c r="D1242" i="4"/>
  <c r="D1521" i="4"/>
  <c r="D211" i="4"/>
  <c r="G2319" i="4"/>
  <c r="F2319" i="4"/>
  <c r="E2319" i="4" a="1"/>
  <c r="E2319" i="4" s="1"/>
  <c r="G1217" i="4"/>
  <c r="E1217" i="4" a="1"/>
  <c r="E1217" i="4" s="1"/>
  <c r="F1217" i="4"/>
  <c r="G918" i="4"/>
  <c r="F918" i="4"/>
  <c r="E918" i="4" a="1"/>
  <c r="E918" i="4" s="1"/>
  <c r="F2451" i="4"/>
  <c r="G2451" i="4"/>
  <c r="E2451" i="4" a="1"/>
  <c r="E2451" i="4" s="1"/>
  <c r="G200" i="4"/>
  <c r="F200" i="4"/>
  <c r="E200" i="4" a="1"/>
  <c r="E200" i="4" s="1"/>
  <c r="E1351" i="4" a="1"/>
  <c r="E1351" i="4" s="1"/>
  <c r="F1351" i="4"/>
  <c r="G1351" i="4"/>
  <c r="D789" i="4"/>
  <c r="D1764" i="4"/>
  <c r="E1415" i="4" a="1"/>
  <c r="E1415" i="4" s="1"/>
  <c r="G1415" i="4"/>
  <c r="F1415" i="4"/>
  <c r="E801" i="4" a="1"/>
  <c r="E801" i="4" s="1"/>
  <c r="F801" i="4"/>
  <c r="G801" i="4"/>
  <c r="E2365" i="4" a="1"/>
  <c r="E2365" i="4" s="1"/>
  <c r="G2365" i="4"/>
  <c r="F2365" i="4"/>
  <c r="F140" i="4"/>
  <c r="G140" i="4"/>
  <c r="E140" i="4" a="1"/>
  <c r="E140" i="4" s="1"/>
  <c r="G2276" i="4"/>
  <c r="E2276" i="4" a="1"/>
  <c r="E2276" i="4" s="1"/>
  <c r="F2276" i="4"/>
  <c r="E1187" i="4" a="1"/>
  <c r="E1187" i="4" s="1"/>
  <c r="F1187" i="4"/>
  <c r="G1187" i="4"/>
  <c r="E580" i="4" a="1"/>
  <c r="E580" i="4" s="1"/>
  <c r="G580" i="4"/>
  <c r="F580" i="4"/>
  <c r="G125" i="4"/>
  <c r="F125" i="4"/>
  <c r="E125" i="4" a="1"/>
  <c r="E125" i="4" s="1"/>
  <c r="E1740" i="4" a="1"/>
  <c r="E1740" i="4" s="1"/>
  <c r="F1740" i="4"/>
  <c r="G1740" i="4"/>
  <c r="G102" i="4"/>
  <c r="F102" i="4"/>
  <c r="E102" i="4" a="1"/>
  <c r="E102" i="4" s="1"/>
  <c r="F1702" i="4"/>
  <c r="E1702" i="4" a="1"/>
  <c r="E1702" i="4" s="1"/>
  <c r="G1702" i="4"/>
  <c r="F2371" i="4"/>
  <c r="E2371" i="4" a="1"/>
  <c r="E2371" i="4" s="1"/>
  <c r="G2371" i="4"/>
  <c r="E121" i="4" a="1"/>
  <c r="E121" i="4" s="1"/>
  <c r="F121" i="4"/>
  <c r="G121" i="4"/>
  <c r="D1455" i="4"/>
  <c r="D2477" i="4"/>
  <c r="E878" i="4" a="1"/>
  <c r="E878" i="4" s="1"/>
  <c r="G878" i="4"/>
  <c r="F878" i="4"/>
  <c r="E1943" i="4" a="1"/>
  <c r="E1943" i="4" s="1"/>
  <c r="F1943" i="4"/>
  <c r="G1943" i="4"/>
  <c r="G238" i="4"/>
  <c r="F238" i="4"/>
  <c r="E238" i="4" a="1"/>
  <c r="E238" i="4" s="1"/>
  <c r="G470" i="4"/>
  <c r="F470" i="4"/>
  <c r="E470" i="4" a="1"/>
  <c r="E470" i="4" s="1"/>
  <c r="G1010" i="4"/>
  <c r="F1010" i="4"/>
  <c r="E1010" i="4" a="1"/>
  <c r="E1010" i="4" s="1"/>
  <c r="G1837" i="4"/>
  <c r="E1837" i="4" a="1"/>
  <c r="E1837" i="4" s="1"/>
  <c r="F1837" i="4"/>
  <c r="D655" i="4"/>
  <c r="D465" i="4"/>
  <c r="G1156" i="4"/>
  <c r="E1156" i="4" a="1"/>
  <c r="E1156" i="4" s="1"/>
  <c r="F1156" i="4"/>
  <c r="F1768" i="4"/>
  <c r="E1768" i="4" a="1"/>
  <c r="E1768" i="4" s="1"/>
  <c r="G1768" i="4"/>
  <c r="G2416" i="4"/>
  <c r="E2416" i="4" a="1"/>
  <c r="E2416" i="4" s="1"/>
  <c r="F2416" i="4"/>
  <c r="E850" i="4" a="1"/>
  <c r="E850" i="4" s="1"/>
  <c r="F850" i="4"/>
  <c r="G850" i="4"/>
  <c r="E1559" i="4" a="1"/>
  <c r="E1559" i="4" s="1"/>
  <c r="G1559" i="4"/>
  <c r="F1559" i="4"/>
  <c r="E2231" i="4" a="1"/>
  <c r="E2231" i="4" s="1"/>
  <c r="G2231" i="4"/>
  <c r="F2231" i="4"/>
  <c r="G1232" i="4"/>
  <c r="E1232" i="4" a="1"/>
  <c r="E1232" i="4" s="1"/>
  <c r="F1232" i="4"/>
  <c r="G1543" i="4"/>
  <c r="E1543" i="4" a="1"/>
  <c r="E1543" i="4" s="1"/>
  <c r="F1543" i="4"/>
  <c r="E1971" i="4" a="1"/>
  <c r="E1971" i="4" s="1"/>
  <c r="F1971" i="4"/>
  <c r="F2493" i="4"/>
  <c r="E2493" i="4" a="1"/>
  <c r="E2493" i="4" s="1"/>
  <c r="G2493" i="4"/>
  <c r="G1957" i="4"/>
  <c r="E1957" i="4" a="1"/>
  <c r="E1957" i="4" s="1"/>
  <c r="F1957" i="4"/>
  <c r="G2121" i="4"/>
  <c r="F2121" i="4"/>
  <c r="E2121" i="4" a="1"/>
  <c r="E2121" i="4" s="1"/>
  <c r="F1585" i="4"/>
  <c r="E1585" i="4" a="1"/>
  <c r="E1585" i="4" s="1"/>
  <c r="G1585" i="4"/>
  <c r="F1955" i="4"/>
  <c r="E1955" i="4" a="1"/>
  <c r="E1955" i="4" s="1"/>
  <c r="G1955" i="4"/>
  <c r="G2026" i="4"/>
  <c r="F2026" i="4"/>
  <c r="E2026" i="4" a="1"/>
  <c r="E2026" i="4" s="1"/>
  <c r="D98" i="4"/>
  <c r="D809" i="4"/>
  <c r="D638" i="4"/>
  <c r="F1951" i="4"/>
  <c r="E1951" i="4" a="1"/>
  <c r="E1951" i="4" s="1"/>
  <c r="G1951" i="4"/>
  <c r="F447" i="4"/>
  <c r="G447" i="4"/>
  <c r="E447" i="4" a="1"/>
  <c r="E447" i="4" s="1"/>
  <c r="G939" i="4"/>
  <c r="E939" i="4" a="1"/>
  <c r="E939" i="4" s="1"/>
  <c r="F939" i="4"/>
  <c r="F1554" i="4"/>
  <c r="E1554" i="4" a="1"/>
  <c r="E1554" i="4" s="1"/>
  <c r="G1554" i="4"/>
  <c r="G2500" i="4"/>
  <c r="F2500" i="4"/>
  <c r="E2500" i="4" a="1"/>
  <c r="E2500" i="4" s="1"/>
  <c r="G329" i="4"/>
  <c r="E329" i="4" a="1"/>
  <c r="E329" i="4" s="1"/>
  <c r="F329" i="4"/>
  <c r="G2443" i="4"/>
  <c r="F2443" i="4"/>
  <c r="E2443" i="4" a="1"/>
  <c r="E2443" i="4" s="1"/>
  <c r="F742" i="4"/>
  <c r="E742" i="4" a="1"/>
  <c r="E742" i="4" s="1"/>
  <c r="G742" i="4"/>
  <c r="G1852" i="4"/>
  <c r="E1852" i="4" a="1"/>
  <c r="E1852" i="4" s="1"/>
  <c r="F1852" i="4"/>
  <c r="G1853" i="4"/>
  <c r="F1853" i="4"/>
  <c r="E1853" i="4" a="1"/>
  <c r="E1853" i="4" s="1"/>
  <c r="F245" i="4"/>
  <c r="G245" i="4"/>
  <c r="E245" i="4" a="1"/>
  <c r="E245" i="4" s="1"/>
  <c r="G2059" i="4"/>
  <c r="E2059" i="4" a="1"/>
  <c r="E2059" i="4" s="1"/>
  <c r="F2059" i="4"/>
  <c r="E471" i="4" a="1"/>
  <c r="E471" i="4" s="1"/>
  <c r="F471" i="4"/>
  <c r="G471" i="4"/>
  <c r="F1190" i="4"/>
  <c r="E1190" i="4" a="1"/>
  <c r="E1190" i="4" s="1"/>
  <c r="G1190" i="4"/>
  <c r="F1871" i="4"/>
  <c r="E1871" i="4" a="1"/>
  <c r="E1871" i="4" s="1"/>
  <c r="G1871" i="4"/>
  <c r="D1308" i="4"/>
  <c r="D1790" i="4"/>
  <c r="F1903" i="4"/>
  <c r="G1903" i="4"/>
  <c r="E1903" i="4" a="1"/>
  <c r="E1903" i="4" s="1"/>
  <c r="E1379" i="4" a="1"/>
  <c r="E1379" i="4" s="1"/>
  <c r="F1379" i="4"/>
  <c r="G1379" i="4"/>
  <c r="G1434" i="4"/>
  <c r="E1434" i="4" a="1"/>
  <c r="E1434" i="4" s="1"/>
  <c r="F1434" i="4"/>
  <c r="F980" i="4"/>
  <c r="E980" i="4" a="1"/>
  <c r="E980" i="4" s="1"/>
  <c r="G980" i="4"/>
  <c r="F743" i="4"/>
  <c r="E743" i="4" a="1"/>
  <c r="E743" i="4" s="1"/>
  <c r="G743" i="4"/>
  <c r="F196" i="4"/>
  <c r="E196" i="4" a="1"/>
  <c r="E196" i="4" s="1"/>
  <c r="G196" i="4"/>
  <c r="E1810" i="4" a="1"/>
  <c r="E1810" i="4" s="1"/>
  <c r="F1810" i="4"/>
  <c r="G1810" i="4"/>
  <c r="G277" i="4"/>
  <c r="F277" i="4"/>
  <c r="E277" i="4" a="1"/>
  <c r="E277" i="4" s="1"/>
  <c r="E2232" i="4" a="1"/>
  <c r="E2232" i="4" s="1"/>
  <c r="F2232" i="4"/>
  <c r="G2232" i="4"/>
  <c r="E1633" i="4" a="1"/>
  <c r="E1633" i="4" s="1"/>
  <c r="F1633" i="4"/>
  <c r="G1633" i="4"/>
  <c r="G2569" i="4"/>
  <c r="F2569" i="4"/>
  <c r="E2569" i="4" a="1"/>
  <c r="E2569" i="4" s="1"/>
  <c r="G1358" i="4"/>
  <c r="E1358" i="4" a="1"/>
  <c r="E1358" i="4" s="1"/>
  <c r="F1358" i="4"/>
  <c r="F175" i="4"/>
  <c r="E175" i="4" a="1"/>
  <c r="E175" i="4" s="1"/>
  <c r="G175" i="4"/>
  <c r="G2002" i="4"/>
  <c r="E2002" i="4" a="1"/>
  <c r="E2002" i="4" s="1"/>
  <c r="F2002" i="4"/>
  <c r="G2278" i="4"/>
  <c r="E2278" i="4" a="1"/>
  <c r="E2278" i="4" s="1"/>
  <c r="F2278" i="4"/>
  <c r="G335" i="4"/>
  <c r="F335" i="4"/>
  <c r="E335" i="4" a="1"/>
  <c r="E335" i="4" s="1"/>
  <c r="G1961" i="4"/>
  <c r="F1961" i="4"/>
  <c r="E1961" i="4" a="1"/>
  <c r="E1961" i="4" s="1"/>
  <c r="D896" i="4"/>
  <c r="D438" i="4"/>
  <c r="G2428" i="4"/>
  <c r="E2428" i="4" a="1"/>
  <c r="E2428" i="4" s="1"/>
  <c r="F2428" i="4"/>
  <c r="F2008" i="4"/>
  <c r="E2008" i="4" a="1"/>
  <c r="E2008" i="4" s="1"/>
  <c r="G2008" i="4"/>
  <c r="F2014" i="4"/>
  <c r="E2014" i="4" a="1"/>
  <c r="E2014" i="4" s="1"/>
  <c r="G2014" i="4"/>
  <c r="D2534" i="4"/>
  <c r="D983" i="4"/>
  <c r="D2379" i="4"/>
  <c r="G619" i="4"/>
  <c r="F619" i="4"/>
  <c r="E619" i="4" a="1"/>
  <c r="E619" i="4" s="1"/>
  <c r="F1749" i="4"/>
  <c r="E1749" i="4" a="1"/>
  <c r="E1749" i="4" s="1"/>
  <c r="G1749" i="4"/>
  <c r="D2482" i="4"/>
  <c r="D2450" i="4"/>
  <c r="G1347" i="4"/>
  <c r="E1347" i="4" a="1"/>
  <c r="E1347" i="4" s="1"/>
  <c r="F1347" i="4"/>
  <c r="F2074" i="4"/>
  <c r="G2074" i="4"/>
  <c r="E2074" i="4" a="1"/>
  <c r="E2074" i="4" s="1"/>
  <c r="F1731" i="4"/>
  <c r="E1731" i="4" a="1"/>
  <c r="E1731" i="4" s="1"/>
  <c r="G1731" i="4"/>
  <c r="G1073" i="4"/>
  <c r="F1073" i="4"/>
  <c r="E1073" i="4" a="1"/>
  <c r="E1073" i="4" s="1"/>
  <c r="E1732" i="4" a="1"/>
  <c r="E1732" i="4" s="1"/>
  <c r="G1732" i="4"/>
  <c r="F1732" i="4"/>
  <c r="F2082" i="4"/>
  <c r="G2082" i="4"/>
  <c r="E2082" i="4" a="1"/>
  <c r="E2082" i="4" s="1"/>
  <c r="D486" i="4"/>
  <c r="D522" i="4"/>
  <c r="F2529" i="4"/>
  <c r="E2529" i="4" a="1"/>
  <c r="E2529" i="4" s="1"/>
  <c r="G2529" i="4"/>
  <c r="G1389" i="4"/>
  <c r="E1389" i="4" a="1"/>
  <c r="E1389" i="4" s="1"/>
  <c r="F1389" i="4"/>
  <c r="F963" i="4"/>
  <c r="G963" i="4"/>
  <c r="E963" i="4" a="1"/>
  <c r="E963" i="4" s="1"/>
  <c r="D322" i="4"/>
  <c r="D181" i="4"/>
  <c r="F787" i="4"/>
  <c r="G787" i="4"/>
  <c r="E787" i="4" a="1"/>
  <c r="E787" i="4" s="1"/>
  <c r="G2313" i="4"/>
  <c r="E2313" i="4" a="1"/>
  <c r="E2313" i="4" s="1"/>
  <c r="F2313" i="4"/>
  <c r="G2514" i="4"/>
  <c r="F2514" i="4"/>
  <c r="E2514" i="4" a="1"/>
  <c r="E2514" i="4" s="1"/>
  <c r="G24" i="4"/>
  <c r="F24" i="4"/>
  <c r="E24" i="4" a="1"/>
  <c r="E24" i="4" s="1"/>
  <c r="F2280" i="4"/>
  <c r="G2280" i="4"/>
  <c r="E2280" i="4" a="1"/>
  <c r="E2280" i="4" s="1"/>
  <c r="G726" i="4"/>
  <c r="F726" i="4"/>
  <c r="E726" i="4" a="1"/>
  <c r="E726" i="4" s="1"/>
  <c r="G225" i="4"/>
  <c r="F225" i="4"/>
  <c r="E225" i="4" a="1"/>
  <c r="E225" i="4" s="1"/>
  <c r="E2578" i="4" a="1"/>
  <c r="E2578" i="4" s="1"/>
  <c r="G2578" i="4"/>
  <c r="F2578" i="4"/>
  <c r="F1538" i="4"/>
  <c r="E1538" i="4" a="1"/>
  <c r="E1538" i="4" s="1"/>
  <c r="G1538" i="4"/>
  <c r="D738" i="4"/>
  <c r="D1062" i="4"/>
  <c r="D2245" i="4"/>
  <c r="D1935" i="4"/>
  <c r="E371" i="4" a="1"/>
  <c r="E371" i="4" s="1"/>
  <c r="G371" i="4"/>
  <c r="F371" i="4"/>
  <c r="G1295" i="4"/>
  <c r="E1295" i="4" a="1"/>
  <c r="E1295" i="4" s="1"/>
  <c r="F1295" i="4"/>
  <c r="E1406" i="4" a="1"/>
  <c r="E1406" i="4" s="1"/>
  <c r="G1406" i="4"/>
  <c r="F1406" i="4"/>
  <c r="G1250" i="4"/>
  <c r="E1250" i="4" a="1"/>
  <c r="E1250" i="4" s="1"/>
  <c r="F1250" i="4"/>
  <c r="E844" i="4" a="1"/>
  <c r="E844" i="4" s="1"/>
  <c r="F844" i="4"/>
  <c r="G844" i="4"/>
  <c r="F1195" i="4"/>
  <c r="E1195" i="4" a="1"/>
  <c r="E1195" i="4" s="1"/>
  <c r="G1195" i="4"/>
  <c r="E2149" i="4" a="1"/>
  <c r="E2149" i="4" s="1"/>
  <c r="F2149" i="4"/>
  <c r="G2149" i="4"/>
  <c r="G2568" i="4"/>
  <c r="E2568" i="4" a="1"/>
  <c r="E2568" i="4" s="1"/>
  <c r="F2568" i="4"/>
  <c r="G2088" i="4"/>
  <c r="E2088" i="4" a="1"/>
  <c r="E2088" i="4" s="1"/>
  <c r="F2088" i="4"/>
  <c r="F2287" i="4"/>
  <c r="E2287" i="4" a="1"/>
  <c r="E2287" i="4" s="1"/>
  <c r="G2287" i="4"/>
  <c r="F1966" i="4"/>
  <c r="G1966" i="4"/>
  <c r="E1966" i="4" a="1"/>
  <c r="E1966" i="4" s="1"/>
  <c r="F524" i="4"/>
  <c r="E524" i="4" a="1"/>
  <c r="E524" i="4" s="1"/>
  <c r="G524" i="4"/>
  <c r="F519" i="4"/>
  <c r="E519" i="4" a="1"/>
  <c r="E519" i="4" s="1"/>
  <c r="G519" i="4"/>
  <c r="F2433" i="4"/>
  <c r="G2433" i="4"/>
  <c r="E2433" i="4" a="1"/>
  <c r="E2433" i="4" s="1"/>
  <c r="G1760" i="4"/>
  <c r="E1760" i="4" a="1"/>
  <c r="E1760" i="4" s="1"/>
  <c r="F1760" i="4"/>
  <c r="E865" i="4" a="1"/>
  <c r="E865" i="4" s="1"/>
  <c r="G865" i="4"/>
  <c r="F865" i="4"/>
  <c r="G1947" i="4"/>
  <c r="E1947" i="4" a="1"/>
  <c r="E1947" i="4" s="1"/>
  <c r="F1947" i="4"/>
  <c r="E674" i="4" a="1"/>
  <c r="E674" i="4" s="1"/>
  <c r="F674" i="4"/>
  <c r="G674" i="4"/>
  <c r="E863" i="4" a="1"/>
  <c r="E863" i="4" s="1"/>
  <c r="F863" i="4"/>
  <c r="G863" i="4"/>
  <c r="D818" i="4"/>
  <c r="D781" i="4"/>
  <c r="F1722" i="4"/>
  <c r="E1722" i="4" a="1"/>
  <c r="E1722" i="4" s="1"/>
  <c r="G1722" i="4"/>
  <c r="E257" i="4" a="1"/>
  <c r="E257" i="4" s="1"/>
  <c r="F257" i="4"/>
  <c r="G257" i="4"/>
  <c r="F212" i="4"/>
  <c r="E212" i="4" a="1"/>
  <c r="E212" i="4" s="1"/>
  <c r="G212" i="4"/>
  <c r="G2089" i="4"/>
  <c r="E2089" i="4" a="1"/>
  <c r="E2089" i="4" s="1"/>
  <c r="F2089" i="4"/>
  <c r="G1737" i="4"/>
  <c r="F1737" i="4"/>
  <c r="E1737" i="4" a="1"/>
  <c r="E1737" i="4" s="1"/>
  <c r="E2469" i="4" a="1"/>
  <c r="E2469" i="4" s="1"/>
  <c r="F2469" i="4"/>
  <c r="G2469" i="4"/>
  <c r="E884" i="4" a="1"/>
  <c r="E884" i="4" s="1"/>
  <c r="G884" i="4"/>
  <c r="F884" i="4"/>
  <c r="E588" i="4" a="1"/>
  <c r="E588" i="4" s="1"/>
  <c r="F588" i="4"/>
  <c r="G588" i="4"/>
  <c r="G186" i="4"/>
  <c r="F186" i="4"/>
  <c r="E186" i="4" a="1"/>
  <c r="E186" i="4" s="1"/>
  <c r="E2238" i="4" a="1"/>
  <c r="E2238" i="4" s="1"/>
  <c r="F2238" i="4"/>
  <c r="G2238" i="4"/>
  <c r="E280" i="4" a="1"/>
  <c r="E280" i="4" s="1"/>
  <c r="F280" i="4"/>
  <c r="G280" i="4"/>
  <c r="E2109" i="4" a="1"/>
  <c r="E2109" i="4" s="1"/>
  <c r="F2109" i="4"/>
  <c r="G2109" i="4"/>
  <c r="G1375" i="4"/>
  <c r="E1375" i="4" a="1"/>
  <c r="E1375" i="4" s="1"/>
  <c r="F1375" i="4"/>
  <c r="F667" i="4"/>
  <c r="G667" i="4"/>
  <c r="E667" i="4" a="1"/>
  <c r="E667" i="4" s="1"/>
  <c r="E1273" i="4" a="1"/>
  <c r="E1273" i="4" s="1"/>
  <c r="F1273" i="4"/>
  <c r="G1273" i="4"/>
  <c r="G345" i="4"/>
  <c r="E345" i="4" a="1"/>
  <c r="E345" i="4" s="1"/>
  <c r="F345" i="4"/>
  <c r="F2503" i="4"/>
  <c r="G2503" i="4"/>
  <c r="E2503" i="4" a="1"/>
  <c r="E2503" i="4" s="1"/>
  <c r="G1777" i="4"/>
  <c r="E1777" i="4" a="1"/>
  <c r="E1777" i="4" s="1"/>
  <c r="F1777" i="4"/>
  <c r="G254" i="4"/>
  <c r="F254" i="4"/>
  <c r="E254" i="4" a="1"/>
  <c r="E254" i="4" s="1"/>
  <c r="G1819" i="4"/>
  <c r="E1819" i="4" a="1"/>
  <c r="E1819" i="4" s="1"/>
  <c r="F1819" i="4"/>
  <c r="E1912" i="4" a="1"/>
  <c r="E1912" i="4" s="1"/>
  <c r="F1912" i="4"/>
  <c r="G1912" i="4"/>
  <c r="E717" i="4" a="1"/>
  <c r="E717" i="4" s="1"/>
  <c r="G717" i="4"/>
  <c r="F717" i="4"/>
  <c r="E784" i="4" a="1"/>
  <c r="E784" i="4" s="1"/>
  <c r="F784" i="4"/>
  <c r="G784" i="4"/>
  <c r="F654" i="4"/>
  <c r="E654" i="4" a="1"/>
  <c r="E654" i="4" s="1"/>
  <c r="G654" i="4"/>
  <c r="G178" i="4"/>
  <c r="F178" i="4"/>
  <c r="E178" i="4" a="1"/>
  <c r="E178" i="4" s="1"/>
  <c r="F718" i="4"/>
  <c r="E718" i="4" a="1"/>
  <c r="E718" i="4" s="1"/>
  <c r="G718" i="4"/>
  <c r="F1465" i="4"/>
  <c r="G1465" i="4"/>
  <c r="E1465" i="4" a="1"/>
  <c r="E1465" i="4" s="1"/>
  <c r="G859" i="4"/>
  <c r="F859" i="4"/>
  <c r="E859" i="4" a="1"/>
  <c r="E859" i="4" s="1"/>
  <c r="E20" i="4" a="1"/>
  <c r="E20" i="4" s="1"/>
  <c r="F20" i="4"/>
  <c r="G20" i="4"/>
  <c r="G734" i="4"/>
  <c r="F734" i="4"/>
  <c r="E734" i="4" a="1"/>
  <c r="E734" i="4" s="1"/>
  <c r="G1241" i="4"/>
  <c r="F1241" i="4"/>
  <c r="E1241" i="4" a="1"/>
  <c r="E1241" i="4" s="1"/>
  <c r="E60" i="4" a="1"/>
  <c r="E60" i="4" s="1"/>
  <c r="F60" i="4"/>
  <c r="G60" i="4"/>
  <c r="E945" i="4" a="1"/>
  <c r="E945" i="4" s="1"/>
  <c r="G945" i="4"/>
  <c r="F945" i="4"/>
  <c r="E1532" i="4" a="1"/>
  <c r="E1532" i="4" s="1"/>
  <c r="F1532" i="4"/>
  <c r="G1532" i="4"/>
  <c r="E350" i="4" a="1"/>
  <c r="E350" i="4" s="1"/>
  <c r="F350" i="4"/>
  <c r="G350" i="4"/>
  <c r="F2060" i="4"/>
  <c r="G2060" i="4"/>
  <c r="E2060" i="4" a="1"/>
  <c r="E2060" i="4" s="1"/>
  <c r="F2348" i="4"/>
  <c r="E2348" i="4" a="1"/>
  <c r="E2348" i="4" s="1"/>
  <c r="G2348" i="4"/>
  <c r="G719" i="4"/>
  <c r="F719" i="4"/>
  <c r="E719" i="4" a="1"/>
  <c r="E719" i="4" s="1"/>
  <c r="E362" i="4" a="1"/>
  <c r="E362" i="4" s="1"/>
  <c r="G362" i="4"/>
  <c r="F362" i="4"/>
  <c r="E682" i="4" a="1"/>
  <c r="E682" i="4" s="1"/>
  <c r="G682" i="4"/>
  <c r="F682" i="4"/>
  <c r="E2301" i="4" a="1"/>
  <c r="E2301" i="4" s="1"/>
  <c r="F2301" i="4"/>
  <c r="G2301" i="4"/>
  <c r="E1674" i="4" a="1"/>
  <c r="E1674" i="4" s="1"/>
  <c r="F1674" i="4"/>
  <c r="G1674" i="4"/>
  <c r="F2159" i="4"/>
  <c r="E2159" i="4" a="1"/>
  <c r="E2159" i="4" s="1"/>
  <c r="G2159" i="4"/>
  <c r="D1974" i="4"/>
  <c r="D1998" i="4"/>
  <c r="F771" i="4"/>
  <c r="G771" i="4"/>
  <c r="E771" i="4" a="1"/>
  <c r="E771" i="4" s="1"/>
  <c r="G479" i="4"/>
  <c r="F479" i="4"/>
  <c r="E479" i="4" a="1"/>
  <c r="E479" i="4" s="1"/>
  <c r="G1288" i="4"/>
  <c r="E1288" i="4" a="1"/>
  <c r="E1288" i="4" s="1"/>
  <c r="F1288" i="4"/>
  <c r="E1936" i="4" a="1"/>
  <c r="E1936" i="4" s="1"/>
  <c r="F1936" i="4"/>
  <c r="G1936" i="4"/>
  <c r="F993" i="4"/>
  <c r="G993" i="4"/>
  <c r="E993" i="4" a="1"/>
  <c r="E993" i="4" s="1"/>
  <c r="E1956" i="4" a="1"/>
  <c r="E1956" i="4" s="1"/>
  <c r="F1956" i="4"/>
  <c r="G1956" i="4"/>
  <c r="E2504" i="4" a="1"/>
  <c r="E2504" i="4" s="1"/>
  <c r="F2504" i="4"/>
  <c r="G2504" i="4"/>
  <c r="E1487" i="4" a="1"/>
  <c r="E1487" i="4" s="1"/>
  <c r="G1487" i="4"/>
  <c r="F1487" i="4"/>
  <c r="E933" i="4" a="1"/>
  <c r="E933" i="4" s="1"/>
  <c r="F933" i="4"/>
  <c r="G933" i="4"/>
  <c r="F255" i="4"/>
  <c r="E255" i="4" a="1"/>
  <c r="E255" i="4" s="1"/>
  <c r="G255" i="4"/>
  <c r="F2017" i="4"/>
  <c r="E2017" i="4" a="1"/>
  <c r="E2017" i="4" s="1"/>
  <c r="G2017" i="4"/>
  <c r="E2422" i="4" a="1"/>
  <c r="E2422" i="4" s="1"/>
  <c r="F2422" i="4"/>
  <c r="G2422" i="4"/>
  <c r="F2051" i="4"/>
  <c r="E2051" i="4" a="1"/>
  <c r="E2051" i="4" s="1"/>
  <c r="G2051" i="4"/>
  <c r="F2537" i="4"/>
  <c r="E2537" i="4" a="1"/>
  <c r="E2537" i="4" s="1"/>
  <c r="G2537" i="4"/>
  <c r="G1703" i="4"/>
  <c r="F1703" i="4"/>
  <c r="E1703" i="4" a="1"/>
  <c r="E1703" i="4" s="1"/>
  <c r="G1279" i="4"/>
  <c r="E1279" i="4" a="1"/>
  <c r="E1279" i="4" s="1"/>
  <c r="F1279" i="4"/>
  <c r="G2421" i="4"/>
  <c r="E2421" i="4" a="1"/>
  <c r="E2421" i="4" s="1"/>
  <c r="F2421" i="4"/>
  <c r="F107" i="4"/>
  <c r="G107" i="4"/>
  <c r="E107" i="4" a="1"/>
  <c r="E107" i="4" s="1"/>
  <c r="F2065" i="4"/>
  <c r="E2065" i="4" a="1"/>
  <c r="E2065" i="4" s="1"/>
  <c r="G2065" i="4"/>
  <c r="D2544" i="4"/>
  <c r="D43" i="4"/>
  <c r="D1908" i="4"/>
  <c r="F1427" i="4"/>
  <c r="G1427" i="4"/>
  <c r="E1427" i="4" a="1"/>
  <c r="E1427" i="4" s="1"/>
  <c r="G2530" i="4"/>
  <c r="E2530" i="4" a="1"/>
  <c r="E2530" i="4" s="1"/>
  <c r="F2530" i="4"/>
  <c r="E2460" i="4" a="1"/>
  <c r="E2460" i="4" s="1"/>
  <c r="F2460" i="4"/>
  <c r="G2460" i="4"/>
  <c r="G1284" i="4"/>
  <c r="F1284" i="4"/>
  <c r="E1284" i="4" a="1"/>
  <c r="E1284" i="4" s="1"/>
  <c r="E1705" i="4" a="1"/>
  <c r="E1705" i="4" s="1"/>
  <c r="G1705" i="4"/>
  <c r="F1705" i="4"/>
  <c r="F2592" i="4"/>
  <c r="E2592" i="4" a="1"/>
  <c r="E2592" i="4" s="1"/>
  <c r="G2592" i="4"/>
  <c r="D9" i="4"/>
  <c r="D303" i="4"/>
  <c r="E122" i="4" l="1" a="1"/>
  <c r="E122" i="4" s="1"/>
  <c r="G122" i="4"/>
  <c r="F122" i="4"/>
  <c r="E579" i="4" a="1"/>
  <c r="E579" i="4" s="1"/>
  <c r="F579" i="4"/>
  <c r="G579" i="4"/>
  <c r="F1480" i="4"/>
  <c r="E1480" i="4" a="1"/>
  <c r="E1480" i="4" s="1"/>
  <c r="G1480" i="4"/>
  <c r="G691" i="4"/>
  <c r="F691" i="4"/>
  <c r="E691" i="4" a="1"/>
  <c r="E691" i="4" s="1"/>
  <c r="G713" i="4"/>
  <c r="F713" i="4"/>
  <c r="E713" i="4" a="1"/>
  <c r="E713" i="4" s="1"/>
  <c r="E1159" i="4" a="1"/>
  <c r="E1159" i="4" s="1"/>
  <c r="F1159" i="4"/>
  <c r="G1159" i="4"/>
  <c r="G1167" i="4"/>
  <c r="F1167" i="4"/>
  <c r="E1167" i="4" a="1"/>
  <c r="E1167" i="4" s="1"/>
  <c r="G1752" i="4"/>
  <c r="F1752" i="4"/>
  <c r="E1752" i="4" a="1"/>
  <c r="E1752" i="4" s="1"/>
  <c r="G684" i="4"/>
  <c r="F684" i="4"/>
  <c r="E684" i="4" a="1"/>
  <c r="E684" i="4" s="1"/>
  <c r="F1894" i="4"/>
  <c r="G1894" i="4"/>
  <c r="E1894" i="4" a="1"/>
  <c r="E1894" i="4" s="1"/>
  <c r="F2291" i="4"/>
  <c r="G2291" i="4"/>
  <c r="E2291" i="4" a="1"/>
  <c r="E2291" i="4" s="1"/>
  <c r="E758" i="4" a="1"/>
  <c r="E758" i="4" s="1"/>
  <c r="F758" i="4"/>
  <c r="G758" i="4"/>
  <c r="E692" i="4" a="1"/>
  <c r="E692" i="4" s="1"/>
  <c r="F692" i="4"/>
  <c r="G692" i="4"/>
  <c r="F399" i="4"/>
  <c r="E399" i="4" a="1"/>
  <c r="E399" i="4" s="1"/>
  <c r="G399" i="4"/>
  <c r="G746" i="4"/>
  <c r="F746" i="4"/>
  <c r="E746" i="4" a="1"/>
  <c r="E746" i="4" s="1"/>
  <c r="E2279" i="4" a="1"/>
  <c r="E2279" i="4" s="1"/>
  <c r="F2279" i="4"/>
  <c r="G2279" i="4"/>
  <c r="G381" i="4"/>
  <c r="F381" i="4"/>
  <c r="E381" i="4" a="1"/>
  <c r="E381" i="4" s="1"/>
  <c r="F796" i="4"/>
  <c r="E796" i="4" a="1"/>
  <c r="E796" i="4" s="1"/>
  <c r="G796" i="4"/>
  <c r="G1333" i="4"/>
  <c r="E1333" i="4" a="1"/>
  <c r="E1333" i="4" s="1"/>
  <c r="F1333" i="4"/>
  <c r="E1641" i="4" a="1"/>
  <c r="E1641" i="4" s="1"/>
  <c r="F1641" i="4"/>
  <c r="G1641" i="4"/>
  <c r="E1950" i="4" a="1"/>
  <c r="E1950" i="4" s="1"/>
  <c r="G1950" i="4"/>
  <c r="F1950" i="4"/>
  <c r="F2378" i="4"/>
  <c r="E2378" i="4" a="1"/>
  <c r="E2378" i="4" s="1"/>
  <c r="G2378" i="4"/>
  <c r="G2304" i="4"/>
  <c r="F2304" i="4"/>
  <c r="E2304" i="4" a="1"/>
  <c r="E2304" i="4" s="1"/>
  <c r="J3" i="1"/>
  <c r="E2253" i="4" a="1"/>
  <c r="E2253" i="4" s="1"/>
  <c r="F2253" i="4"/>
  <c r="G2253" i="4"/>
  <c r="G2254" i="4"/>
  <c r="E2254" i="4" a="1"/>
  <c r="E2254" i="4" s="1"/>
  <c r="F2254" i="4"/>
  <c r="F1747" i="4"/>
  <c r="G1747" i="4"/>
  <c r="E1747" i="4" a="1"/>
  <c r="E1747" i="4" s="1"/>
  <c r="F1937" i="4"/>
  <c r="G1937" i="4"/>
  <c r="E1937" i="4" a="1"/>
  <c r="E1937" i="4" s="1"/>
  <c r="E1844" i="4" a="1"/>
  <c r="E1844" i="4" s="1"/>
  <c r="F1844" i="4"/>
  <c r="G1844" i="4"/>
  <c r="E1882" i="4" a="1"/>
  <c r="E1882" i="4" s="1"/>
  <c r="F1882" i="4"/>
  <c r="G1882" i="4"/>
  <c r="F2536" i="4"/>
  <c r="G2536" i="4"/>
  <c r="E2536" i="4" a="1"/>
  <c r="E2536" i="4" s="1"/>
  <c r="E2510" i="4" a="1"/>
  <c r="E2510" i="4" s="1"/>
  <c r="G2510" i="4"/>
  <c r="F2510" i="4"/>
  <c r="G2497" i="4"/>
  <c r="E2497" i="4" a="1"/>
  <c r="E2497" i="4" s="1"/>
  <c r="F2497" i="4"/>
  <c r="F636" i="4"/>
  <c r="G636" i="4"/>
  <c r="E636" i="4" a="1"/>
  <c r="E636" i="4" s="1"/>
  <c r="F2519" i="4"/>
  <c r="G2519" i="4"/>
  <c r="E2519" i="4" a="1"/>
  <c r="E2519" i="4" s="1"/>
  <c r="F999" i="4"/>
  <c r="E999" i="4" a="1"/>
  <c r="E999" i="4" s="1"/>
  <c r="G999" i="4"/>
  <c r="F702" i="4"/>
  <c r="G702" i="4"/>
  <c r="E702" i="4" a="1"/>
  <c r="E702" i="4" s="1"/>
  <c r="E368" i="4" a="1"/>
  <c r="E368" i="4" s="1"/>
  <c r="F368" i="4"/>
  <c r="G368" i="4"/>
  <c r="G2527" i="4"/>
  <c r="E2527" i="4" a="1"/>
  <c r="E2527" i="4" s="1"/>
  <c r="F2527" i="4"/>
  <c r="E1712" i="4" a="1"/>
  <c r="E1712" i="4" s="1"/>
  <c r="G1712" i="4"/>
  <c r="F1712" i="4"/>
  <c r="G2466" i="4"/>
  <c r="F2466" i="4"/>
  <c r="E2466" i="4" a="1"/>
  <c r="E2466" i="4" s="1"/>
  <c r="G2484" i="4"/>
  <c r="F2484" i="4"/>
  <c r="E2484" i="4" a="1"/>
  <c r="E2484" i="4" s="1"/>
  <c r="E2472" i="4" a="1"/>
  <c r="E2472" i="4" s="1"/>
  <c r="F2472" i="4"/>
  <c r="G2472" i="4"/>
  <c r="F1931" i="4"/>
  <c r="E1931" i="4" a="1"/>
  <c r="E1931" i="4" s="1"/>
  <c r="G1931" i="4"/>
  <c r="F2474" i="4"/>
  <c r="E2474" i="4" a="1"/>
  <c r="E2474" i="4" s="1"/>
  <c r="G2474" i="4"/>
  <c r="E2476" i="4" a="1"/>
  <c r="E2476" i="4" s="1"/>
  <c r="G2476" i="4"/>
  <c r="F2476" i="4"/>
  <c r="G2432" i="4"/>
  <c r="E2432" i="4" a="1"/>
  <c r="E2432" i="4" s="1"/>
  <c r="F2432" i="4"/>
  <c r="E906" i="4" a="1"/>
  <c r="E906" i="4" s="1"/>
  <c r="G906" i="4"/>
  <c r="F906" i="4"/>
  <c r="G759" i="4"/>
  <c r="E759" i="4" a="1"/>
  <c r="E759" i="4" s="1"/>
  <c r="F759" i="4"/>
  <c r="F1919" i="4"/>
  <c r="G1919" i="4"/>
  <c r="E1919" i="4" a="1"/>
  <c r="E1919" i="4" s="1"/>
  <c r="E735" i="4" a="1"/>
  <c r="E735" i="4" s="1"/>
  <c r="F735" i="4"/>
  <c r="G735" i="4"/>
  <c r="G668" i="4"/>
  <c r="F668" i="4"/>
  <c r="E668" i="4" a="1"/>
  <c r="E668" i="4" s="1"/>
  <c r="F894" i="4"/>
  <c r="E894" i="4" a="1"/>
  <c r="E894" i="4" s="1"/>
  <c r="G894" i="4"/>
  <c r="F905" i="4"/>
  <c r="E905" i="4" a="1"/>
  <c r="E905" i="4" s="1"/>
  <c r="G905" i="4"/>
  <c r="F2480" i="4"/>
  <c r="G2480" i="4"/>
  <c r="E2480" i="4" a="1"/>
  <c r="E2480" i="4" s="1"/>
  <c r="G1550" i="4"/>
  <c r="F1550" i="4"/>
  <c r="E1550" i="4" a="1"/>
  <c r="E1550" i="4" s="1"/>
  <c r="F2458" i="4"/>
  <c r="G2458" i="4"/>
  <c r="E2458" i="4" a="1"/>
  <c r="E2458" i="4" s="1"/>
  <c r="G930" i="4"/>
  <c r="E930" i="4" a="1"/>
  <c r="E930" i="4" s="1"/>
  <c r="F930" i="4"/>
  <c r="G1953" i="4"/>
  <c r="F1953" i="4"/>
  <c r="E1953" i="4" a="1"/>
  <c r="E1953" i="4" s="1"/>
  <c r="E185" i="4" a="1"/>
  <c r="E185" i="4" s="1"/>
  <c r="G185" i="4"/>
  <c r="F185" i="4"/>
  <c r="G1314" i="4"/>
  <c r="E1314" i="4" a="1"/>
  <c r="E1314" i="4" s="1"/>
  <c r="F1314" i="4"/>
  <c r="F1918" i="4"/>
  <c r="E1918" i="4" a="1"/>
  <c r="E1918" i="4" s="1"/>
  <c r="G1918" i="4"/>
  <c r="F1804" i="4"/>
  <c r="G1804" i="4"/>
  <c r="E1804" i="4" a="1"/>
  <c r="E1804" i="4" s="1"/>
  <c r="F882" i="4"/>
  <c r="G882" i="4"/>
  <c r="E882" i="4" a="1"/>
  <c r="E882" i="4" s="1"/>
  <c r="G387" i="4"/>
  <c r="F387" i="4"/>
  <c r="E387" i="4" a="1"/>
  <c r="E387" i="4" s="1"/>
  <c r="G2455" i="4"/>
  <c r="E2455" i="4" a="1"/>
  <c r="E2455" i="4" s="1"/>
  <c r="F2455" i="4"/>
  <c r="F1271" i="4"/>
  <c r="E1271" i="4" a="1"/>
  <c r="E1271" i="4" s="1"/>
  <c r="G1271" i="4"/>
  <c r="G2577" i="4"/>
  <c r="F2577" i="4"/>
  <c r="E2577" i="4" a="1"/>
  <c r="E2577" i="4" s="1"/>
  <c r="G1780" i="4"/>
  <c r="E1780" i="4" a="1"/>
  <c r="E1780" i="4" s="1"/>
  <c r="F1780" i="4"/>
  <c r="E421" i="4" a="1"/>
  <c r="E421" i="4" s="1"/>
  <c r="G421" i="4"/>
  <c r="F421" i="4"/>
  <c r="F709" i="4"/>
  <c r="G709" i="4"/>
  <c r="E709" i="4" a="1"/>
  <c r="E709" i="4" s="1"/>
  <c r="G537" i="4"/>
  <c r="F537" i="4"/>
  <c r="E537" i="4" a="1"/>
  <c r="E537" i="4" s="1"/>
  <c r="F1021" i="4"/>
  <c r="E1021" i="4" a="1"/>
  <c r="E1021" i="4" s="1"/>
  <c r="G1021" i="4"/>
  <c r="F2322" i="4"/>
  <c r="E2322" i="4" a="1"/>
  <c r="E2322" i="4" s="1"/>
  <c r="G2322" i="4"/>
  <c r="E1409" i="4" a="1"/>
  <c r="E1409" i="4" s="1"/>
  <c r="F1409" i="4"/>
  <c r="G1409" i="4"/>
  <c r="F2585" i="4"/>
  <c r="G2585" i="4"/>
  <c r="E2585" i="4" a="1"/>
  <c r="E2585" i="4" s="1"/>
  <c r="F50" i="4"/>
  <c r="G50" i="4"/>
  <c r="E50" i="4" a="1"/>
  <c r="E50" i="4" s="1"/>
  <c r="E1769" i="4" a="1"/>
  <c r="E1769" i="4" s="1"/>
  <c r="F1769" i="4"/>
  <c r="G1769" i="4"/>
  <c r="G2223" i="4"/>
  <c r="E2223" i="4" a="1"/>
  <c r="E2223" i="4" s="1"/>
  <c r="F2223" i="4"/>
  <c r="G337" i="4"/>
  <c r="F337" i="4"/>
  <c r="E337" i="4" a="1"/>
  <c r="E337" i="4" s="1"/>
  <c r="E873" i="4" a="1"/>
  <c r="E873" i="4" s="1"/>
  <c r="F873" i="4"/>
  <c r="G873" i="4"/>
  <c r="F898" i="4"/>
  <c r="E898" i="4" a="1"/>
  <c r="E898" i="4" s="1"/>
  <c r="G898" i="4"/>
  <c r="G1916" i="4"/>
  <c r="E1916" i="4" a="1"/>
  <c r="E1916" i="4" s="1"/>
  <c r="F1916" i="4"/>
  <c r="G2286" i="4"/>
  <c r="F2286" i="4"/>
  <c r="E2286" i="4" a="1"/>
  <c r="E2286" i="4" s="1"/>
  <c r="E1339" i="4" a="1"/>
  <c r="E1339" i="4" s="1"/>
  <c r="G1339" i="4"/>
  <c r="F1339" i="4"/>
  <c r="G340" i="4"/>
  <c r="F340" i="4"/>
  <c r="E340" i="4" a="1"/>
  <c r="E340" i="4" s="1"/>
  <c r="E1401" i="4" a="1"/>
  <c r="E1401" i="4" s="1"/>
  <c r="G1401" i="4"/>
  <c r="F1401" i="4"/>
  <c r="F1761" i="4"/>
  <c r="E1761" i="4" a="1"/>
  <c r="E1761" i="4" s="1"/>
  <c r="G1761" i="4"/>
  <c r="G1020" i="4"/>
  <c r="F1020" i="4"/>
  <c r="E1020" i="4" a="1"/>
  <c r="E1020" i="4" s="1"/>
  <c r="E1639" i="4" a="1"/>
  <c r="E1639" i="4" s="1"/>
  <c r="F1639" i="4"/>
  <c r="G1639" i="4"/>
  <c r="E100" i="4" a="1"/>
  <c r="E100" i="4" s="1"/>
  <c r="G100" i="4"/>
  <c r="F100" i="4"/>
  <c r="E2423" i="4" a="1"/>
  <c r="E2423" i="4" s="1"/>
  <c r="F2423" i="4"/>
  <c r="G2423" i="4"/>
  <c r="F2141" i="4"/>
  <c r="G2141" i="4"/>
  <c r="E2141" i="4" a="1"/>
  <c r="E2141" i="4" s="1"/>
  <c r="E1097" i="4" a="1"/>
  <c r="E1097" i="4" s="1"/>
  <c r="G1097" i="4"/>
  <c r="F1097" i="4"/>
  <c r="E2475" i="4" a="1"/>
  <c r="E2475" i="4" s="1"/>
  <c r="G2475" i="4"/>
  <c r="F2475" i="4"/>
  <c r="G1880" i="4"/>
  <c r="E1880" i="4" a="1"/>
  <c r="E1880" i="4" s="1"/>
  <c r="F1880" i="4"/>
  <c r="F1042" i="4"/>
  <c r="E1042" i="4" a="1"/>
  <c r="E1042" i="4" s="1"/>
  <c r="G1042" i="4"/>
  <c r="E2203" i="4" a="1"/>
  <c r="E2203" i="4" s="1"/>
  <c r="G2203" i="4"/>
  <c r="F2203" i="4"/>
  <c r="E928" i="4" a="1"/>
  <c r="E928" i="4" s="1"/>
  <c r="F928" i="4"/>
  <c r="G928" i="4"/>
  <c r="F1352" i="4"/>
  <c r="E1352" i="4" a="1"/>
  <c r="E1352" i="4" s="1"/>
  <c r="G1352" i="4"/>
  <c r="E1385" i="4" a="1"/>
  <c r="E1385" i="4" s="1"/>
  <c r="F1385" i="4"/>
  <c r="G1385" i="4"/>
  <c r="G911" i="4"/>
  <c r="E911" i="4" a="1"/>
  <c r="E911" i="4" s="1"/>
  <c r="F911" i="4"/>
  <c r="G1209" i="4"/>
  <c r="E1209" i="4" a="1"/>
  <c r="E1209" i="4" s="1"/>
  <c r="F1209" i="4"/>
  <c r="E266" i="4" a="1"/>
  <c r="E266" i="4" s="1"/>
  <c r="F266" i="4"/>
  <c r="G266" i="4"/>
  <c r="E690" i="4" a="1"/>
  <c r="E690" i="4" s="1"/>
  <c r="G690" i="4"/>
  <c r="F690" i="4"/>
  <c r="F864" i="4"/>
  <c r="G864" i="4"/>
  <c r="E864" i="4" a="1"/>
  <c r="E864" i="4" s="1"/>
  <c r="F662" i="4"/>
  <c r="G662" i="4"/>
  <c r="E662" i="4" a="1"/>
  <c r="E662" i="4" s="1"/>
  <c r="G904" i="4"/>
  <c r="E904" i="4" a="1"/>
  <c r="E904" i="4" s="1"/>
  <c r="F904" i="4"/>
  <c r="G1704" i="4"/>
  <c r="F1704" i="4"/>
  <c r="E1704" i="4" a="1"/>
  <c r="E1704" i="4" s="1"/>
  <c r="G685" i="4"/>
  <c r="F685" i="4"/>
  <c r="E685" i="4" a="1"/>
  <c r="E685" i="4" s="1"/>
  <c r="G1739" i="4"/>
  <c r="E1739" i="4" a="1"/>
  <c r="E1739" i="4" s="1"/>
  <c r="F1739" i="4"/>
  <c r="E2403" i="4" a="1"/>
  <c r="E2403" i="4" s="1"/>
  <c r="G2403" i="4"/>
  <c r="F2403" i="4"/>
  <c r="E227" i="4" a="1"/>
  <c r="E227" i="4" s="1"/>
  <c r="F227" i="4"/>
  <c r="G227" i="4"/>
  <c r="E1304" i="4" a="1"/>
  <c r="E1304" i="4" s="1"/>
  <c r="F1304" i="4"/>
  <c r="G1304" i="4"/>
  <c r="E666" i="4" a="1"/>
  <c r="E666" i="4" s="1"/>
  <c r="F666" i="4"/>
  <c r="G666" i="4"/>
  <c r="G1573" i="4"/>
  <c r="E1573" i="4" a="1"/>
  <c r="E1573" i="4" s="1"/>
  <c r="F1573" i="4"/>
  <c r="F436" i="4"/>
  <c r="G436" i="4"/>
  <c r="E436" i="4" a="1"/>
  <c r="E436" i="4" s="1"/>
  <c r="E1214" i="4" a="1"/>
  <c r="E1214" i="4" s="1"/>
  <c r="G1214" i="4"/>
  <c r="F1214" i="4"/>
  <c r="G1197" i="4"/>
  <c r="E1197" i="4" a="1"/>
  <c r="E1197" i="4" s="1"/>
  <c r="F1197" i="4"/>
  <c r="E540" i="4" a="1"/>
  <c r="E540" i="4" s="1"/>
  <c r="G540" i="4"/>
  <c r="F540" i="4"/>
  <c r="F1366" i="4"/>
  <c r="G1366" i="4"/>
  <c r="E1366" i="4" a="1"/>
  <c r="E1366" i="4" s="1"/>
  <c r="F262" i="4"/>
  <c r="E262" i="4" a="1"/>
  <c r="E262" i="4" s="1"/>
  <c r="G262" i="4"/>
  <c r="F127" i="4"/>
  <c r="G127" i="4"/>
  <c r="E127" i="4" a="1"/>
  <c r="E127" i="4" s="1"/>
  <c r="F879" i="4"/>
  <c r="E879" i="4" a="1"/>
  <c r="E879" i="4" s="1"/>
  <c r="G879" i="4"/>
  <c r="F1643" i="4"/>
  <c r="G1643" i="4"/>
  <c r="E1643" i="4" a="1"/>
  <c r="E1643" i="4" s="1"/>
  <c r="G2453" i="4"/>
  <c r="F2453" i="4"/>
  <c r="E2453" i="4" a="1"/>
  <c r="E2453" i="4" s="1"/>
  <c r="E1491" i="4" a="1"/>
  <c r="E1491" i="4" s="1"/>
  <c r="G1491" i="4"/>
  <c r="F1491" i="4"/>
  <c r="F2489" i="4"/>
  <c r="E2489" i="4" a="1"/>
  <c r="E2489" i="4" s="1"/>
  <c r="G2489" i="4"/>
  <c r="G715" i="4"/>
  <c r="F715" i="4"/>
  <c r="E715" i="4" a="1"/>
  <c r="E715" i="4" s="1"/>
  <c r="E1884" i="4" a="1"/>
  <c r="E1884" i="4" s="1"/>
  <c r="G1884" i="4"/>
  <c r="F1884" i="4"/>
  <c r="F2498" i="4"/>
  <c r="E2498" i="4" a="1"/>
  <c r="E2498" i="4" s="1"/>
  <c r="G2498" i="4"/>
  <c r="F1649" i="4"/>
  <c r="G1649" i="4"/>
  <c r="E1649" i="4" a="1"/>
  <c r="E1649" i="4" s="1"/>
  <c r="G2448" i="4"/>
  <c r="F2448" i="4"/>
  <c r="E2448" i="4" a="1"/>
  <c r="E2448" i="4" s="1"/>
  <c r="E675" i="4" a="1"/>
  <c r="E675" i="4" s="1"/>
  <c r="F675" i="4"/>
  <c r="G675" i="4"/>
  <c r="E1606" i="4" a="1"/>
  <c r="E1606" i="4" s="1"/>
  <c r="F1606" i="4"/>
  <c r="G1606" i="4"/>
  <c r="E2242" i="4" a="1"/>
  <c r="E2242" i="4" s="1"/>
  <c r="G2242" i="4"/>
  <c r="F2242" i="4"/>
  <c r="G364" i="4"/>
  <c r="E364" i="4" a="1"/>
  <c r="E364" i="4" s="1"/>
  <c r="F364" i="4"/>
  <c r="E1373" i="4" a="1"/>
  <c r="E1373" i="4" s="1"/>
  <c r="F1373" i="4"/>
  <c r="G1373" i="4"/>
  <c r="G474" i="4"/>
  <c r="E474" i="4" a="1"/>
  <c r="E474" i="4" s="1"/>
  <c r="F474" i="4"/>
  <c r="G755" i="4"/>
  <c r="F755" i="4"/>
  <c r="E755" i="4" a="1"/>
  <c r="E755" i="4" s="1"/>
  <c r="F1437" i="4"/>
  <c r="G1437" i="4"/>
  <c r="E1437" i="4" a="1"/>
  <c r="E1437" i="4" s="1"/>
  <c r="E1192" i="4" a="1"/>
  <c r="E1192" i="4" s="1"/>
  <c r="F1192" i="4"/>
  <c r="G1192" i="4"/>
  <c r="G1994" i="4"/>
  <c r="E1994" i="4" a="1"/>
  <c r="E1994" i="4" s="1"/>
  <c r="F1994" i="4"/>
  <c r="E114" i="4" a="1"/>
  <c r="E114" i="4" s="1"/>
  <c r="G114" i="4"/>
  <c r="F114" i="4"/>
  <c r="G1586" i="4"/>
  <c r="E1586" i="4" a="1"/>
  <c r="E1586" i="4" s="1"/>
  <c r="F1586" i="4"/>
  <c r="F577" i="4"/>
  <c r="E577" i="4" a="1"/>
  <c r="E577" i="4" s="1"/>
  <c r="G577" i="4"/>
  <c r="G538" i="4"/>
  <c r="E538" i="4" a="1"/>
  <c r="E538" i="4" s="1"/>
  <c r="F538" i="4"/>
  <c r="E529" i="4" a="1"/>
  <c r="E529" i="4" s="1"/>
  <c r="G529" i="4"/>
  <c r="F529" i="4"/>
  <c r="F1149" i="4"/>
  <c r="E1149" i="4" a="1"/>
  <c r="E1149" i="4" s="1"/>
  <c r="G1149" i="4"/>
  <c r="E487" i="4" a="1"/>
  <c r="E487" i="4" s="1"/>
  <c r="F487" i="4"/>
  <c r="G487" i="4"/>
  <c r="E488" i="4" a="1"/>
  <c r="E488" i="4" s="1"/>
  <c r="F488" i="4"/>
  <c r="G488" i="4"/>
  <c r="E1224" i="4" a="1"/>
  <c r="E1224" i="4" s="1"/>
  <c r="G1224" i="4"/>
  <c r="F1224" i="4"/>
  <c r="E1990" i="4" a="1"/>
  <c r="E1990" i="4" s="1"/>
  <c r="F1990" i="4"/>
  <c r="G1990" i="4"/>
  <c r="F1856" i="4"/>
  <c r="E1856" i="4" a="1"/>
  <c r="E1856" i="4" s="1"/>
  <c r="G1856" i="4"/>
  <c r="F2165" i="4"/>
  <c r="G2165" i="4"/>
  <c r="E2165" i="4" a="1"/>
  <c r="E2165" i="4" s="1"/>
  <c r="G1914" i="4"/>
  <c r="F1914" i="4"/>
  <c r="E1914" i="4" a="1"/>
  <c r="E1914" i="4" s="1"/>
  <c r="G2468" i="4"/>
  <c r="E2468" i="4" a="1"/>
  <c r="E2468" i="4" s="1"/>
  <c r="F2468" i="4"/>
  <c r="E1447" i="4" a="1"/>
  <c r="E1447" i="4" s="1"/>
  <c r="G1447" i="4"/>
  <c r="F1447" i="4"/>
  <c r="E1514" i="4" a="1"/>
  <c r="E1514" i="4" s="1"/>
  <c r="G1514" i="4"/>
  <c r="F1514" i="4"/>
  <c r="E2140" i="4" a="1"/>
  <c r="E2140" i="4" s="1"/>
  <c r="F2140" i="4"/>
  <c r="G2140" i="4"/>
  <c r="F2471" i="4"/>
  <c r="G2471" i="4"/>
  <c r="E2471" i="4" a="1"/>
  <c r="E2471" i="4" s="1"/>
  <c r="G872" i="4"/>
  <c r="F872" i="4"/>
  <c r="E872" i="4" a="1"/>
  <c r="E872" i="4" s="1"/>
  <c r="F1329" i="4"/>
  <c r="G1329" i="4"/>
  <c r="E1329" i="4" a="1"/>
  <c r="E1329" i="4" s="1"/>
  <c r="E607" i="4" a="1"/>
  <c r="E607" i="4" s="1"/>
  <c r="F607" i="4"/>
  <c r="G607" i="4"/>
  <c r="G606" i="4"/>
  <c r="F606" i="4"/>
  <c r="E606" i="4" a="1"/>
  <c r="E606" i="4" s="1"/>
  <c r="F1601" i="4"/>
  <c r="E1601" i="4" a="1"/>
  <c r="E1601" i="4" s="1"/>
  <c r="G1601" i="4"/>
  <c r="G1331" i="4"/>
  <c r="F1331" i="4"/>
  <c r="E1331" i="4" a="1"/>
  <c r="E1331" i="4" s="1"/>
  <c r="F802" i="4"/>
  <c r="G802" i="4"/>
  <c r="E802" i="4" a="1"/>
  <c r="E802" i="4" s="1"/>
  <c r="G925" i="4"/>
  <c r="E925" i="4" a="1"/>
  <c r="E925" i="4" s="1"/>
  <c r="F925" i="4"/>
  <c r="E1505" i="4" a="1"/>
  <c r="E1505" i="4" s="1"/>
  <c r="G1505" i="4"/>
  <c r="F1505" i="4"/>
  <c r="E1111" i="4" a="1"/>
  <c r="E1111" i="4" s="1"/>
  <c r="F1111" i="4"/>
  <c r="G1111" i="4"/>
  <c r="E2420" i="4" a="1"/>
  <c r="E2420" i="4" s="1"/>
  <c r="G2420" i="4"/>
  <c r="F2420" i="4"/>
  <c r="G991" i="4"/>
  <c r="E991" i="4" a="1"/>
  <c r="E991" i="4" s="1"/>
  <c r="F991" i="4"/>
  <c r="E596" i="4" a="1"/>
  <c r="E596" i="4" s="1"/>
  <c r="F596" i="4"/>
  <c r="G596" i="4"/>
  <c r="E1416" i="4" a="1"/>
  <c r="E1416" i="4" s="1"/>
  <c r="F1416" i="4"/>
  <c r="G1416" i="4"/>
  <c r="F791" i="4"/>
  <c r="G791" i="4"/>
  <c r="E791" i="4" a="1"/>
  <c r="E791" i="4" s="1"/>
  <c r="G226" i="4"/>
  <c r="E226" i="4" a="1"/>
  <c r="E226" i="4" s="1"/>
  <c r="F226" i="4"/>
  <c r="E1675" i="4" a="1"/>
  <c r="E1675" i="4" s="1"/>
  <c r="F1675" i="4"/>
  <c r="G1675" i="4"/>
  <c r="G1355" i="4"/>
  <c r="E1355" i="4" a="1"/>
  <c r="E1355" i="4" s="1"/>
  <c r="F1355" i="4"/>
  <c r="G1393" i="4"/>
  <c r="E1393" i="4" a="1"/>
  <c r="E1393" i="4" s="1"/>
  <c r="F1393" i="4"/>
  <c r="G2481" i="4"/>
  <c r="E2481" i="4" a="1"/>
  <c r="E2481" i="4" s="1"/>
  <c r="F2481" i="4"/>
  <c r="F1384" i="4"/>
  <c r="E1384" i="4" a="1"/>
  <c r="E1384" i="4" s="1"/>
  <c r="G1384" i="4"/>
  <c r="G246" i="4"/>
  <c r="F246" i="4"/>
  <c r="E246" i="4" a="1"/>
  <c r="E246" i="4" s="1"/>
  <c r="F2174" i="4"/>
  <c r="G2174" i="4"/>
  <c r="E2174" i="4" a="1"/>
  <c r="E2174" i="4" s="1"/>
  <c r="G36" i="4"/>
  <c r="E36" i="4" a="1"/>
  <c r="E36" i="4" s="1"/>
  <c r="F36" i="4"/>
  <c r="E883" i="4" a="1"/>
  <c r="E883" i="4" s="1"/>
  <c r="G883" i="4"/>
  <c r="F883" i="4"/>
  <c r="F1753" i="4"/>
  <c r="G1753" i="4"/>
  <c r="E1753" i="4" a="1"/>
  <c r="E1753" i="4" s="1"/>
  <c r="E754" i="4" a="1"/>
  <c r="E754" i="4" s="1"/>
  <c r="F754" i="4"/>
  <c r="G754" i="4"/>
  <c r="E1201" i="4" a="1"/>
  <c r="E1201" i="4" s="1"/>
  <c r="G1201" i="4"/>
  <c r="F1201" i="4"/>
  <c r="F1905" i="4"/>
  <c r="E1905" i="4" a="1"/>
  <c r="E1905" i="4" s="1"/>
  <c r="G1905" i="4"/>
  <c r="F2096" i="4"/>
  <c r="E2096" i="4" a="1"/>
  <c r="E2096" i="4" s="1"/>
  <c r="G2096" i="4"/>
  <c r="F324" i="4"/>
  <c r="G324" i="4"/>
  <c r="E324" i="4" a="1"/>
  <c r="E324" i="4" s="1"/>
  <c r="E38" i="4" a="1"/>
  <c r="E38" i="4" s="1"/>
  <c r="F38" i="4"/>
  <c r="G38" i="4"/>
  <c r="F785" i="4"/>
  <c r="G785" i="4"/>
  <c r="E785" i="4" a="1"/>
  <c r="E785" i="4" s="1"/>
  <c r="F2447" i="4"/>
  <c r="E2447" i="4" a="1"/>
  <c r="E2447" i="4" s="1"/>
  <c r="G2447" i="4"/>
  <c r="F2167" i="4"/>
  <c r="G2167" i="4"/>
  <c r="E2167" i="4" a="1"/>
  <c r="E2167" i="4" s="1"/>
  <c r="G2095" i="4"/>
  <c r="E2095" i="4" a="1"/>
  <c r="E2095" i="4" s="1"/>
  <c r="F2095" i="4"/>
  <c r="F2506" i="4"/>
  <c r="G2506" i="4"/>
  <c r="E2506" i="4" a="1"/>
  <c r="E2506" i="4" s="1"/>
  <c r="F1833" i="4"/>
  <c r="G1833" i="4"/>
  <c r="E1833" i="4" a="1"/>
  <c r="E1833" i="4" s="1"/>
  <c r="F653" i="4"/>
  <c r="E653" i="4" a="1"/>
  <c r="E653" i="4" s="1"/>
  <c r="G653" i="4"/>
  <c r="G1459" i="4"/>
  <c r="F1459" i="4"/>
  <c r="E1459" i="4" a="1"/>
  <c r="E1459" i="4" s="1"/>
  <c r="F2041" i="4"/>
  <c r="G2041" i="4"/>
  <c r="E2041" i="4" a="1"/>
  <c r="E2041" i="4" s="1"/>
  <c r="E1011" i="4" a="1"/>
  <c r="E1011" i="4" s="1"/>
  <c r="F1011" i="4"/>
  <c r="G1011" i="4"/>
  <c r="F2308" i="4"/>
  <c r="G2308" i="4"/>
  <c r="E2308" i="4" a="1"/>
  <c r="E2308" i="4" s="1"/>
  <c r="E1724" i="4" a="1"/>
  <c r="E1724" i="4" s="1"/>
  <c r="G1724" i="4"/>
  <c r="F1724" i="4"/>
  <c r="E1690" i="4" a="1"/>
  <c r="E1690" i="4" s="1"/>
  <c r="F1690" i="4"/>
  <c r="G1690" i="4"/>
  <c r="G311" i="4"/>
  <c r="E311" i="4" a="1"/>
  <c r="E311" i="4" s="1"/>
  <c r="F311" i="4"/>
  <c r="G1544" i="4"/>
  <c r="F1544" i="4"/>
  <c r="E1544" i="4" a="1"/>
  <c r="E1544" i="4" s="1"/>
  <c r="F2321" i="4"/>
  <c r="E2321" i="4" a="1"/>
  <c r="E2321" i="4" s="1"/>
  <c r="G2321" i="4"/>
  <c r="E269" i="4" a="1"/>
  <c r="E269" i="4" s="1"/>
  <c r="G269" i="4"/>
  <c r="F269" i="4"/>
  <c r="G179" i="4"/>
  <c r="F179" i="4"/>
  <c r="E179" i="4" a="1"/>
  <c r="E179" i="4" s="1"/>
  <c r="F2295" i="4"/>
  <c r="G2295" i="4"/>
  <c r="E2295" i="4" a="1"/>
  <c r="E2295" i="4" s="1"/>
  <c r="E2293" i="4" a="1"/>
  <c r="E2293" i="4" s="1"/>
  <c r="G2293" i="4"/>
  <c r="F2293" i="4"/>
  <c r="F2581" i="4"/>
  <c r="G2581" i="4"/>
  <c r="E2581" i="4" a="1"/>
  <c r="E2581" i="4" s="1"/>
  <c r="F1647" i="4"/>
  <c r="E1647" i="4" a="1"/>
  <c r="E1647" i="4" s="1"/>
  <c r="G1647" i="4"/>
  <c r="G1825" i="4"/>
  <c r="F1825" i="4"/>
  <c r="E1825" i="4" a="1"/>
  <c r="E1825" i="4" s="1"/>
  <c r="E87" i="4" a="1"/>
  <c r="E87" i="4" s="1"/>
  <c r="F87" i="4"/>
  <c r="G87" i="4"/>
  <c r="F90" i="4"/>
  <c r="E90" i="4" a="1"/>
  <c r="E90" i="4" s="1"/>
  <c r="G90" i="4"/>
  <c r="E1848" i="4" a="1"/>
  <c r="E1848" i="4" s="1"/>
  <c r="G1848" i="4"/>
  <c r="F1848" i="4"/>
  <c r="F193" i="4"/>
  <c r="E193" i="4" a="1"/>
  <c r="E193" i="4" s="1"/>
  <c r="G193" i="4"/>
  <c r="F651" i="4"/>
  <c r="G651" i="4"/>
  <c r="E651" i="4" a="1"/>
  <c r="E651" i="4" s="1"/>
  <c r="E756" i="4" a="1"/>
  <c r="E756" i="4" s="1"/>
  <c r="F756" i="4"/>
  <c r="G756" i="4"/>
  <c r="G2591" i="4"/>
  <c r="E2591" i="4" a="1"/>
  <c r="E2591" i="4" s="1"/>
  <c r="F2591" i="4"/>
  <c r="E622" i="4" a="1"/>
  <c r="E622" i="4" s="1"/>
  <c r="G622" i="4"/>
  <c r="F622" i="4"/>
  <c r="G804" i="4"/>
  <c r="F804" i="4"/>
  <c r="E804" i="4" a="1"/>
  <c r="E804" i="4" s="1"/>
  <c r="E460" i="4" a="1"/>
  <c r="E460" i="4" s="1"/>
  <c r="F460" i="4"/>
  <c r="G460" i="4"/>
  <c r="F2013" i="4"/>
  <c r="E2013" i="4" a="1"/>
  <c r="E2013" i="4" s="1"/>
  <c r="G2013" i="4"/>
  <c r="G846" i="4"/>
  <c r="F846" i="4"/>
  <c r="E846" i="4" a="1"/>
  <c r="E846" i="4" s="1"/>
  <c r="G1964" i="4"/>
  <c r="E1964" i="4" a="1"/>
  <c r="E1964" i="4" s="1"/>
  <c r="F1964" i="4"/>
  <c r="F1262" i="4"/>
  <c r="G1262" i="4"/>
  <c r="E1262" i="4" a="1"/>
  <c r="E1262" i="4" s="1"/>
  <c r="F712" i="4"/>
  <c r="G712" i="4"/>
  <c r="E712" i="4" a="1"/>
  <c r="E712" i="4" s="1"/>
  <c r="F2106" i="4"/>
  <c r="G2106" i="4"/>
  <c r="E2106" i="4" a="1"/>
  <c r="E2106" i="4" s="1"/>
  <c r="E1900" i="4" a="1"/>
  <c r="E1900" i="4" s="1"/>
  <c r="F1900" i="4"/>
  <c r="G1900" i="4"/>
  <c r="E2567" i="4" a="1"/>
  <c r="E2567" i="4" s="1"/>
  <c r="G2567" i="4"/>
  <c r="F2567" i="4"/>
  <c r="F1154" i="4"/>
  <c r="G1154" i="4"/>
  <c r="E1154" i="4" a="1"/>
  <c r="E1154" i="4" s="1"/>
  <c r="G2018" i="4"/>
  <c r="F2018" i="4"/>
  <c r="E2018" i="4" a="1"/>
  <c r="E2018" i="4" s="1"/>
  <c r="F1963" i="4"/>
  <c r="E1963" i="4" a="1"/>
  <c r="E1963" i="4" s="1"/>
  <c r="G1963" i="4"/>
  <c r="G2586" i="4"/>
  <c r="E2586" i="4" a="1"/>
  <c r="E2586" i="4" s="1"/>
  <c r="F2586" i="4"/>
  <c r="F278" i="4"/>
  <c r="G278" i="4"/>
  <c r="E278" i="4" a="1"/>
  <c r="E278" i="4" s="1"/>
  <c r="G2494" i="4"/>
  <c r="E2494" i="4" a="1"/>
  <c r="E2494" i="4" s="1"/>
  <c r="F2494" i="4"/>
  <c r="G1516" i="4"/>
  <c r="F1516" i="4"/>
  <c r="E1516" i="4" a="1"/>
  <c r="E1516" i="4" s="1"/>
  <c r="G1803" i="4"/>
  <c r="E1803" i="4" a="1"/>
  <c r="E1803" i="4" s="1"/>
  <c r="F1803" i="4"/>
  <c r="F2596" i="4"/>
  <c r="E2596" i="4" a="1"/>
  <c r="E2596" i="4" s="1"/>
  <c r="G2596" i="4"/>
  <c r="F2436" i="4"/>
  <c r="E2436" i="4" a="1"/>
  <c r="E2436" i="4" s="1"/>
  <c r="G2436" i="4"/>
  <c r="E1778" i="4" a="1"/>
  <c r="E1778" i="4" s="1"/>
  <c r="F1778" i="4"/>
  <c r="G1778" i="4"/>
  <c r="G985" i="4"/>
  <c r="E985" i="4" a="1"/>
  <c r="E985" i="4" s="1"/>
  <c r="F985" i="4"/>
  <c r="E1356" i="4" a="1"/>
  <c r="E1356" i="4" s="1"/>
  <c r="G1356" i="4"/>
  <c r="F1356" i="4"/>
  <c r="E520" i="4" a="1"/>
  <c r="E520" i="4" s="1"/>
  <c r="F520" i="4"/>
  <c r="G520" i="4"/>
  <c r="F1824" i="4"/>
  <c r="E1824" i="4" a="1"/>
  <c r="E1824" i="4" s="1"/>
  <c r="G1824" i="4"/>
  <c r="F1017" i="4"/>
  <c r="G1017" i="4"/>
  <c r="E1017" i="4" a="1"/>
  <c r="E1017" i="4" s="1"/>
  <c r="G2488" i="4"/>
  <c r="F2488" i="4"/>
  <c r="E2488" i="4" a="1"/>
  <c r="E2488" i="4" s="1"/>
  <c r="F2588" i="4"/>
  <c r="E2588" i="4" a="1"/>
  <c r="E2588" i="4" s="1"/>
  <c r="G2588" i="4"/>
  <c r="E812" i="4" a="1"/>
  <c r="E812" i="4" s="1"/>
  <c r="G812" i="4"/>
  <c r="F812" i="4"/>
  <c r="E2128" i="4" a="1"/>
  <c r="E2128" i="4" s="1"/>
  <c r="F2128" i="4"/>
  <c r="G2128" i="4"/>
  <c r="F1598" i="4"/>
  <c r="E1598" i="4" a="1"/>
  <c r="E1598" i="4" s="1"/>
  <c r="G1598" i="4"/>
  <c r="F1867" i="4"/>
  <c r="G1867" i="4"/>
  <c r="E1867" i="4" a="1"/>
  <c r="E1867" i="4" s="1"/>
  <c r="E2040" i="4" a="1"/>
  <c r="E2040" i="4" s="1"/>
  <c r="F2040" i="4"/>
  <c r="G2040" i="4"/>
  <c r="E1734" i="4" a="1"/>
  <c r="E1734" i="4" s="1"/>
  <c r="F1734" i="4"/>
  <c r="G1734" i="4"/>
  <c r="E2486" i="4" a="1"/>
  <c r="E2486" i="4" s="1"/>
  <c r="F2486" i="4"/>
  <c r="G2486" i="4"/>
  <c r="E1360" i="4" a="1"/>
  <c r="E1360" i="4" s="1"/>
  <c r="G1360" i="4"/>
  <c r="F1360" i="4"/>
  <c r="F2012" i="4"/>
  <c r="E2012" i="4" a="1"/>
  <c r="E2012" i="4" s="1"/>
  <c r="G2012" i="4"/>
  <c r="G2303" i="4"/>
  <c r="E2303" i="4" a="1"/>
  <c r="E2303" i="4" s="1"/>
  <c r="F2303" i="4"/>
  <c r="E2434" i="4" a="1"/>
  <c r="E2434" i="4" s="1"/>
  <c r="F2434" i="4"/>
  <c r="G2434" i="4"/>
  <c r="G97" i="4"/>
  <c r="E97" i="4" a="1"/>
  <c r="E97" i="4" s="1"/>
  <c r="F97" i="4"/>
  <c r="E229" i="4" a="1"/>
  <c r="E229" i="4" s="1"/>
  <c r="G229" i="4"/>
  <c r="F229" i="4"/>
  <c r="G706" i="4"/>
  <c r="F706" i="4"/>
  <c r="E706" i="4" a="1"/>
  <c r="E706" i="4" s="1"/>
  <c r="F2120" i="4"/>
  <c r="E2120" i="4" a="1"/>
  <c r="E2120" i="4" s="1"/>
  <c r="G2120" i="4"/>
  <c r="E2300" i="4" a="1"/>
  <c r="E2300" i="4" s="1"/>
  <c r="G2300" i="4"/>
  <c r="F2300" i="4"/>
  <c r="F433" i="4"/>
  <c r="G433" i="4"/>
  <c r="E433" i="4" a="1"/>
  <c r="E433" i="4" s="1"/>
  <c r="G652" i="4"/>
  <c r="F652" i="4"/>
  <c r="E652" i="4" a="1"/>
  <c r="E652" i="4" s="1"/>
  <c r="G1403" i="4"/>
  <c r="F1403" i="4"/>
  <c r="E1403" i="4" a="1"/>
  <c r="E1403" i="4" s="1"/>
  <c r="E849" i="4" a="1"/>
  <c r="E849" i="4" s="1"/>
  <c r="F849" i="4"/>
  <c r="G849" i="4"/>
  <c r="G1157" i="4"/>
  <c r="F1157" i="4"/>
  <c r="E1157" i="4" a="1"/>
  <c r="E1157" i="4" s="1"/>
  <c r="F2146" i="4"/>
  <c r="E2146" i="4" a="1"/>
  <c r="E2146" i="4" s="1"/>
  <c r="G2146" i="4"/>
  <c r="E1215" i="4" a="1"/>
  <c r="E1215" i="4" s="1"/>
  <c r="F1215" i="4"/>
  <c r="G1215" i="4"/>
  <c r="G871" i="4"/>
  <c r="F871" i="4"/>
  <c r="E871" i="4" a="1"/>
  <c r="E871" i="4" s="1"/>
  <c r="F2265" i="4"/>
  <c r="G2265" i="4"/>
  <c r="E2265" i="4" a="1"/>
  <c r="E2265" i="4" s="1"/>
  <c r="F1422" i="4"/>
  <c r="G1422" i="4"/>
  <c r="E1422" i="4" a="1"/>
  <c r="E1422" i="4" s="1"/>
  <c r="F1205" i="4"/>
  <c r="G1205" i="4"/>
  <c r="E1205" i="4" a="1"/>
  <c r="E1205" i="4" s="1"/>
  <c r="E1448" i="4" a="1"/>
  <c r="E1448" i="4" s="1"/>
  <c r="G1448" i="4"/>
  <c r="F1448" i="4"/>
  <c r="G1278" i="4"/>
  <c r="F1278" i="4"/>
  <c r="E1278" i="4" a="1"/>
  <c r="E1278" i="4" s="1"/>
  <c r="F649" i="4"/>
  <c r="G649" i="4"/>
  <c r="E649" i="4" a="1"/>
  <c r="E649" i="4" s="1"/>
  <c r="E1263" i="4" a="1"/>
  <c r="E1263" i="4" s="1"/>
  <c r="G1263" i="4"/>
  <c r="F1263" i="4"/>
  <c r="G2442" i="4"/>
  <c r="E2442" i="4" a="1"/>
  <c r="E2442" i="4" s="1"/>
  <c r="F2442" i="4"/>
  <c r="E2406" i="4" a="1"/>
  <c r="E2406" i="4" s="1"/>
  <c r="F2406" i="4"/>
  <c r="G2406" i="4"/>
  <c r="E2080" i="4" a="1"/>
  <c r="E2080" i="4" s="1"/>
  <c r="F2080" i="4"/>
  <c r="G2080" i="4"/>
  <c r="F1529" i="4"/>
  <c r="G1529" i="4"/>
  <c r="E1529" i="4" a="1"/>
  <c r="E1529" i="4" s="1"/>
  <c r="F1435" i="4"/>
  <c r="G1435" i="4"/>
  <c r="E1435" i="4" a="1"/>
  <c r="E1435" i="4" s="1"/>
  <c r="G881" i="4"/>
  <c r="E881" i="4" a="1"/>
  <c r="E881" i="4" s="1"/>
  <c r="F881" i="4"/>
  <c r="E143" i="4" a="1"/>
  <c r="E143" i="4" s="1"/>
  <c r="F143" i="4"/>
  <c r="G143" i="4"/>
  <c r="E1653" i="4" a="1"/>
  <c r="E1653" i="4" s="1"/>
  <c r="G1653" i="4"/>
  <c r="F1653" i="4"/>
  <c r="F2427" i="4"/>
  <c r="E2427" i="4" a="1"/>
  <c r="E2427" i="4" s="1"/>
  <c r="G2427" i="4"/>
  <c r="E836" i="4" a="1"/>
  <c r="E836" i="4" s="1"/>
  <c r="G836" i="4"/>
  <c r="F836" i="4"/>
  <c r="G240" i="4"/>
  <c r="F240" i="4"/>
  <c r="E240" i="4" a="1"/>
  <c r="E240" i="4" s="1"/>
  <c r="G2412" i="4"/>
  <c r="F2412" i="4"/>
  <c r="E2412" i="4" a="1"/>
  <c r="E2412" i="4" s="1"/>
  <c r="F953" i="4"/>
  <c r="E953" i="4" a="1"/>
  <c r="E953" i="4" s="1"/>
  <c r="G953" i="4"/>
  <c r="E1608" i="4" a="1"/>
  <c r="E1608" i="4" s="1"/>
  <c r="F1608" i="4"/>
  <c r="G1608" i="4"/>
  <c r="E631" i="4" a="1"/>
  <c r="E631" i="4" s="1"/>
  <c r="F631" i="4"/>
  <c r="G631" i="4"/>
  <c r="G2277" i="4"/>
  <c r="E2277" i="4" a="1"/>
  <c r="E2277" i="4" s="1"/>
  <c r="F2277" i="4"/>
  <c r="F1404" i="4"/>
  <c r="G1404" i="4"/>
  <c r="E1404" i="4" a="1"/>
  <c r="E1404" i="4" s="1"/>
  <c r="F2360" i="4"/>
  <c r="E2360" i="4" a="1"/>
  <c r="E2360" i="4" s="1"/>
  <c r="G2360" i="4"/>
  <c r="E1515" i="4" a="1"/>
  <c r="E1515" i="4" s="1"/>
  <c r="G1515" i="4"/>
  <c r="F1515" i="4"/>
  <c r="E2262" i="4" a="1"/>
  <c r="E2262" i="4" s="1"/>
  <c r="F2262" i="4"/>
  <c r="G2262" i="4"/>
  <c r="F1571" i="4"/>
  <c r="G1571" i="4"/>
  <c r="E1571" i="4" a="1"/>
  <c r="E1571" i="4" s="1"/>
  <c r="F2418" i="4"/>
  <c r="E2418" i="4" a="1"/>
  <c r="E2418" i="4" s="1"/>
  <c r="G2418" i="4"/>
  <c r="G2326" i="4"/>
  <c r="E2326" i="4" a="1"/>
  <c r="E2326" i="4" s="1"/>
  <c r="F2326" i="4"/>
  <c r="F2483" i="4"/>
  <c r="E2483" i="4" a="1"/>
  <c r="E2483" i="4" s="1"/>
  <c r="G2483" i="4"/>
  <c r="E1207" i="4" a="1"/>
  <c r="E1207" i="4" s="1"/>
  <c r="G1207" i="4"/>
  <c r="F1207" i="4"/>
  <c r="F832" i="4"/>
  <c r="G832" i="4"/>
  <c r="E832" i="4" a="1"/>
  <c r="E832" i="4" s="1"/>
  <c r="F1464" i="4"/>
  <c r="G1464" i="4"/>
  <c r="E1464" i="4" a="1"/>
  <c r="E1464" i="4" s="1"/>
  <c r="G231" i="4"/>
  <c r="F231" i="4"/>
  <c r="E231" i="4" a="1"/>
  <c r="E231" i="4" s="1"/>
  <c r="F1977" i="4"/>
  <c r="G1977" i="4"/>
  <c r="E1977" i="4" a="1"/>
  <c r="E1977" i="4" s="1"/>
  <c r="E1296" i="4" a="1"/>
  <c r="E1296" i="4" s="1"/>
  <c r="G1296" i="4"/>
  <c r="F1296" i="4"/>
  <c r="E252" i="4" a="1"/>
  <c r="E252" i="4" s="1"/>
  <c r="G252" i="4"/>
  <c r="F252" i="4"/>
  <c r="F2415" i="4"/>
  <c r="G2415" i="4"/>
  <c r="E2415" i="4" a="1"/>
  <c r="E2415" i="4" s="1"/>
  <c r="F1145" i="4"/>
  <c r="G1145" i="4"/>
  <c r="E1145" i="4" a="1"/>
  <c r="E1145" i="4" s="1"/>
  <c r="F1439" i="4"/>
  <c r="E1439" i="4" a="1"/>
  <c r="E1439" i="4" s="1"/>
  <c r="G1439" i="4"/>
  <c r="F166" i="4"/>
  <c r="E166" i="4" a="1"/>
  <c r="E166" i="4" s="1"/>
  <c r="G166" i="4"/>
  <c r="E1615" i="4" a="1"/>
  <c r="E1615" i="4" s="1"/>
  <c r="F1615" i="4"/>
  <c r="G1615" i="4"/>
  <c r="E1325" i="4" a="1"/>
  <c r="E1325" i="4" s="1"/>
  <c r="G1325" i="4"/>
  <c r="F1325" i="4"/>
  <c r="G1292" i="4"/>
  <c r="E1292" i="4" a="1"/>
  <c r="E1292" i="4" s="1"/>
  <c r="F1292" i="4"/>
  <c r="G272" i="4"/>
  <c r="F272" i="4"/>
  <c r="E272" i="4" a="1"/>
  <c r="E272" i="4" s="1"/>
  <c r="G2598" i="4"/>
  <c r="F2598" i="4"/>
  <c r="E2598" i="4" a="1"/>
  <c r="E2598" i="4" s="1"/>
  <c r="G1845" i="4"/>
  <c r="F1845" i="4"/>
  <c r="E1845" i="4" a="1"/>
  <c r="E1845" i="4" s="1"/>
  <c r="F558" i="4"/>
  <c r="G558" i="4"/>
  <c r="E558" i="4" a="1"/>
  <c r="E558" i="4" s="1"/>
  <c r="E1227" i="4" a="1"/>
  <c r="E1227" i="4" s="1"/>
  <c r="G1227" i="4"/>
  <c r="F1227" i="4"/>
  <c r="E1233" i="4" a="1"/>
  <c r="E1233" i="4" s="1"/>
  <c r="G1233" i="4"/>
  <c r="F1233" i="4"/>
  <c r="G1826" i="4"/>
  <c r="E1826" i="4" a="1"/>
  <c r="E1826" i="4" s="1"/>
  <c r="F1826" i="4"/>
  <c r="F2478" i="4"/>
  <c r="E2478" i="4" a="1"/>
  <c r="E2478" i="4" s="1"/>
  <c r="G2478" i="4"/>
  <c r="G1315" i="4"/>
  <c r="E1315" i="4" a="1"/>
  <c r="E1315" i="4" s="1"/>
  <c r="F1315" i="4"/>
  <c r="F242" i="4"/>
  <c r="E242" i="4" a="1"/>
  <c r="E242" i="4" s="1"/>
  <c r="G242" i="4"/>
  <c r="E44" i="4" a="1"/>
  <c r="E44" i="4" s="1"/>
  <c r="F44" i="4"/>
  <c r="G44" i="4"/>
  <c r="F783" i="4"/>
  <c r="E783" i="4" a="1"/>
  <c r="E783" i="4" s="1"/>
  <c r="G783" i="4"/>
  <c r="G1388" i="4"/>
  <c r="E1388" i="4" a="1"/>
  <c r="E1388" i="4" s="1"/>
  <c r="F1388" i="4"/>
  <c r="F1594" i="4"/>
  <c r="E1594" i="4" a="1"/>
  <c r="E1594" i="4" s="1"/>
  <c r="G1594" i="4"/>
  <c r="G75" i="4"/>
  <c r="F75" i="4"/>
  <c r="E75" i="4" a="1"/>
  <c r="E75" i="4" s="1"/>
  <c r="F857" i="4"/>
  <c r="G857" i="4"/>
  <c r="E857" i="4" a="1"/>
  <c r="E857" i="4" s="1"/>
  <c r="F920" i="4"/>
  <c r="E920" i="4" a="1"/>
  <c r="E920" i="4" s="1"/>
  <c r="G920" i="4"/>
  <c r="E2437" i="4" a="1"/>
  <c r="E2437" i="4" s="1"/>
  <c r="G2437" i="4"/>
  <c r="F2437" i="4"/>
  <c r="E205" i="4" a="1"/>
  <c r="E205" i="4" s="1"/>
  <c r="F205" i="4"/>
  <c r="G205" i="4"/>
  <c r="G2372" i="4"/>
  <c r="E2372" i="4" a="1"/>
  <c r="E2372" i="4" s="1"/>
  <c r="F2372" i="4"/>
  <c r="E1266" i="4" a="1"/>
  <c r="E1266" i="4" s="1"/>
  <c r="G1266" i="4"/>
  <c r="F1266" i="4"/>
  <c r="F2143" i="4"/>
  <c r="E2143" i="4" a="1"/>
  <c r="E2143" i="4" s="1"/>
  <c r="G2143" i="4"/>
  <c r="E2075" i="4" a="1"/>
  <c r="E2075" i="4" s="1"/>
  <c r="G2075" i="4"/>
  <c r="F2075" i="4"/>
  <c r="F1313" i="4"/>
  <c r="E1313" i="4" a="1"/>
  <c r="E1313" i="4" s="1"/>
  <c r="G1313" i="4"/>
  <c r="F2543" i="4"/>
  <c r="E2543" i="4" a="1"/>
  <c r="E2543" i="4" s="1"/>
  <c r="G2543" i="4"/>
  <c r="G70" i="4"/>
  <c r="F70" i="4"/>
  <c r="E70" i="4" a="1"/>
  <c r="E70" i="4" s="1"/>
  <c r="F5" i="4"/>
  <c r="E5" i="4" a="1"/>
  <c r="E5" i="4" s="1"/>
  <c r="G5" i="4"/>
  <c r="G986" i="4"/>
  <c r="F986" i="4"/>
  <c r="E986" i="4" a="1"/>
  <c r="E986" i="4" s="1"/>
  <c r="F1204" i="4"/>
  <c r="E1204" i="4" a="1"/>
  <c r="E1204" i="4" s="1"/>
  <c r="G1204" i="4"/>
  <c r="G1513" i="4"/>
  <c r="E1513" i="4" a="1"/>
  <c r="E1513" i="4" s="1"/>
  <c r="F1513" i="4"/>
  <c r="E1119" i="4" a="1"/>
  <c r="E1119" i="4" s="1"/>
  <c r="F1119" i="4"/>
  <c r="G1119" i="4"/>
  <c r="F2081" i="4"/>
  <c r="E2081" i="4" a="1"/>
  <c r="E2081" i="4" s="1"/>
  <c r="G2081" i="4"/>
  <c r="E1419" i="4" a="1"/>
  <c r="E1419" i="4" s="1"/>
  <c r="F1419" i="4"/>
  <c r="G1419" i="4"/>
  <c r="E1654" i="4" a="1"/>
  <c r="E1654" i="4" s="1"/>
  <c r="G1654" i="4"/>
  <c r="F1654" i="4"/>
  <c r="E1576" i="4" a="1"/>
  <c r="E1576" i="4" s="1"/>
  <c r="F1576" i="4"/>
  <c r="G1576" i="4"/>
  <c r="E47" i="4" a="1"/>
  <c r="E47" i="4" s="1"/>
  <c r="F47" i="4"/>
  <c r="G47" i="4"/>
  <c r="F1763" i="4"/>
  <c r="G1763" i="4"/>
  <c r="E1763" i="4" a="1"/>
  <c r="E1763" i="4" s="1"/>
  <c r="E2011" i="4" a="1"/>
  <c r="E2011" i="4" s="1"/>
  <c r="F2011" i="4"/>
  <c r="G2011" i="4"/>
  <c r="E1746" i="4" a="1"/>
  <c r="E1746" i="4" s="1"/>
  <c r="F1746" i="4"/>
  <c r="G1746" i="4"/>
  <c r="E1655" i="4" a="1"/>
  <c r="E1655" i="4" s="1"/>
  <c r="G1655" i="4"/>
  <c r="F1655" i="4"/>
  <c r="F1552" i="4"/>
  <c r="E1552" i="4" a="1"/>
  <c r="E1552" i="4" s="1"/>
  <c r="G1552" i="4"/>
  <c r="E344" i="4" a="1"/>
  <c r="E344" i="4" s="1"/>
  <c r="G344" i="4"/>
  <c r="F344" i="4"/>
  <c r="F1866" i="4"/>
  <c r="G1866" i="4"/>
  <c r="E1866" i="4" a="1"/>
  <c r="E1866" i="4" s="1"/>
  <c r="F1975" i="4"/>
  <c r="G1975" i="4"/>
  <c r="E1975" i="4" a="1"/>
  <c r="E1975" i="4" s="1"/>
  <c r="F1980" i="4"/>
  <c r="E1980" i="4" a="1"/>
  <c r="E1980" i="4" s="1"/>
  <c r="G1980" i="4"/>
  <c r="G615" i="4"/>
  <c r="E615" i="4" a="1"/>
  <c r="E615" i="4" s="1"/>
  <c r="F615" i="4"/>
  <c r="E1911" i="4" a="1"/>
  <c r="E1911" i="4" s="1"/>
  <c r="G1911" i="4"/>
  <c r="F1911" i="4"/>
  <c r="F1477" i="4"/>
  <c r="G1477" i="4"/>
  <c r="E1477" i="4" a="1"/>
  <c r="E1477" i="4" s="1"/>
  <c r="E2078" i="4" a="1"/>
  <c r="E2078" i="4" s="1"/>
  <c r="F2078" i="4"/>
  <c r="G2078" i="4"/>
  <c r="G722" i="4"/>
  <c r="F722" i="4"/>
  <c r="E722" i="4" a="1"/>
  <c r="E722" i="4" s="1"/>
  <c r="E1049" i="4" a="1"/>
  <c r="E1049" i="4" s="1"/>
  <c r="G1049" i="4"/>
  <c r="F1049" i="4"/>
  <c r="F1242" i="4"/>
  <c r="E1242" i="4" a="1"/>
  <c r="E1242" i="4" s="1"/>
  <c r="G1242" i="4"/>
  <c r="E1521" i="4" a="1"/>
  <c r="E1521" i="4" s="1"/>
  <c r="G1521" i="4"/>
  <c r="F1521" i="4"/>
  <c r="F211" i="4"/>
  <c r="E211" i="4" a="1"/>
  <c r="E211" i="4" s="1"/>
  <c r="G211" i="4"/>
  <c r="G789" i="4"/>
  <c r="F789" i="4"/>
  <c r="E789" i="4" a="1"/>
  <c r="E789" i="4" s="1"/>
  <c r="G1764" i="4"/>
  <c r="F1764" i="4"/>
  <c r="E1764" i="4" a="1"/>
  <c r="E1764" i="4" s="1"/>
  <c r="F1455" i="4"/>
  <c r="G1455" i="4"/>
  <c r="E1455" i="4" a="1"/>
  <c r="E1455" i="4" s="1"/>
  <c r="F2477" i="4"/>
  <c r="E2477" i="4" a="1"/>
  <c r="E2477" i="4" s="1"/>
  <c r="G2477" i="4"/>
  <c r="E655" i="4" a="1"/>
  <c r="E655" i="4" s="1"/>
  <c r="G655" i="4"/>
  <c r="F655" i="4"/>
  <c r="F465" i="4"/>
  <c r="E465" i="4" a="1"/>
  <c r="E465" i="4" s="1"/>
  <c r="G465" i="4"/>
  <c r="F98" i="4"/>
  <c r="E98" i="4" a="1"/>
  <c r="E98" i="4" s="1"/>
  <c r="G98" i="4"/>
  <c r="F809" i="4"/>
  <c r="G809" i="4"/>
  <c r="E809" i="4" a="1"/>
  <c r="E809" i="4" s="1"/>
  <c r="G638" i="4"/>
  <c r="F638" i="4"/>
  <c r="E638" i="4" a="1"/>
  <c r="E638" i="4" s="1"/>
  <c r="F1308" i="4"/>
  <c r="E1308" i="4" a="1"/>
  <c r="E1308" i="4" s="1"/>
  <c r="G1308" i="4"/>
  <c r="F1790" i="4"/>
  <c r="E1790" i="4" a="1"/>
  <c r="E1790" i="4" s="1"/>
  <c r="G1790" i="4"/>
  <c r="G896" i="4"/>
  <c r="E896" i="4" a="1"/>
  <c r="E896" i="4" s="1"/>
  <c r="F896" i="4"/>
  <c r="F438" i="4"/>
  <c r="G438" i="4"/>
  <c r="E438" i="4" a="1"/>
  <c r="E438" i="4" s="1"/>
  <c r="G2534" i="4"/>
  <c r="E2534" i="4" a="1"/>
  <c r="E2534" i="4" s="1"/>
  <c r="F2534" i="4"/>
  <c r="G983" i="4"/>
  <c r="E983" i="4" a="1"/>
  <c r="E983" i="4" s="1"/>
  <c r="F983" i="4"/>
  <c r="G2379" i="4"/>
  <c r="E2379" i="4" a="1"/>
  <c r="E2379" i="4" s="1"/>
  <c r="F2379" i="4"/>
  <c r="E2482" i="4" a="1"/>
  <c r="E2482" i="4" s="1"/>
  <c r="G2482" i="4"/>
  <c r="F2482" i="4"/>
  <c r="E2450" i="4" a="1"/>
  <c r="E2450" i="4" s="1"/>
  <c r="F2450" i="4"/>
  <c r="G2450" i="4"/>
  <c r="E486" i="4" a="1"/>
  <c r="E486" i="4" s="1"/>
  <c r="G486" i="4"/>
  <c r="F486" i="4"/>
  <c r="F522" i="4"/>
  <c r="E522" i="4" a="1"/>
  <c r="E522" i="4" s="1"/>
  <c r="G522" i="4"/>
  <c r="F322" i="4"/>
  <c r="E322" i="4" a="1"/>
  <c r="E322" i="4" s="1"/>
  <c r="G322" i="4"/>
  <c r="G181" i="4"/>
  <c r="E181" i="4" a="1"/>
  <c r="E181" i="4" s="1"/>
  <c r="F181" i="4"/>
  <c r="F738" i="4"/>
  <c r="G738" i="4"/>
  <c r="E738" i="4" a="1"/>
  <c r="E738" i="4" s="1"/>
  <c r="E1062" i="4" a="1"/>
  <c r="E1062" i="4" s="1"/>
  <c r="G1062" i="4"/>
  <c r="F1062" i="4"/>
  <c r="G2245" i="4"/>
  <c r="F2245" i="4"/>
  <c r="E2245" i="4" a="1"/>
  <c r="E2245" i="4" s="1"/>
  <c r="F1935" i="4"/>
  <c r="E1935" i="4" a="1"/>
  <c r="E1935" i="4" s="1"/>
  <c r="G1935" i="4"/>
  <c r="F818" i="4"/>
  <c r="G818" i="4"/>
  <c r="E818" i="4" a="1"/>
  <c r="E818" i="4" s="1"/>
  <c r="F781" i="4"/>
  <c r="E781" i="4" a="1"/>
  <c r="E781" i="4" s="1"/>
  <c r="G781" i="4"/>
  <c r="E1974" i="4" a="1"/>
  <c r="E1974" i="4" s="1"/>
  <c r="G1974" i="4"/>
  <c r="F1974" i="4"/>
  <c r="E1998" i="4" a="1"/>
  <c r="E1998" i="4" s="1"/>
  <c r="G1998" i="4"/>
  <c r="F1998" i="4"/>
  <c r="G2544" i="4"/>
  <c r="F2544" i="4"/>
  <c r="E2544" i="4" a="1"/>
  <c r="E2544" i="4" s="1"/>
  <c r="E43" i="4" a="1"/>
  <c r="E43" i="4" s="1"/>
  <c r="F43" i="4"/>
  <c r="G43" i="4"/>
  <c r="G1908" i="4"/>
  <c r="F1908" i="4"/>
  <c r="E1908" i="4" a="1"/>
  <c r="E1908" i="4" s="1"/>
  <c r="G9" i="4"/>
  <c r="E9" i="4" a="1"/>
  <c r="E9" i="4" s="1"/>
  <c r="F9" i="4"/>
  <c r="G303" i="4"/>
  <c r="E303" i="4" a="1"/>
  <c r="E303" i="4" s="1"/>
  <c r="F303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<sst xmlns="http://schemas.openxmlformats.org/spreadsheetml/2006/main" count="13085" uniqueCount="4150">
  <si>
    <t>Sr No</t>
  </si>
  <si>
    <t>Class</t>
  </si>
  <si>
    <t>Unique Student Name</t>
  </si>
  <si>
    <t>Total Count</t>
  </si>
  <si>
    <t>UKG-A</t>
  </si>
  <si>
    <t>ALFA KORAH</t>
  </si>
  <si>
    <t>ANIKA THAKUR</t>
  </si>
  <si>
    <t>RITIKA</t>
  </si>
  <si>
    <t>ARNAV DUBEY</t>
  </si>
  <si>
    <t>AROHI SAHU</t>
  </si>
  <si>
    <t>DIVIKA SINGH</t>
  </si>
  <si>
    <t>VIVAN SINGH RAJBHOPA</t>
  </si>
  <si>
    <t>ERISHA LAKRA</t>
  </si>
  <si>
    <t>DAKSH LUDHELE</t>
  </si>
  <si>
    <t>RACHIT KUMAR</t>
  </si>
  <si>
    <t>ISHAAN GAIKWAD</t>
  </si>
  <si>
    <t>DEVANSH MEHRA</t>
  </si>
  <si>
    <t>AADHVIK BAHUMIK</t>
  </si>
  <si>
    <t>RUDRA PRATAP YADAV</t>
  </si>
  <si>
    <t>RIYANSH SAHU</t>
  </si>
  <si>
    <t>UKG-B</t>
  </si>
  <si>
    <t>AVIKA GUPTA</t>
  </si>
  <si>
    <t>PAKHI TEKAM</t>
  </si>
  <si>
    <t>NAKSH MEENA</t>
  </si>
  <si>
    <t>VAIDIK KANOJIYA</t>
  </si>
  <si>
    <t>DIVYANSHI SHARMA</t>
  </si>
  <si>
    <t>VIDIPTA SINGH</t>
  </si>
  <si>
    <t>SIDDHARTH BISHWAL</t>
  </si>
  <si>
    <t>RIYANSHI RAJ</t>
  </si>
  <si>
    <t>DIVLEEN KAUR ARNEJA</t>
  </si>
  <si>
    <t>AVYUKT VISHWAKARMA</t>
  </si>
  <si>
    <t>REBECCA KERKETTA</t>
  </si>
  <si>
    <t>UKG-C</t>
  </si>
  <si>
    <t>AVANSHIKA SINGH PARIHAR</t>
  </si>
  <si>
    <t>AYANSH KUREEL</t>
  </si>
  <si>
    <t>SWARNIKA SINGH</t>
  </si>
  <si>
    <t>MAHIR YADAV</t>
  </si>
  <si>
    <t>ALVIN TIGGA</t>
  </si>
  <si>
    <t>SAMARTH MARCO</t>
  </si>
  <si>
    <t>YATIKA</t>
  </si>
  <si>
    <t>YUKTA KHAMPARIA</t>
  </si>
  <si>
    <t>ADITI KUSHWAHA</t>
  </si>
  <si>
    <t>AARISH MAHAWAT</t>
  </si>
  <si>
    <t>ROSHAN PHILIP</t>
  </si>
  <si>
    <t>IVAAN MAHINDRA</t>
  </si>
  <si>
    <t>NITYA DAHERIA</t>
  </si>
  <si>
    <t>SHANVI RAI</t>
  </si>
  <si>
    <t>AYAANSH SINGH</t>
  </si>
  <si>
    <t>ANAYA GARI</t>
  </si>
  <si>
    <t>AISHLEEN KAUR</t>
  </si>
  <si>
    <t>KANISHKA GUPTA</t>
  </si>
  <si>
    <t>UKG-D</t>
  </si>
  <si>
    <t>EKAS SINGH GUJRAL</t>
  </si>
  <si>
    <t>ARAV KUSHWAHA</t>
  </si>
  <si>
    <t>AYANSH KUMAR SINGH</t>
  </si>
  <si>
    <t>AAVEG YADAV</t>
  </si>
  <si>
    <t>DETIYA KULLU</t>
  </si>
  <si>
    <t>SOVIK VERMA</t>
  </si>
  <si>
    <t>UKG-E</t>
  </si>
  <si>
    <t>MAHI KOTWANI</t>
  </si>
  <si>
    <t>AASHMIT DAHIYA</t>
  </si>
  <si>
    <t>YUG SINGH TOMAR</t>
  </si>
  <si>
    <t>UKG-F</t>
  </si>
  <si>
    <t>ARNAB BANIK</t>
  </si>
  <si>
    <t>NAVYA UIKEY</t>
  </si>
  <si>
    <t>ALISHA THAKUR</t>
  </si>
  <si>
    <t>AMAY UPADHYAY</t>
  </si>
  <si>
    <t>AYANSH RAJ</t>
  </si>
  <si>
    <t>1-A</t>
  </si>
  <si>
    <t>AARAV DUBEY</t>
  </si>
  <si>
    <t>JOEL DAS</t>
  </si>
  <si>
    <t>EPHRON TOPNO</t>
  </si>
  <si>
    <t>AARUSH KACHHI</t>
  </si>
  <si>
    <t>DHAANVI ANAND</t>
  </si>
  <si>
    <t>ARNAB NOEL KUJUR</t>
  </si>
  <si>
    <t>ANCY KUJUR</t>
  </si>
  <si>
    <t>SWARNA SONI</t>
  </si>
  <si>
    <t>ARON NOEL EKKA</t>
  </si>
  <si>
    <t>EASHANVI MEENA</t>
  </si>
  <si>
    <t>AVIKA VERMA</t>
  </si>
  <si>
    <t>1-B</t>
  </si>
  <si>
    <t>SHAURYA SINGH BISHT</t>
  </si>
  <si>
    <t>RIDDHIMA SHRIVASTAVA</t>
  </si>
  <si>
    <t>NIVANSHI VERMA</t>
  </si>
  <si>
    <t>ARMAN MAJHI</t>
  </si>
  <si>
    <t>PRITI SULAGNA BEHERA</t>
  </si>
  <si>
    <t>SURYAKUMAR SHRIVAS</t>
  </si>
  <si>
    <t>1-C</t>
  </si>
  <si>
    <t>VEDANT AGRAWAL</t>
  </si>
  <si>
    <t>AYANSH SINGH YADAV</t>
  </si>
  <si>
    <t>DHRITI CHOURASIA</t>
  </si>
  <si>
    <t>GURUBIR SINGH MATHARU</t>
  </si>
  <si>
    <t>DEVANSH HOTTA</t>
  </si>
  <si>
    <t>APRAJITA SINGH</t>
  </si>
  <si>
    <t>SANVIKA YADAV</t>
  </si>
  <si>
    <t>UPASANA PRADHAN</t>
  </si>
  <si>
    <t>ARNAV SHRIVASTAVA</t>
  </si>
  <si>
    <t>ABHINAV SINGH</t>
  </si>
  <si>
    <t>PARMESH SHARMA</t>
  </si>
  <si>
    <t>JAY VARDHAN TIWARI</t>
  </si>
  <si>
    <t>AANTYA PATEL</t>
  </si>
  <si>
    <t>TEJASVA KUSHWAHA</t>
  </si>
  <si>
    <t>1-D</t>
  </si>
  <si>
    <t>REYANSH BADGAIYAN</t>
  </si>
  <si>
    <t>SHIVAAY SINGH RAJPUT</t>
  </si>
  <si>
    <t>PRITHVIRAJ</t>
  </si>
  <si>
    <t>SHREYAS BERIYA</t>
  </si>
  <si>
    <t>RIYAN SUMAN</t>
  </si>
  <si>
    <t>AYUSH KUMAR</t>
  </si>
  <si>
    <t>GATIK BAGRESH</t>
  </si>
  <si>
    <t>RIYANSHI RAJBHAR</t>
  </si>
  <si>
    <t>SHEIKH ANAS</t>
  </si>
  <si>
    <t>SHAURYA THAWAIT</t>
  </si>
  <si>
    <t>1-E</t>
  </si>
  <si>
    <t>ARNAV KUMAR YADAV</t>
  </si>
  <si>
    <t>VIDHI PATEL</t>
  </si>
  <si>
    <t>SHIVANYA SINGH MASRAM</t>
  </si>
  <si>
    <t>TANISHKA YADAV</t>
  </si>
  <si>
    <t>AADVIKA BHAGAT</t>
  </si>
  <si>
    <t>1-F</t>
  </si>
  <si>
    <t>EKANSH KAMBLEY</t>
  </si>
  <si>
    <t>APARAJITA ROY</t>
  </si>
  <si>
    <t>SHAURYA SARATHE</t>
  </si>
  <si>
    <t>ANVI VISHWAKARMA</t>
  </si>
  <si>
    <t>RUDRANSH CHOUDHARY</t>
  </si>
  <si>
    <t>SATVIK MAHOBIA</t>
  </si>
  <si>
    <t>AS AKSHAN</t>
  </si>
  <si>
    <t>ANVI PAL</t>
  </si>
  <si>
    <t>1-G</t>
  </si>
  <si>
    <t>SAANVI KUMARI</t>
  </si>
  <si>
    <t>ASHISH THAPA</t>
  </si>
  <si>
    <t>SHOURYA SINGH KUMRE</t>
  </si>
  <si>
    <t>SHREYANS SHARMA</t>
  </si>
  <si>
    <t>ARZAAN HUSSAIN</t>
  </si>
  <si>
    <t>AKRITI LAKHERA</t>
  </si>
  <si>
    <t>AVYUKT TIWARI</t>
  </si>
  <si>
    <t>DEVARSH DEEP CHOUDHARY</t>
  </si>
  <si>
    <t>AARVI NAMDEO</t>
  </si>
  <si>
    <t>1-H</t>
  </si>
  <si>
    <t>ARUSH SINGH</t>
  </si>
  <si>
    <t>SHIVANG SINGH PAWAR</t>
  </si>
  <si>
    <t>ANAISHA PATIL</t>
  </si>
  <si>
    <t>SHRESTH KEWAT</t>
  </si>
  <si>
    <t>VEDANSHI THAKUR</t>
  </si>
  <si>
    <t>HEMANG KUMAR</t>
  </si>
  <si>
    <t>AMAY PATEL</t>
  </si>
  <si>
    <t>AAKRITI CHOUDHARY</t>
  </si>
  <si>
    <t>AVYAANSH SHRESTH</t>
  </si>
  <si>
    <t>VEDANSH JHARIYA</t>
  </si>
  <si>
    <t>1-I</t>
  </si>
  <si>
    <t>CHINMAY VISHWAKARMA</t>
  </si>
  <si>
    <t>TRISHAV GUPTA</t>
  </si>
  <si>
    <t>VIHAN MISHRA</t>
  </si>
  <si>
    <t>ANANYA SINGH</t>
  </si>
  <si>
    <t>LAVANYA PAWAR</t>
  </si>
  <si>
    <t>AMISHI MEHRA</t>
  </si>
  <si>
    <t>AMAIRA SINGH CHOUHAN</t>
  </si>
  <si>
    <t>ADVIKA KANOJIYA</t>
  </si>
  <si>
    <t>TRISHA ROY</t>
  </si>
  <si>
    <t>2-A</t>
  </si>
  <si>
    <t>YADVIK KUJUR</t>
  </si>
  <si>
    <t>AAYANSH KORI</t>
  </si>
  <si>
    <t>ABHIGYAN KUMAR MISHRA</t>
  </si>
  <si>
    <t>BABA</t>
  </si>
  <si>
    <t>AARUSH PATEL</t>
  </si>
  <si>
    <t>AYANSH PATEL</t>
  </si>
  <si>
    <t>AYANSH CHOUDHARY</t>
  </si>
  <si>
    <t>TAVLEEN SAGGU</t>
  </si>
  <si>
    <t>SOHAN KUJUR</t>
  </si>
  <si>
    <t>ERICA SAMAYRA JOSEPH</t>
  </si>
  <si>
    <t>HARSH MOURYA</t>
  </si>
  <si>
    <t>2-B</t>
  </si>
  <si>
    <t>MANNAT TEKAM</t>
  </si>
  <si>
    <t>PALAKSHI SHRIVAS</t>
  </si>
  <si>
    <t>VEDANT SINGH MANHAS</t>
  </si>
  <si>
    <t>2-C</t>
  </si>
  <si>
    <t>MAYANK RAJ</t>
  </si>
  <si>
    <t>DARSHITA PATEL</t>
  </si>
  <si>
    <t>ANSHUMAAN BEHRA</t>
  </si>
  <si>
    <t>POORVI MISHRA</t>
  </si>
  <si>
    <t>ANSHARAH KHAN</t>
  </si>
  <si>
    <t>VIRAT SINGH PARIHAR</t>
  </si>
  <si>
    <t>SHIVASNU KHARAT</t>
  </si>
  <si>
    <t>SUSHREETA BEHERA</t>
  </si>
  <si>
    <t>RITISHA JHA</t>
  </si>
  <si>
    <t>2-D</t>
  </si>
  <si>
    <t>PAARTH BAGVAN</t>
  </si>
  <si>
    <t>AARU JATAV</t>
  </si>
  <si>
    <t>ANANT KUMAR YADAV</t>
  </si>
  <si>
    <t>ANIKET CHADAR</t>
  </si>
  <si>
    <t>MAYRA GAJJAM</t>
  </si>
  <si>
    <t>AARAV SHARNAGAT</t>
  </si>
  <si>
    <t>SAARTHAK SHRIVASTAVA</t>
  </si>
  <si>
    <t>AMAY SARATHE</t>
  </si>
  <si>
    <t>GARVITA TIWARI</t>
  </si>
  <si>
    <t>2-E</t>
  </si>
  <si>
    <t>RUDRA SEN</t>
  </si>
  <si>
    <t>SARTHAK VERMA</t>
  </si>
  <si>
    <t>DEVINA DEHARIYA</t>
  </si>
  <si>
    <t>SHIVANSH SINGH</t>
  </si>
  <si>
    <t>SAMARTH CHAURASIA</t>
  </si>
  <si>
    <t>AKSHAT SINGH</t>
  </si>
  <si>
    <t>AVYA JAIN</t>
  </si>
  <si>
    <t>YUVRAJ</t>
  </si>
  <si>
    <t>ANSHUMAN KHARE</t>
  </si>
  <si>
    <t>2-F</t>
  </si>
  <si>
    <t>PRAYAG BHADRE</t>
  </si>
  <si>
    <t>TANYA RATHORE</t>
  </si>
  <si>
    <t>PARV SAHU</t>
  </si>
  <si>
    <t>AADARSH KUMAR RAJBHAR</t>
  </si>
  <si>
    <t>HRITVIKA UIKEY</t>
  </si>
  <si>
    <t>2-G</t>
  </si>
  <si>
    <t>SHAURYA RAHATE</t>
  </si>
  <si>
    <t>MEHER KOHLI</t>
  </si>
  <si>
    <t>MANISH MEENA</t>
  </si>
  <si>
    <t>RAGHAV MISHRA</t>
  </si>
  <si>
    <t>DEVYANSH SINGH UIKEY</t>
  </si>
  <si>
    <t>ASHWIN BATHRE</t>
  </si>
  <si>
    <t>SHREYANSH YADAV</t>
  </si>
  <si>
    <t>PRAKRITI BHARGAV</t>
  </si>
  <si>
    <t>ARPITA CHOUDHARY</t>
  </si>
  <si>
    <t>2-H</t>
  </si>
  <si>
    <t>SHREYANSH</t>
  </si>
  <si>
    <t>AARYAMAAN BEHRA</t>
  </si>
  <si>
    <t>KUMAR RAO</t>
  </si>
  <si>
    <t>SHIVANSH CHARNAWAT</t>
  </si>
  <si>
    <t>ISHANK</t>
  </si>
  <si>
    <t>2-I</t>
  </si>
  <si>
    <t>NAITIK SIRIYA</t>
  </si>
  <si>
    <t>PRIYANSHU KUMAR DEY</t>
  </si>
  <si>
    <t>NIHIT BHIMRAO KHOBRAGADE</t>
  </si>
  <si>
    <t>ADVIK PAREY</t>
  </si>
  <si>
    <t>3-A</t>
  </si>
  <si>
    <t>SHANAYA KHAN</t>
  </si>
  <si>
    <t>ANSHIKA SHRIVASTAVA</t>
  </si>
  <si>
    <t>UTKARSH HALDKAR</t>
  </si>
  <si>
    <t>ARCHI NAVYA KUJUR</t>
  </si>
  <si>
    <t>RUDRANSH SHRIVASTAVA</t>
  </si>
  <si>
    <t>KAPIL DHURVEY</t>
  </si>
  <si>
    <t>ATHARV SAHU</t>
  </si>
  <si>
    <t>RUPANJAL JANGADE</t>
  </si>
  <si>
    <t>SANA PHILIP</t>
  </si>
  <si>
    <t>AYANSH PASI</t>
  </si>
  <si>
    <t>ANKIT KUMAR</t>
  </si>
  <si>
    <t>VIVAN RAI</t>
  </si>
  <si>
    <t>REYANSH DWIVEDI</t>
  </si>
  <si>
    <t>OJAS MAJHI</t>
  </si>
  <si>
    <t>MANVI SINGH</t>
  </si>
  <si>
    <t>DWAYNE RAXE</t>
  </si>
  <si>
    <t>UTKRISHT HORO</t>
  </si>
  <si>
    <t>JOANNA JIJO JACOB</t>
  </si>
  <si>
    <t>KAIRA BISWAS</t>
  </si>
  <si>
    <t>3-B</t>
  </si>
  <si>
    <t>MIVAAN PATEL</t>
  </si>
  <si>
    <t>NAITIK KUMAR SHARMA</t>
  </si>
  <si>
    <t>SHANAYA PATEL</t>
  </si>
  <si>
    <t>SUDIKSHA YADAV</t>
  </si>
  <si>
    <t>AAYUSH MOUNDEKAR</t>
  </si>
  <si>
    <t>JAYASH KUMAR</t>
  </si>
  <si>
    <t>AAYUSHMAN PRATAP SINGH</t>
  </si>
  <si>
    <t>DEVANSH PATEL</t>
  </si>
  <si>
    <t>AARAV RAJAK</t>
  </si>
  <si>
    <t>ESHITA MEENA</t>
  </si>
  <si>
    <t>ARADHYA JAWADE</t>
  </si>
  <si>
    <t>RAJVEE DUBEY</t>
  </si>
  <si>
    <t>3-C</t>
  </si>
  <si>
    <t>YASH TARAM</t>
  </si>
  <si>
    <t>SHIVANSH CHHIBER</t>
  </si>
  <si>
    <t>AYUSH SAHU</t>
  </si>
  <si>
    <t>TAKSHVI KAPOOR</t>
  </si>
  <si>
    <t>VEDANT RAO</t>
  </si>
  <si>
    <t>AARAV CHOUDHARY</t>
  </si>
  <si>
    <t>KAYRA PUNJABI</t>
  </si>
  <si>
    <t>3-D</t>
  </si>
  <si>
    <t>GAURANSH RAO</t>
  </si>
  <si>
    <t>MRUNMAYEE MOUNDEKAR</t>
  </si>
  <si>
    <t>G MAYURIKA</t>
  </si>
  <si>
    <t>DHANVI SHARMA</t>
  </si>
  <si>
    <t>SHREYASH SINGH</t>
  </si>
  <si>
    <t>JAPPMAN SINGH ALAGH</t>
  </si>
  <si>
    <t>ANAYA RAI</t>
  </si>
  <si>
    <t>ATHARV SINGH SENGAR</t>
  </si>
  <si>
    <t>ANUSHREE SINGH</t>
  </si>
  <si>
    <t>PRINCE KUMAR KALAR</t>
  </si>
  <si>
    <t>RAVLEEN KAUR MATHARU</t>
  </si>
  <si>
    <t>LAKSHITA</t>
  </si>
  <si>
    <t>3-E</t>
  </si>
  <si>
    <t>OJAS THAKUR</t>
  </si>
  <si>
    <t>PRANAB CHANDRA</t>
  </si>
  <si>
    <t>OJAS PRATAP SINGH</t>
  </si>
  <si>
    <t>AMAY GUPTA</t>
  </si>
  <si>
    <t>ARNAV TIWARI</t>
  </si>
  <si>
    <t>YUVAN KASHYAP</t>
  </si>
  <si>
    <t>NISHIKA SINGH</t>
  </si>
  <si>
    <t>3-F</t>
  </si>
  <si>
    <t>PRANAV WAGH</t>
  </si>
  <si>
    <t>AASHVI LANGE</t>
  </si>
  <si>
    <t>AAROHI CHOUDHARY</t>
  </si>
  <si>
    <t>MAANVENDRA SINGH SHEKHAWAT</t>
  </si>
  <si>
    <t>3-G</t>
  </si>
  <si>
    <t>SHAURYA PRATAP SINGH</t>
  </si>
  <si>
    <t>AARAV YADAV</t>
  </si>
  <si>
    <t>SARANSH DUBEY</t>
  </si>
  <si>
    <t>3-H</t>
  </si>
  <si>
    <t>4-A</t>
  </si>
  <si>
    <t>NIRBHAV SINGH REHSI</t>
  </si>
  <si>
    <t>SANCHIT GAUTAM</t>
  </si>
  <si>
    <t>SATVIK CHAURASIA</t>
  </si>
  <si>
    <t>NIKUNJ SINGH</t>
  </si>
  <si>
    <t>VIRANGNA LAKHERA</t>
  </si>
  <si>
    <t>SHIVAANG GUPTA</t>
  </si>
  <si>
    <t>KAVYA</t>
  </si>
  <si>
    <t>SANURAG SINGH CHOUHAN</t>
  </si>
  <si>
    <t>ABHINAV ROUT</t>
  </si>
  <si>
    <t>KHWAISH PUNJABI</t>
  </si>
  <si>
    <t>ADVIK MANJHI</t>
  </si>
  <si>
    <t>BRANDON DAVID</t>
  </si>
  <si>
    <t>ATHARAV RAJAK</t>
  </si>
  <si>
    <t>DRISHTI KULLU</t>
  </si>
  <si>
    <t>IVAN KERKETTA</t>
  </si>
  <si>
    <t>4-B</t>
  </si>
  <si>
    <t>ABHINAV KUMAR MISHRA</t>
  </si>
  <si>
    <t>PARTH DIXIT</t>
  </si>
  <si>
    <t>VIVAAN SHUKLA</t>
  </si>
  <si>
    <t>4-C</t>
  </si>
  <si>
    <t>SHIVANNYA GUPTA</t>
  </si>
  <si>
    <t>AMEY GOND</t>
  </si>
  <si>
    <t>PRAYAN SHRIVASTAVA</t>
  </si>
  <si>
    <t>SURBHI SONI</t>
  </si>
  <si>
    <t>AARADHYA PATEL</t>
  </si>
  <si>
    <t>RUDRANSH THAKUR</t>
  </si>
  <si>
    <t>RIYANSH BAGRI</t>
  </si>
  <si>
    <t>TANISHA VINODIYA</t>
  </si>
  <si>
    <t>ANANYA YADAV</t>
  </si>
  <si>
    <t>4-D</t>
  </si>
  <si>
    <t>VIVAN SAHU</t>
  </si>
  <si>
    <t>KRISHNA BACHLE</t>
  </si>
  <si>
    <t>YOGENDRA SINGH BAGRI</t>
  </si>
  <si>
    <t>AADARSH KOL</t>
  </si>
  <si>
    <t>NAMAN DEB SARKAR</t>
  </si>
  <si>
    <t>4-E</t>
  </si>
  <si>
    <t>RITVI JAIN</t>
  </si>
  <si>
    <t>ARADHYA CHOUDHARY</t>
  </si>
  <si>
    <t>ANAYA SINGH</t>
  </si>
  <si>
    <t>ARSHITA SINGH</t>
  </si>
  <si>
    <t>RIDIT CHOUDHARY</t>
  </si>
  <si>
    <t>ASHMIT SARKAR</t>
  </si>
  <si>
    <t>SURYANSH BARKADE</t>
  </si>
  <si>
    <t>AARAV DEHARIYA</t>
  </si>
  <si>
    <t>VARDHAAN GUPTA</t>
  </si>
  <si>
    <t>ABHYUDH MOURYA</t>
  </si>
  <si>
    <t>4-F</t>
  </si>
  <si>
    <t>AARYA BADGAIYAN</t>
  </si>
  <si>
    <t>PRABHAV PATEL</t>
  </si>
  <si>
    <t>NAVISHA OJHA</t>
  </si>
  <si>
    <t>ALAYSHA TOMAR</t>
  </si>
  <si>
    <t>5-A</t>
  </si>
  <si>
    <t>ANSHIKA LOVEVANSHI</t>
  </si>
  <si>
    <t>AARAV SINGH MARKO</t>
  </si>
  <si>
    <t>ABIGAIL DASS</t>
  </si>
  <si>
    <t>KAVYA MARCO</t>
  </si>
  <si>
    <t>VINAY KUMAR TIWARI</t>
  </si>
  <si>
    <t>SHASHANK SARATHE</t>
  </si>
  <si>
    <t>ISHAN CHOUBEY</t>
  </si>
  <si>
    <t>DARREN RAXE</t>
  </si>
  <si>
    <t>UNNATI VERMA</t>
  </si>
  <si>
    <t>5-B</t>
  </si>
  <si>
    <t>TUBHYAM JAIN</t>
  </si>
  <si>
    <t>ESHANI DEY</t>
  </si>
  <si>
    <t>PRAGATI SHARMA</t>
  </si>
  <si>
    <t>NAMAN RAJAK</t>
  </si>
  <si>
    <t>ANIKET KALAR</t>
  </si>
  <si>
    <t>ANUJ KASHYAP</t>
  </si>
  <si>
    <t>PRAKRITII KUMAR</t>
  </si>
  <si>
    <t>5-C</t>
  </si>
  <si>
    <t>ARSH SINGH</t>
  </si>
  <si>
    <t>ANUSHKA SWAMI</t>
  </si>
  <si>
    <t>MAHI SARATHE</t>
  </si>
  <si>
    <t>PRATHVI SHRIVASTAVA</t>
  </si>
  <si>
    <t>UTKARSH SINGH PARIHAR</t>
  </si>
  <si>
    <t>PURVI SAHU</t>
  </si>
  <si>
    <t>DIVYANSHI PATEL</t>
  </si>
  <si>
    <t>PAWNE RAO</t>
  </si>
  <si>
    <t>ATHARV KASHYAP</t>
  </si>
  <si>
    <t>SHIV RAJ SINGH</t>
  </si>
  <si>
    <t>AYUSHMAN CHOUHAN</t>
  </si>
  <si>
    <t>5-D</t>
  </si>
  <si>
    <t>LAKSHITA PRAJAPATI</t>
  </si>
  <si>
    <t>PARUL CHANDRAWANSHI</t>
  </si>
  <si>
    <t>YOMITA MULCHANDANI</t>
  </si>
  <si>
    <t>SAMRIDDHI KORI</t>
  </si>
  <si>
    <t>SAMRAT VISHWAKARMA</t>
  </si>
  <si>
    <t>PAAVANI MAURYA</t>
  </si>
  <si>
    <t>TANU VERMA</t>
  </si>
  <si>
    <t>RAJVEER GAUNTIA</t>
  </si>
  <si>
    <t>AARAV SINGH</t>
  </si>
  <si>
    <t>VEDITA SINGH</t>
  </si>
  <si>
    <t>5-E</t>
  </si>
  <si>
    <t>SARTHAK VISHWAY</t>
  </si>
  <si>
    <t>AYAN ABHIGYAN</t>
  </si>
  <si>
    <t>ADITYA PATEL</t>
  </si>
  <si>
    <t>KRISH KUMAR</t>
  </si>
  <si>
    <t>AALIYA DESHMUKH</t>
  </si>
  <si>
    <t>SHIVANSH KHAMPARIA</t>
  </si>
  <si>
    <t>AAYANSH RAJVEER</t>
  </si>
  <si>
    <t>MOHAMMAD AHAN ANSARI</t>
  </si>
  <si>
    <t>SARNIL MARAVI</t>
  </si>
  <si>
    <t>VEDANSHI URAITI</t>
  </si>
  <si>
    <t>HARKIRAT SINGH</t>
  </si>
  <si>
    <t>5-F</t>
  </si>
  <si>
    <t>AASHITA DUBEY</t>
  </si>
  <si>
    <t>SHIVAM SINGH</t>
  </si>
  <si>
    <t>JAGRITI KUSHWAHA</t>
  </si>
  <si>
    <t>AKARSHITA BHADOURIYA</t>
  </si>
  <si>
    <t>ARADHYA YADAV</t>
  </si>
  <si>
    <t>5-G</t>
  </si>
  <si>
    <t>SHUBHANSHI PAUL</t>
  </si>
  <si>
    <t>SIDDHIKSHA DAGOUR</t>
  </si>
  <si>
    <t>ANSHIKA SRISHTI MUNDA</t>
  </si>
  <si>
    <t>AARVI RAJPUT</t>
  </si>
  <si>
    <t>NIKSHA SINGH</t>
  </si>
  <si>
    <t>6-A</t>
  </si>
  <si>
    <t>ZEUS JOSEPH</t>
  </si>
  <si>
    <t>AVYAANSH KHATRI</t>
  </si>
  <si>
    <t>APURVA KACHHI</t>
  </si>
  <si>
    <t>ARYA KACHHI</t>
  </si>
  <si>
    <t>SHREYA SARVATE</t>
  </si>
  <si>
    <t>DIVYESH SAHU</t>
  </si>
  <si>
    <t>CHETAN BACHLE</t>
  </si>
  <si>
    <t>6-B</t>
  </si>
  <si>
    <t>RISHITA DESHMUKH</t>
  </si>
  <si>
    <t>SAMBHAV CHAHAL</t>
  </si>
  <si>
    <t>RUDRANSH PRATAP SINGH</t>
  </si>
  <si>
    <t>ISHANT MISHRA</t>
  </si>
  <si>
    <t>ANSH KUMAR</t>
  </si>
  <si>
    <t>PROMOTOSH SUTRADHAR</t>
  </si>
  <si>
    <t>6-C</t>
  </si>
  <si>
    <t>DIVYAM KOHLI</t>
  </si>
  <si>
    <t>ISHAN SHAH</t>
  </si>
  <si>
    <t>NIHAL KUMAR SHRIVAS</t>
  </si>
  <si>
    <t>6-D</t>
  </si>
  <si>
    <t>ABHIRAJ GHOSH</t>
  </si>
  <si>
    <t>ARYAN PATEL</t>
  </si>
  <si>
    <t>ANMOL CHOUDHRI</t>
  </si>
  <si>
    <t>AADYA MISHRA</t>
  </si>
  <si>
    <t>PRASHAM KUMAR JAIN</t>
  </si>
  <si>
    <t>AGRIM DUBEY</t>
  </si>
  <si>
    <t>6-E</t>
  </si>
  <si>
    <t>SHRIYANSH SINGH</t>
  </si>
  <si>
    <t>AANYA GOSTE</t>
  </si>
  <si>
    <t>AAKARSH GOSTE</t>
  </si>
  <si>
    <t>MOKSHIKA THAKUR</t>
  </si>
  <si>
    <t>KUSHAGRA KUSHWAHA</t>
  </si>
  <si>
    <t>6-F</t>
  </si>
  <si>
    <t>PALAK RAJ</t>
  </si>
  <si>
    <t>PAUL WALKER</t>
  </si>
  <si>
    <t>ISHITA VINODIA</t>
  </si>
  <si>
    <t>PAKHI SINGH</t>
  </si>
  <si>
    <t>ATHARVA RAI</t>
  </si>
  <si>
    <t>SHANVI VERMA</t>
  </si>
  <si>
    <t>KAVYA SINGH</t>
  </si>
  <si>
    <t>JALAJ RAJPUT</t>
  </si>
  <si>
    <t>DIVYANSH NEGI</t>
  </si>
  <si>
    <t>6-G</t>
  </si>
  <si>
    <t>ANAY SAHU</t>
  </si>
  <si>
    <t>SONALI KUMARI</t>
  </si>
  <si>
    <t>ANUP PATEL</t>
  </si>
  <si>
    <t>7-A</t>
  </si>
  <si>
    <t>VIVAAN KAURAV</t>
  </si>
  <si>
    <t>DAKSH SAINI</t>
  </si>
  <si>
    <t>SMITH SWAMI</t>
  </si>
  <si>
    <t>AYLEEN EKKA</t>
  </si>
  <si>
    <t>ARUSHI SAHU</t>
  </si>
  <si>
    <t>PRABIR SINGH MATHARU</t>
  </si>
  <si>
    <t>BHURYA DESHMUKH</t>
  </si>
  <si>
    <t>BHAVYA DESHMUKH</t>
  </si>
  <si>
    <t>NISHIT OJHA</t>
  </si>
  <si>
    <t>JACKSON JOHNSON</t>
  </si>
  <si>
    <t>ADITYA KUMAR</t>
  </si>
  <si>
    <t>GARGI MINOCHA</t>
  </si>
  <si>
    <t>7-B</t>
  </si>
  <si>
    <t>PRAKRITI YADAV</t>
  </si>
  <si>
    <t>AARUSH NISHAD</t>
  </si>
  <si>
    <t>YASH SHRIVASTAVA</t>
  </si>
  <si>
    <t>AROHI PUROHIT</t>
  </si>
  <si>
    <t>ARYA PUROHIT</t>
  </si>
  <si>
    <t>ADITYA RAJBHAR</t>
  </si>
  <si>
    <t>AYANNA PUNJABI</t>
  </si>
  <si>
    <t>7-C</t>
  </si>
  <si>
    <t>MAYANK DAS GUPTA</t>
  </si>
  <si>
    <t>SAVI SARIWAN</t>
  </si>
  <si>
    <t>PARIDHI SHRIVASTAVA</t>
  </si>
  <si>
    <t>SAKSHAM AGRAWAL</t>
  </si>
  <si>
    <t>DHRUV KUMAR</t>
  </si>
  <si>
    <t>UDAY SHEKHAR SHARMA</t>
  </si>
  <si>
    <t>NAVYA MEHRA</t>
  </si>
  <si>
    <t>7-D</t>
  </si>
  <si>
    <t>TANISH KAMBLEY</t>
  </si>
  <si>
    <t>JOSHUA ANDREW PANDEY</t>
  </si>
  <si>
    <t>7-E</t>
  </si>
  <si>
    <t>AASHI CHOUBEY</t>
  </si>
  <si>
    <t>VIVEK MARAVI</t>
  </si>
  <si>
    <t>GHANISHTHA SINGH BANAFAR</t>
  </si>
  <si>
    <t>RAJVARDHAN DUBEY</t>
  </si>
  <si>
    <t>7-F</t>
  </si>
  <si>
    <t>HARDIK PATEL</t>
  </si>
  <si>
    <t>AMRITA DASWAL</t>
  </si>
  <si>
    <t>SHANYU SHARMA</t>
  </si>
  <si>
    <t>HARSHITA KASHYAP</t>
  </si>
  <si>
    <t>7-G</t>
  </si>
  <si>
    <t>OJAS YADAV</t>
  </si>
  <si>
    <t>ASHUTOSH SAHU</t>
  </si>
  <si>
    <t>PRATIK KUMAR</t>
  </si>
  <si>
    <t>SAMAR DIXIT</t>
  </si>
  <si>
    <t>ABHIMANYU TOMAR</t>
  </si>
  <si>
    <t>8-A</t>
  </si>
  <si>
    <t>AYANSH SAHU</t>
  </si>
  <si>
    <t>AKSHITA PASI</t>
  </si>
  <si>
    <t>ANIKA PATERIYA</t>
  </si>
  <si>
    <t>JASMINE TIRKEY</t>
  </si>
  <si>
    <t>8-B</t>
  </si>
  <si>
    <t>PRATISHTHA PAWAR</t>
  </si>
  <si>
    <t>ARNAVI BADGAIYAN</t>
  </si>
  <si>
    <t>ANANYA SONI</t>
  </si>
  <si>
    <t>PREET GANDHI</t>
  </si>
  <si>
    <t>RISHAB SINGH DHURVE</t>
  </si>
  <si>
    <t>8-C</t>
  </si>
  <si>
    <t>SARTHAK KUMAR BHAGAT</t>
  </si>
  <si>
    <t>APEKSHA PRAJAPATI</t>
  </si>
  <si>
    <t>MAYANK JATAV</t>
  </si>
  <si>
    <t>SONALI THAKUR</t>
  </si>
  <si>
    <t>AMIT KUSHWAHA</t>
  </si>
  <si>
    <t>ANSHIKA SINGH</t>
  </si>
  <si>
    <t>KRISHNA AHIRWAR</t>
  </si>
  <si>
    <t>LUKESH PATIL</t>
  </si>
  <si>
    <t>ARYA KAUSHIK</t>
  </si>
  <si>
    <t>SHASHWAT SWAIN</t>
  </si>
  <si>
    <t>RUDRANSH SINGH</t>
  </si>
  <si>
    <t>8-D</t>
  </si>
  <si>
    <t>ARADHYA SONI</t>
  </si>
  <si>
    <t>AVIRAJ SINGH THAKUR</t>
  </si>
  <si>
    <t>TAANVI KAUR GUJRAL</t>
  </si>
  <si>
    <t>KHUSHI YADAV</t>
  </si>
  <si>
    <t>8-E</t>
  </si>
  <si>
    <t>NAVYA SEN</t>
  </si>
  <si>
    <t>APARNNA SWAIN</t>
  </si>
  <si>
    <t>AARON KARRA</t>
  </si>
  <si>
    <t>ANSH CHOUDHARY</t>
  </si>
  <si>
    <t>8-F</t>
  </si>
  <si>
    <t>ADARSH RAJBHAR</t>
  </si>
  <si>
    <t>ADITYA RATHORE</t>
  </si>
  <si>
    <t>ATHARVA SHRIVASTAVA</t>
  </si>
  <si>
    <t>MAULIK ADITYA SINGH</t>
  </si>
  <si>
    <t>SOUMYA UPADHYAY</t>
  </si>
  <si>
    <t>TANISHQ PUNJABI</t>
  </si>
  <si>
    <t>DEVANSH MANJHI</t>
  </si>
  <si>
    <t>8-G</t>
  </si>
  <si>
    <t>SIDAK SINGH ANAND</t>
  </si>
  <si>
    <t>SHIVANSH SINGH THAKUR</t>
  </si>
  <si>
    <t>ADVIK SINGH</t>
  </si>
  <si>
    <t>ANSH SHRIVASTAVA</t>
  </si>
  <si>
    <t>ABHIJIT PAIK</t>
  </si>
  <si>
    <t>AADYA GAUTAM</t>
  </si>
  <si>
    <t>RUDRANSH KUMAR NIKHAR</t>
  </si>
  <si>
    <t>ROMESH PAL</t>
  </si>
  <si>
    <t>9-A</t>
  </si>
  <si>
    <t>ABHAY KAURAV</t>
  </si>
  <si>
    <t>PRAYANJAL MANHAS</t>
  </si>
  <si>
    <t>ANSH KANOJIYA</t>
  </si>
  <si>
    <t>9-B</t>
  </si>
  <si>
    <t>ARON HARSOLE</t>
  </si>
  <si>
    <t>MAYUR KASHYAP</t>
  </si>
  <si>
    <t>9-C</t>
  </si>
  <si>
    <t>ABHINAV CHOUDHARY</t>
  </si>
  <si>
    <t>9-E</t>
  </si>
  <si>
    <t>ASLESHA RAJESH SORTE</t>
  </si>
  <si>
    <t>KUNAL BOKDE</t>
  </si>
  <si>
    <t>10-A</t>
  </si>
  <si>
    <t>ETHAN RAXE</t>
  </si>
  <si>
    <t>10-C</t>
  </si>
  <si>
    <t>ARNAV BISWAS</t>
  </si>
  <si>
    <t>4-G</t>
  </si>
  <si>
    <t>10-D</t>
  </si>
  <si>
    <t>Name</t>
  </si>
  <si>
    <t>Month</t>
  </si>
  <si>
    <t>Fee</t>
  </si>
  <si>
    <t>Collection Type</t>
  </si>
  <si>
    <t>Receipt No</t>
  </si>
  <si>
    <t>Date</t>
  </si>
  <si>
    <t>Ol</t>
  </si>
  <si>
    <t>August</t>
  </si>
  <si>
    <t>Bk</t>
  </si>
  <si>
    <t>Ca</t>
  </si>
  <si>
    <t>HIMALAY</t>
  </si>
  <si>
    <t>AVNI SANMANI</t>
  </si>
  <si>
    <t>AKSHAT TIWARI</t>
  </si>
  <si>
    <t>VANYA DHURVE</t>
  </si>
  <si>
    <t>ABHINAV SHRIVASTAVA</t>
  </si>
  <si>
    <t>VAISHNAVI GUPTA</t>
  </si>
  <si>
    <t>SAMEER GUPTA</t>
  </si>
  <si>
    <t>SHIVANSI GARG</t>
  </si>
  <si>
    <t>TAKSHIL RAJAK</t>
  </si>
  <si>
    <t>PARTH SINGH MARKAM</t>
  </si>
  <si>
    <t>ARNAVI BARAL</t>
  </si>
  <si>
    <t>KRISHA SINGH</t>
  </si>
  <si>
    <t>SWETA SINGH</t>
  </si>
  <si>
    <t>SHAARAV SINGH</t>
  </si>
  <si>
    <t>ARUNIYA SINGH</t>
  </si>
  <si>
    <t>AYUSH RAO</t>
  </si>
  <si>
    <t>MISHAEL MINZ</t>
  </si>
  <si>
    <t>TRISHIKA JAISWAL</t>
  </si>
  <si>
    <t>VIRAT JAISWAL</t>
  </si>
  <si>
    <t>PRIYANSH KUMARI</t>
  </si>
  <si>
    <t>ARYA CHOUBEY</t>
  </si>
  <si>
    <t>AARUSH SONI</t>
  </si>
  <si>
    <t>MOHAMMAD SAYYED SAUD</t>
  </si>
  <si>
    <t>MOHAMMAD ANAS</t>
  </si>
  <si>
    <t>SUVEER SINGH JANGHELA</t>
  </si>
  <si>
    <t>RAJVEER SINGH</t>
  </si>
  <si>
    <t>HARSH KERKETTA</t>
  </si>
  <si>
    <t>AVNI SINGH RAJPUT</t>
  </si>
  <si>
    <t>ANANYA SINGH RAJPUT</t>
  </si>
  <si>
    <t>ADITYA PRASAD GOND</t>
  </si>
  <si>
    <t>NURVI DESHMUKH</t>
  </si>
  <si>
    <t>YUKTI PRAJAPATI</t>
  </si>
  <si>
    <t>AARUHI CHAUHAN</t>
  </si>
  <si>
    <t>ARSHIKA KORI</t>
  </si>
  <si>
    <t>AYUSH</t>
  </si>
  <si>
    <t>AVNI CHHIBBER</t>
  </si>
  <si>
    <t>GARVIT SHARMA</t>
  </si>
  <si>
    <t>ALOK SAHU</t>
  </si>
  <si>
    <t>ARADHYA SHARMA</t>
  </si>
  <si>
    <t>BHOOMI KOL</t>
  </si>
  <si>
    <t>ARADHYA SAHU</t>
  </si>
  <si>
    <t>RITUL GAUTAM</t>
  </si>
  <si>
    <t>SHREYAN KUMAR RANJAN</t>
  </si>
  <si>
    <t>DEVANSH DIXIT</t>
  </si>
  <si>
    <t>SAKSHI WAGARE</t>
  </si>
  <si>
    <t>Bhagyashree Wagare</t>
  </si>
  <si>
    <t>KRITIKA CHAKRAWARTI</t>
  </si>
  <si>
    <t>NAVYA DUBEY</t>
  </si>
  <si>
    <t>ARYASH KUMAR</t>
  </si>
  <si>
    <t>NAKSH RAO</t>
  </si>
  <si>
    <t>RUDRANSH OJHA</t>
  </si>
  <si>
    <t>Keshav Shukla</t>
  </si>
  <si>
    <t>DIVYANSHI YADAV</t>
  </si>
  <si>
    <t>ROUNAK GUPTA</t>
  </si>
  <si>
    <t>RUDRANSH GUPTA</t>
  </si>
  <si>
    <t>DHAIRYA LALWANI</t>
  </si>
  <si>
    <t>JASMAN KAUR BHATTI</t>
  </si>
  <si>
    <t>SHAANVI SAJWAN</t>
  </si>
  <si>
    <t>RIYANSH SINGH SAJWAN</t>
  </si>
  <si>
    <t>DIVYANSH HALDKAR</t>
  </si>
  <si>
    <t>HIMAKSHI PANDRE</t>
  </si>
  <si>
    <t>KANIKA AIYER</t>
  </si>
  <si>
    <t>AARADHY LODHI</t>
  </si>
  <si>
    <t>VIHAAN ORAON</t>
  </si>
  <si>
    <t>VIDHI SHRIVAS</t>
  </si>
  <si>
    <t>SWANAND MISHRA</t>
  </si>
  <si>
    <t>SWASTIK MISHRA</t>
  </si>
  <si>
    <t>ABHIRAJ JHARIYA</t>
  </si>
  <si>
    <t>ANANYA OJHA</t>
  </si>
  <si>
    <t>AVIRAL K KANOJIA</t>
  </si>
  <si>
    <t>ANSHITA PATEL</t>
  </si>
  <si>
    <t>MOHNISH UIKE</t>
  </si>
  <si>
    <t>AHAANA RAJ</t>
  </si>
  <si>
    <t>SHRIYANSH PATEL</t>
  </si>
  <si>
    <t>DEVANSH SINGH BHADAURIA</t>
  </si>
  <si>
    <t>ARYA VISHWAKARMA</t>
  </si>
  <si>
    <t>AAYANSH YADAV</t>
  </si>
  <si>
    <t>ANSHIKA SHUKLA</t>
  </si>
  <si>
    <t>ANUSHRI GUPTA</t>
  </si>
  <si>
    <t>NEEL RAHANGDALE</t>
  </si>
  <si>
    <t>PRATISHTHA SAINI</t>
  </si>
  <si>
    <t>SHRESHTH SAINI</t>
  </si>
  <si>
    <t>AVIDHA PARASTE</t>
  </si>
  <si>
    <t>NITYA PARASTE</t>
  </si>
  <si>
    <t>SHIVAANSH SINGH</t>
  </si>
  <si>
    <t>ARSHIKA VISHWAKARMA</t>
  </si>
  <si>
    <t>NIMIT SHRIVAS</t>
  </si>
  <si>
    <t>SARANSH PANDEY</t>
  </si>
  <si>
    <t>KANISHKA SINGH THAKUR</t>
  </si>
  <si>
    <t>KUSHAGRA SINGH THAKUR</t>
  </si>
  <si>
    <t>NIYANT SHUKLA</t>
  </si>
  <si>
    <t>NAKSH SHUKLA</t>
  </si>
  <si>
    <t>CLASS-WISE TOTALS</t>
  </si>
  <si>
    <t>Unique Students</t>
  </si>
  <si>
    <t>Total Paid Entries</t>
  </si>
  <si>
    <t>Total Fee</t>
  </si>
  <si>
    <t>500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</si>
  <si>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</si>
  <si>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</si>
  <si>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</si>
  <si>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</si>
  <si>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</si>
  <si>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</si>
  <si>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</si>
  <si>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</si>
  <si>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</si>
  <si>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</si>
  <si>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</si>
  <si>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</si>
  <si>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</si>
  <si>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</si>
  <si>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</si>
  <si>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</si>
  <si>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</si>
  <si>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</si>
  <si>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</si>
  <si>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</si>
  <si>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</si>
  <si>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</si>
  <si>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</si>
  <si>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</si>
  <si>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</si>
  <si>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</si>
  <si>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</si>
  <si>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</si>
  <si>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</si>
  <si>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</si>
  <si>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</si>
  <si>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</si>
  <si>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</si>
  <si>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</si>
  <si>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</si>
  <si>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</si>
  <si>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</si>
  <si>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</si>
  <si>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</si>
  <si>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</si>
  <si>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</si>
  <si>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</si>
  <si>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</si>
  <si>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</si>
  <si>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</si>
  <si>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</si>
  <si>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</si>
  <si>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</si>
  <si>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</si>
  <si>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</si>
  <si>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</si>
  <si>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</si>
  <si>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</si>
  <si>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</si>
  <si>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</si>
  <si>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</si>
  <si>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</si>
  <si>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</si>
  <si>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</si>
  <si>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</si>
  <si>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</si>
  <si>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</si>
  <si>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</si>
  <si>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</si>
  <si>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</si>
  <si>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</si>
  <si>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</si>
  <si>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</si>
  <si>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</si>
  <si>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</si>
  <si>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</si>
  <si>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</si>
  <si>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</si>
  <si>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</si>
  <si>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</si>
  <si>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</si>
  <si>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</si>
  <si>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</si>
  <si>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</si>
  <si>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</si>
  <si>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</si>
  <si>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</si>
  <si>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</si>
  <si>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</si>
  <si>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</si>
  <si>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</si>
  <si>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</si>
  <si>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</si>
  <si>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</si>
  <si>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</si>
  <si>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</si>
  <si>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</si>
  <si>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</si>
  <si>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</si>
  <si>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</si>
  <si>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</si>
  <si>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</si>
  <si>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</si>
  <si>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</si>
  <si>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</si>
  <si>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</si>
  <si>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</si>
  <si>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</si>
  <si>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</si>
  <si>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</si>
  <si>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</si>
  <si>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</si>
  <si>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</si>
  <si>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</si>
  <si>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</si>
  <si>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</si>
  <si>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</si>
  <si>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</si>
  <si>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</si>
  <si>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</si>
  <si>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</si>
  <si>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</si>
  <si>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</si>
  <si>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</si>
  <si>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</si>
  <si>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</si>
  <si>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</si>
  <si>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</si>
  <si>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</si>
  <si>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</si>
  <si>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</si>
  <si>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</si>
  <si>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</si>
  <si>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</si>
  <si>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</si>
  <si>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</si>
  <si>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</si>
  <si>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</si>
  <si>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</si>
  <si>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</si>
  <si>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</si>
  <si>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</si>
  <si>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</si>
  <si>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</si>
  <si>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</si>
  <si>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</si>
  <si>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</si>
  <si>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</si>
  <si>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</si>
  <si>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</si>
  <si>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</si>
  <si>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</si>
  <si>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</si>
  <si>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</si>
  <si>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</si>
  <si>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</si>
  <si>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</si>
  <si>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</si>
  <si>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</si>
  <si>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</si>
  <si>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</si>
  <si>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</si>
  <si>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</si>
  <si>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</si>
  <si>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</si>
  <si>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</si>
  <si>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</si>
  <si>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</si>
  <si>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</si>
  <si>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</si>
  <si>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</si>
  <si>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</si>
  <si>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</si>
  <si>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</si>
  <si>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</si>
  <si>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</si>
  <si>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</si>
  <si>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</si>
  <si>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</si>
  <si>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</si>
  <si>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</si>
  <si>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</si>
  <si>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</si>
  <si>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</si>
  <si>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</si>
  <si>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</si>
  <si>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</si>
  <si>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</si>
  <si>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</si>
  <si>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</si>
  <si>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</si>
  <si>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</si>
  <si>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</si>
  <si>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</si>
  <si>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</si>
  <si>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</si>
  <si>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</si>
  <si>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</si>
  <si>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</si>
  <si>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</si>
  <si>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</si>
  <si>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</si>
  <si>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</si>
  <si>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</si>
  <si>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</si>
  <si>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</si>
  <si>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</si>
  <si>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</si>
  <si>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</si>
  <si>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</si>
  <si>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</si>
  <si>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</si>
  <si>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</si>
  <si>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</si>
  <si>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</si>
  <si>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</si>
  <si>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</si>
  <si>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</si>
  <si>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</si>
  <si>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</si>
  <si>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</si>
  <si>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</si>
  <si>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</si>
  <si>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</si>
  <si>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</si>
  <si>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</si>
  <si>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</si>
  <si>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</si>
  <si>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</si>
  <si>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</si>
  <si>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</si>
  <si>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</si>
  <si>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</si>
  <si>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</si>
  <si>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</si>
  <si>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</si>
  <si>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</si>
  <si>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</si>
  <si>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</si>
  <si>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</si>
  <si>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</si>
  <si>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</si>
  <si>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</si>
  <si>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</si>
  <si>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</si>
  <si>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</si>
  <si>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</si>
  <si>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</si>
  <si>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</si>
  <si>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</si>
  <si>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</si>
  <si>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</si>
  <si>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</si>
  <si>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</si>
  <si>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</si>
  <si>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</si>
  <si>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</si>
  <si>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</si>
  <si>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</si>
  <si>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</si>
  <si>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</si>
  <si>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</si>
  <si>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</si>
  <si>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</si>
  <si>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</si>
  <si>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</si>
  <si>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</si>
  <si>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</si>
  <si>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</si>
  <si>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</si>
  <si>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</si>
  <si>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</si>
  <si>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</si>
  <si>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</si>
  <si>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</si>
  <si>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</si>
  <si>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</si>
  <si>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</si>
  <si>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</si>
  <si>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</si>
  <si>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</si>
  <si>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</si>
  <si>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</si>
  <si>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</si>
  <si>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</si>
  <si>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</si>
  <si>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</si>
  <si>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</si>
  <si>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</si>
  <si>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</si>
  <si>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</si>
  <si>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</si>
  <si>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</si>
  <si>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</si>
  <si>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</si>
  <si>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</si>
  <si>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</si>
  <si>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</si>
  <si>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</si>
  <si>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</si>
  <si>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</si>
  <si>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</si>
  <si>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</si>
  <si>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</si>
  <si>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</si>
  <si>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</si>
  <si>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</si>
  <si>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</si>
  <si>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</si>
  <si>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</si>
  <si>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</si>
  <si>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</si>
  <si>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</si>
  <si>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</si>
  <si>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</si>
  <si>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</si>
  <si>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</si>
  <si>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</si>
  <si>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</si>
  <si>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</si>
  <si>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</si>
  <si>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</si>
  <si>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</si>
  <si>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</si>
  <si>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</si>
  <si>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</si>
  <si>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</si>
  <si>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</si>
  <si>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</si>
  <si>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</si>
  <si>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</si>
  <si>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</si>
  <si>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</si>
  <si>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</si>
  <si>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</si>
  <si>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</si>
  <si>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</si>
  <si>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</si>
  <si>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</si>
  <si>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</si>
  <si>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</si>
  <si>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</si>
  <si>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</si>
  <si>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</si>
  <si>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</si>
  <si>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</si>
  <si>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</si>
  <si>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</si>
  <si>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</si>
  <si>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</si>
  <si>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</si>
  <si>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</si>
  <si>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</si>
  <si>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</si>
  <si>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</si>
  <si>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</si>
  <si>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</si>
  <si>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</si>
  <si>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</si>
  <si>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</si>
  <si>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</si>
  <si>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</si>
  <si>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</si>
  <si>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</si>
  <si>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</si>
  <si>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</si>
  <si>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</si>
  <si>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</si>
  <si>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</si>
  <si>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</si>
  <si>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</si>
  <si>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</si>
  <si>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</si>
  <si>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</si>
  <si>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</si>
  <si>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</si>
  <si>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</si>
  <si>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</si>
  <si>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</si>
  <si>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</si>
  <si>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</si>
  <si>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</si>
  <si>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</si>
  <si>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</si>
  <si>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</si>
  <si>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</si>
  <si>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</si>
  <si>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</si>
  <si>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</si>
  <si>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</si>
  <si>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</si>
  <si>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</si>
  <si>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</si>
  <si>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</si>
  <si>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</si>
  <si>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</si>
  <si>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</si>
  <si>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</si>
  <si>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</si>
  <si>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</si>
  <si>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</si>
  <si>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</si>
  <si>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</si>
  <si>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</si>
  <si>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</si>
  <si>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</si>
  <si>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</si>
  <si>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</si>
  <si>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</si>
  <si>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</si>
  <si>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</si>
  <si>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</si>
  <si>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</si>
  <si>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</si>
  <si>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</si>
  <si>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</si>
  <si>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</si>
  <si>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</si>
  <si>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</si>
  <si>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</si>
  <si>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</si>
  <si>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</si>
  <si>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</si>
  <si>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</si>
  <si>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</si>
  <si>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</si>
  <si>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</si>
  <si>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</si>
  <si>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</si>
  <si>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</si>
  <si>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</si>
  <si>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</si>
  <si>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</si>
  <si>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</si>
  <si>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</si>
  <si>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</si>
  <si>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</si>
  <si>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</si>
  <si>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</si>
  <si>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</si>
  <si>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</si>
  <si>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</si>
  <si>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</si>
  <si>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</si>
  <si>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</si>
  <si>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</si>
  <si>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</si>
  <si>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</si>
  <si>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</si>
  <si>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</si>
  <si>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</si>
  <si>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</si>
  <si>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</si>
  <si>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</si>
  <si>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</si>
  <si>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</si>
  <si>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</si>
  <si>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</si>
  <si>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</si>
  <si>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</si>
  <si>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</si>
  <si>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</si>
  <si>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</si>
  <si>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</si>
  <si>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</si>
  <si>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</si>
  <si>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</si>
  <si>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</si>
  <si>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</si>
  <si>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</si>
  <si>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</si>
  <si>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</si>
  <si>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</si>
  <si>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</si>
  <si>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</si>
  <si>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</si>
  <si>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</si>
  <si>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</si>
  <si>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</si>
  <si>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</si>
  <si>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</si>
  <si>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</si>
  <si>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</si>
  <si>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</si>
  <si>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</si>
  <si>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</si>
  <si>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</si>
  <si>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</si>
  <si>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</si>
  <si>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</si>
  <si>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</si>
  <si>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</si>
  <si>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</si>
  <si>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</si>
  <si>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</si>
  <si>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</si>
  <si>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</si>
  <si>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</si>
  <si>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</si>
  <si>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</si>
  <si>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</si>
  <si>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</si>
  <si>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</si>
  <si>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</si>
  <si>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</si>
  <si>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</si>
  <si>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</si>
  <si>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</si>
  <si>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</si>
  <si>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</si>
  <si>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</si>
  <si>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</si>
  <si>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</si>
  <si>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</si>
  <si>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</si>
  <si>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</si>
  <si>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</si>
  <si>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</si>
  <si>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</si>
  <si>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</si>
  <si>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</si>
  <si>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</si>
  <si>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</si>
  <si>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</si>
  <si>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</si>
  <si>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</si>
  <si>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</si>
  <si>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</si>
  <si>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</si>
  <si>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</si>
  <si>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</si>
  <si>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</si>
  <si>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</si>
  <si>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</si>
  <si>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</si>
  <si>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</si>
  <si>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</si>
  <si>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</si>
  <si>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</si>
  <si>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</si>
  <si>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</si>
  <si>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</si>
  <si>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</si>
  <si>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</si>
  <si>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</si>
  <si>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</si>
  <si>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</si>
  <si>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</si>
  <si>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</si>
  <si>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</si>
  <si>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</si>
  <si>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</si>
  <si>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</si>
  <si>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</si>
  <si>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</si>
  <si>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</si>
  <si>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</si>
  <si>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</si>
  <si>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</si>
  <si>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</si>
  <si>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</si>
  <si>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</si>
  <si>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</si>
  <si>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</si>
  <si>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</si>
  <si>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</si>
  <si>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</si>
  <si>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</si>
  <si>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</si>
  <si>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</si>
  <si>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</si>
  <si>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</si>
  <si>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</si>
  <si>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</si>
  <si>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</si>
  <si>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</si>
  <si>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</si>
  <si>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</si>
  <si>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</si>
  <si>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</si>
  <si>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</si>
  <si>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</si>
  <si>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</si>
  <si>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</si>
  <si>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</si>
  <si>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</si>
  <si>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</si>
  <si>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</si>
  <si>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</si>
  <si>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</si>
  <si>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</si>
  <si>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</si>
  <si>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</si>
  <si>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</si>
  <si>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</si>
  <si>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</si>
  <si>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</si>
  <si>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</si>
  <si>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</si>
  <si>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</si>
  <si>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</si>
  <si>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</si>
  <si>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</si>
  <si>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</si>
  <si>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</si>
  <si>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</si>
  <si>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</si>
  <si>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</si>
  <si>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</si>
  <si>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</si>
  <si>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</si>
  <si>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</si>
  <si>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</si>
  <si>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</si>
  <si>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</si>
  <si>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</si>
  <si>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</si>
  <si>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</si>
  <si>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</si>
  <si>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</si>
  <si>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</si>
  <si>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</si>
  <si>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</si>
  <si>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</si>
  <si>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</si>
  <si>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</si>
  <si>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</si>
  <si>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</si>
  <si>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</si>
  <si>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</si>
  <si>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</si>
  <si>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</si>
  <si>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</si>
  <si>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</si>
  <si>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</si>
  <si>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</si>
  <si>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</si>
  <si>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</si>
  <si>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</si>
  <si>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</si>
  <si>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</si>
  <si>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</si>
  <si>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</si>
  <si>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</si>
  <si>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</si>
  <si>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</si>
  <si>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</si>
  <si>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</si>
  <si>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</si>
  <si>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</si>
  <si>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</si>
  <si>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</si>
  <si>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</si>
  <si>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</si>
  <si>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</si>
  <si>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</si>
  <si>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</si>
  <si>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</si>
  <si>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</si>
  <si>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</si>
  <si>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</si>
  <si>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</si>
  <si>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</si>
  <si>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</si>
  <si>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</si>
  <si>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</si>
  <si>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</si>
  <si>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</si>
  <si>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</si>
  <si>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</si>
  <si>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</si>
  <si>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</si>
  <si>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</si>
  <si>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</si>
  <si>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</si>
  <si>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</si>
  <si>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</si>
  <si>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</si>
  <si>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</si>
  <si>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</si>
  <si>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</si>
  <si>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</si>
  <si>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</si>
  <si>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</si>
  <si>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</si>
  <si>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</si>
  <si>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</si>
  <si>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</si>
  <si>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</si>
  <si>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</si>
  <si>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</si>
  <si>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</si>
  <si>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</si>
  <si>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</si>
  <si>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</si>
  <si>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</si>
  <si>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</si>
  <si>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</si>
  <si>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</si>
  <si>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</si>
  <si>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</si>
  <si>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</si>
  <si>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</si>
  <si>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</si>
  <si>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</si>
  <si>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</si>
  <si>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</si>
  <si>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</si>
  <si>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</si>
  <si>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</si>
  <si>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</si>
  <si>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</si>
  <si>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</si>
  <si>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</si>
  <si>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</si>
  <si>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</si>
  <si>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</si>
  <si>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</si>
  <si>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</si>
  <si>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</si>
  <si>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</si>
  <si>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</si>
  <si>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</si>
  <si>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</si>
  <si>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</si>
  <si>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</si>
  <si>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</si>
  <si>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</si>
  <si>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</si>
  <si>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</si>
  <si>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</si>
  <si>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</si>
  <si>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</si>
  <si>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</si>
  <si>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</si>
  <si>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</si>
  <si>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</si>
  <si>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</si>
  <si>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</si>
  <si>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</si>
  <si>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</si>
  <si>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</si>
  <si>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</si>
  <si>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</si>
  <si>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</si>
  <si>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</si>
  <si>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</si>
  <si>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</si>
  <si>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</si>
  <si>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</si>
  <si>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</si>
  <si>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</si>
  <si>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</si>
  <si>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</si>
  <si>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</si>
  <si>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</si>
  <si>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</si>
  <si>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</si>
  <si>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</si>
  <si>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</si>
  <si>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</si>
  <si>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</si>
  <si>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</si>
  <si>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</si>
  <si>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</si>
  <si>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</si>
  <si>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</si>
  <si>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</si>
  <si>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</si>
  <si>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</si>
  <si>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</si>
  <si>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</si>
  <si>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</si>
  <si>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</si>
  <si>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</si>
  <si>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</si>
  <si>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</si>
  <si>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</si>
  <si>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</si>
  <si>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</si>
  <si>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</si>
  <si>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</si>
  <si>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</si>
  <si>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</si>
  <si>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</si>
  <si>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</si>
  <si>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</si>
  <si>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</si>
  <si>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</si>
  <si>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</si>
  <si>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</si>
  <si>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</si>
  <si>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</si>
  <si>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</si>
  <si>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</si>
  <si>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</si>
  <si>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</si>
  <si>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</si>
  <si>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</si>
  <si>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</si>
  <si>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</si>
  <si>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</si>
  <si>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</si>
  <si>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</si>
  <si>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</si>
  <si>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</si>
  <si>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</si>
  <si>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</si>
  <si>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</si>
  <si>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</si>
  <si>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</si>
  <si>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</si>
  <si>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</si>
  <si>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</si>
  <si>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</si>
  <si>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</si>
  <si>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</si>
  <si>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</si>
  <si>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</si>
  <si>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</si>
  <si>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</si>
  <si>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</si>
  <si>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</si>
  <si>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</si>
  <si>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</si>
  <si>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</si>
  <si>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</si>
  <si>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</si>
  <si>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</si>
  <si>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</si>
  <si>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</si>
  <si>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</si>
  <si>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</si>
  <si>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</si>
  <si>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</si>
  <si>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</si>
  <si>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</si>
  <si>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</si>
  <si>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</si>
  <si>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</si>
  <si>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</si>
  <si>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</si>
  <si>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</si>
  <si>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</si>
  <si>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</si>
  <si>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</si>
  <si>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</si>
  <si>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</si>
  <si>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</si>
  <si>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</si>
  <si>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</si>
  <si>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</si>
  <si>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</si>
  <si>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</si>
  <si>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</si>
  <si>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</si>
  <si>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</si>
  <si>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</si>
  <si>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</si>
  <si>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</si>
  <si>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</si>
  <si>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</si>
  <si>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</si>
  <si>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</si>
  <si>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</si>
  <si>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</si>
  <si>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</si>
  <si>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</si>
  <si>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</si>
  <si>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</si>
  <si>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</si>
  <si>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</si>
  <si>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</si>
  <si>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</si>
  <si>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</si>
  <si>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</si>
  <si>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</si>
  <si>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</si>
  <si>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</si>
  <si>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</si>
  <si>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</si>
  <si>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</si>
  <si>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</si>
  <si>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</si>
  <si>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</si>
  <si>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</si>
  <si>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</si>
  <si>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</si>
  <si>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</si>
  <si>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</si>
  <si>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</si>
  <si>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</si>
  <si>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</si>
  <si>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</si>
  <si>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</si>
  <si>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</si>
  <si>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</si>
  <si>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</si>
  <si>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</si>
  <si>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</si>
  <si>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</si>
  <si>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</si>
  <si>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</si>
  <si>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</si>
  <si>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</si>
  <si>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</si>
  <si>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</si>
  <si>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</si>
  <si>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</si>
  <si>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</si>
  <si>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</si>
  <si>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</si>
  <si>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</si>
  <si>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</si>
  <si>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</si>
  <si>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</si>
  <si>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</si>
  <si>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</si>
  <si>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</si>
  <si>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</si>
  <si>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</si>
  <si>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</si>
  <si>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</si>
  <si>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</si>
  <si>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</si>
  <si>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</si>
  <si>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</si>
  <si>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</si>
  <si>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</si>
  <si>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</si>
  <si>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</si>
  <si>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</si>
  <si>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</si>
  <si>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</si>
  <si>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</si>
  <si>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</si>
  <si>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</si>
  <si>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</si>
  <si>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</si>
  <si>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</si>
  <si>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</si>
  <si>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</si>
  <si>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</si>
  <si>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</si>
  <si>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</si>
  <si>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</si>
  <si>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</si>
  <si>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</si>
  <si>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</si>
  <si>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</si>
  <si>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</si>
  <si>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</si>
  <si>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</si>
  <si>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</si>
  <si>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</si>
  <si>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</si>
  <si>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</si>
  <si>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</si>
  <si>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</si>
  <si>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</si>
  <si>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</si>
  <si>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</si>
  <si>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</si>
  <si>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</si>
  <si>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</si>
  <si>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</si>
  <si>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</si>
  <si>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</si>
  <si>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</si>
  <si>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</si>
  <si>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</si>
  <si>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</si>
  <si>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</si>
  <si>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</si>
  <si>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</si>
  <si>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</si>
  <si>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</si>
  <si>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</si>
  <si>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</si>
  <si>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</si>
  <si>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</si>
  <si>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</si>
  <si>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</si>
  <si>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</si>
  <si>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</si>
  <si>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</si>
  <si>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</si>
  <si>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</si>
  <si>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</si>
  <si>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</si>
  <si>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</si>
  <si>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</si>
  <si>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</si>
  <si>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</si>
  <si>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</si>
  <si>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</si>
  <si>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</si>
  <si>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</si>
  <si>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</si>
  <si>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</si>
  <si>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</si>
  <si>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</si>
  <si>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</si>
  <si>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</si>
  <si>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</si>
  <si>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</si>
  <si>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</si>
  <si>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</si>
  <si>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</si>
  <si>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</si>
  <si>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</si>
  <si>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</si>
  <si>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</si>
  <si>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</si>
  <si>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</si>
  <si>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</si>
  <si>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</si>
  <si>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</si>
  <si>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</si>
  <si>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</si>
  <si>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</si>
  <si>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</si>
  <si>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</si>
  <si>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</si>
  <si>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</si>
  <si>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</si>
  <si>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</si>
  <si>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</si>
  <si>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</si>
  <si>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</si>
  <si>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</si>
  <si>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</si>
  <si>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</si>
  <si>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</si>
  <si>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</si>
  <si>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</si>
  <si>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</si>
  <si>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</si>
  <si>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</si>
  <si>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</si>
  <si>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</si>
  <si>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</si>
  <si>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</si>
  <si>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</si>
  <si>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</si>
  <si>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</si>
  <si>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</si>
  <si>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</si>
  <si>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</si>
  <si>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</si>
  <si>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</si>
  <si>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</si>
  <si>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</si>
  <si>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</si>
  <si>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</si>
  <si>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</si>
  <si>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</si>
  <si>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</si>
  <si>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</si>
  <si>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</si>
  <si>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</si>
  <si>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</si>
  <si>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</si>
  <si>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</si>
  <si>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</si>
  <si>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</si>
  <si>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</si>
  <si>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</si>
  <si>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</si>
  <si>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</si>
  <si>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</si>
  <si>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</si>
  <si>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</si>
  <si>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</si>
  <si>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</si>
  <si>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</si>
  <si>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</si>
  <si>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</si>
  <si>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</si>
  <si>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</si>
  <si>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</si>
  <si>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</si>
  <si>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</si>
  <si>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</si>
  <si>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</si>
  <si>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</si>
  <si>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</si>
  <si>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</si>
  <si>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</si>
  <si>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</si>
  <si>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</si>
  <si>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</si>
  <si>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</si>
  <si>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</si>
  <si>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</si>
  <si>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</si>
  <si>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</si>
  <si>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</si>
  <si>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</si>
  <si>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</si>
  <si>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</si>
  <si>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</si>
  <si>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</si>
  <si>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</si>
  <si>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</si>
  <si>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</si>
  <si>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</si>
  <si>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</si>
  <si>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</si>
  <si>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</si>
  <si>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</si>
  <si>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</si>
  <si>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</si>
  <si>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</si>
  <si>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</si>
  <si>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</si>
  <si>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</si>
  <si>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</si>
  <si>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</si>
  <si>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</si>
  <si>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</si>
  <si>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</si>
  <si>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</si>
  <si>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</si>
  <si>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</si>
  <si>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</si>
  <si>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</si>
  <si>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</si>
  <si>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</si>
  <si>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</si>
  <si>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</si>
  <si>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</si>
  <si>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</si>
  <si>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</si>
  <si>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</si>
  <si>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</si>
  <si>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</si>
  <si>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</si>
  <si>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</si>
  <si>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</si>
  <si>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</si>
  <si>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</si>
  <si>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</si>
  <si>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</si>
  <si>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</si>
  <si>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</si>
  <si>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</si>
  <si>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</si>
  <si>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</si>
  <si>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</si>
  <si>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</si>
  <si>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</si>
  <si>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</si>
  <si>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</si>
  <si>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extra</t>
  </si>
  <si>
    <t>AKSHIT KHANNA</t>
  </si>
  <si>
    <t>SHOUMIK SINGH</t>
  </si>
  <si>
    <t>YANSHIKA BURMAN</t>
  </si>
  <si>
    <t>NARGISH</t>
  </si>
  <si>
    <t>AADHYA BHONDEKAR</t>
  </si>
  <si>
    <t>AVANTIKA THAKUR</t>
  </si>
  <si>
    <t>RIDHIMA SAHU</t>
  </si>
  <si>
    <t>RITIKA SAHU</t>
  </si>
  <si>
    <t>NIKHIL PATEL</t>
  </si>
  <si>
    <t>ARUNIMA S BAGHEL</t>
  </si>
  <si>
    <t>KEVIN JOHN</t>
  </si>
  <si>
    <t>9-G</t>
  </si>
  <si>
    <t>AYANSH GUPTA</t>
  </si>
  <si>
    <t>ARUSHI PAL</t>
  </si>
  <si>
    <t>ARADHANA BOHRE</t>
  </si>
  <si>
    <t>PRANAVI RANA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</si>
  <si>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</si>
  <si>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</si>
  <si>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</si>
  <si>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</si>
  <si>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</si>
  <si>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</si>
  <si>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</si>
  <si>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</si>
  <si>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</si>
  <si>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</si>
  <si>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</si>
  <si>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</si>
  <si>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</si>
  <si>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</si>
  <si>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</si>
  <si>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</si>
  <si>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</si>
  <si>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</si>
  <si>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</si>
  <si>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</si>
  <si>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</si>
  <si>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</si>
  <si>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</si>
  <si>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</si>
  <si>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</si>
  <si>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</si>
  <si>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PAID</t>
  </si>
  <si>
    <t>TOTAL</t>
  </si>
  <si>
    <t>9-D</t>
  </si>
  <si>
    <t>9-F</t>
  </si>
  <si>
    <t>10-B</t>
  </si>
  <si>
    <t>10-E</t>
  </si>
  <si>
    <t>10-F</t>
  </si>
  <si>
    <t>Alfa Korah</t>
  </si>
  <si>
    <t>BHAGYASHREE WAGARE</t>
  </si>
  <si>
    <t>KESHAV SHUKLA</t>
  </si>
  <si>
    <t>CLASS</t>
  </si>
  <si>
    <t xml:space="preserve">STUDENTS WHO PAID EXTRA </t>
  </si>
  <si>
    <t>FEES</t>
  </si>
  <si>
    <t xml:space="preserve">TOTAL PAID </t>
  </si>
  <si>
    <t xml:space="preserve">CURRENT TOTAL </t>
  </si>
  <si>
    <t>TOTAL EXTRA PAID</t>
  </si>
  <si>
    <t>TOTAL COLLECTION</t>
  </si>
  <si>
    <t>REYANSH VERMA</t>
  </si>
  <si>
    <t>AKSHATH VIJAYANAND HARALE</t>
  </si>
  <si>
    <t>REHAT KAUR GUJRAL</t>
  </si>
  <si>
    <t>JIMIT SAINI</t>
  </si>
  <si>
    <t>RIYA DAMDERIYA</t>
  </si>
  <si>
    <t>PRANAV BALMIK</t>
  </si>
  <si>
    <t>SAKSHAM GUPTA</t>
  </si>
  <si>
    <t>ANUSH YADAV</t>
  </si>
  <si>
    <t>RAJVEER SINGH LODHI</t>
  </si>
  <si>
    <t>SHREYANSH SINGH PARIHAR</t>
  </si>
  <si>
    <t>SAMBHAV RANGARE</t>
  </si>
  <si>
    <t>SHAMBHAVI SHRIYA</t>
  </si>
  <si>
    <t>BHARGAV CHAKRAWARTI</t>
  </si>
  <si>
    <t>RISHIKA CHAKRAWARTI</t>
  </si>
  <si>
    <t>AARAV BAGRI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</si>
  <si>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</si>
  <si>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</si>
  <si>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</si>
  <si>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</si>
  <si>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</si>
  <si>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</si>
  <si>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</si>
  <si>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</si>
  <si>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</si>
  <si>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</si>
  <si>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</si>
  <si>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</si>
  <si>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</si>
  <si>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</si>
  <si>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</si>
  <si>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</si>
  <si>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</si>
  <si>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</si>
  <si>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</si>
  <si>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</si>
  <si>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</si>
  <si>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</si>
  <si>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</si>
  <si>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</si>
  <si>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</si>
  <si>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</si>
  <si>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</si>
  <si>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</si>
  <si>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</si>
  <si>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</si>
  <si>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</si>
  <si>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</si>
  <si>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SARTHAK SATPUTE</t>
  </si>
  <si>
    <t>1164</t>
  </si>
  <si>
    <t>1165</t>
  </si>
  <si>
    <t>1166</t>
  </si>
  <si>
    <t xml:space="preserve">1st installment </t>
  </si>
  <si>
    <t xml:space="preserve">2nd installment </t>
  </si>
  <si>
    <t xml:space="preserve">3rd installment </t>
  </si>
  <si>
    <t>AADI SRISHA</t>
  </si>
  <si>
    <t>AARNA SHARMA</t>
  </si>
  <si>
    <t>AKSHAT SHARMA</t>
  </si>
  <si>
    <t>ANUSHA BHUSARI</t>
  </si>
  <si>
    <t>ANUSHREE BOSE</t>
  </si>
  <si>
    <t>ARADHAYA BAIRWAN</t>
  </si>
  <si>
    <t>ARYAN KANOJIYA</t>
  </si>
  <si>
    <t>AVANTIKA SARATHE</t>
  </si>
  <si>
    <t>DHAIRYA SINGH PARIHAR</t>
  </si>
  <si>
    <t>ISHAAN YADAV</t>
  </si>
  <si>
    <t>KHUSHVENDRA SHRIVAS</t>
  </si>
  <si>
    <t>KETAN KUMAR TIWARI</t>
  </si>
  <si>
    <t>MADHUR TIWARI</t>
  </si>
  <si>
    <t>NAITIK VARMA</t>
  </si>
  <si>
    <t>PRIYANSHEE KOL</t>
  </si>
  <si>
    <t>SHWETA PRIYA</t>
  </si>
  <si>
    <t>SURYANSH PATEL</t>
  </si>
  <si>
    <t>TRIPTI SHAH</t>
  </si>
  <si>
    <t>VEER PRATAP YADAV</t>
  </si>
  <si>
    <t>YASH JHARIYA</t>
  </si>
  <si>
    <t>KARTIK VERMA</t>
  </si>
  <si>
    <t>ANUSHKA RAWAT</t>
  </si>
  <si>
    <t>AVINASH SAHOO</t>
  </si>
  <si>
    <t>MANYA JOSHI</t>
  </si>
  <si>
    <t>AARNIKA KORI</t>
  </si>
  <si>
    <t>ABHINAV PANDEY</t>
  </si>
  <si>
    <t>ADITI SHARMA</t>
  </si>
  <si>
    <t>ALINA ANTHONY</t>
  </si>
  <si>
    <t>ANISHKA RAJAK</t>
  </si>
  <si>
    <t>ANUPAM URMLIYA</t>
  </si>
  <si>
    <t>ANUSHKA SEN</t>
  </si>
  <si>
    <t>ARADHYA GUPTA</t>
  </si>
  <si>
    <t>ARADHYA SINGH</t>
  </si>
  <si>
    <t>ARYA RAJAK</t>
  </si>
  <si>
    <t>AVANI UIKEY</t>
  </si>
  <si>
    <t>DEV KUMAR SHARMA</t>
  </si>
  <si>
    <t>HARSHITA YADAV</t>
  </si>
  <si>
    <t>JOYA SHERLIN KUJUR</t>
  </si>
  <si>
    <t>KAVYA KAUSHAL</t>
  </si>
  <si>
    <t>KESHAR YADAV</t>
  </si>
  <si>
    <t>LAFRANCE KISPOTTA</t>
  </si>
  <si>
    <t>NAVYA TIRKEY</t>
  </si>
  <si>
    <t>NISHANT DUBEY</t>
  </si>
  <si>
    <t>OMKAR YADAV</t>
  </si>
  <si>
    <t>PRADNYA LODHI</t>
  </si>
  <si>
    <t>PRAYANTHI KHARE</t>
  </si>
  <si>
    <t>SAANVI NEGI</t>
  </si>
  <si>
    <t>SHREYASH PATEL</t>
  </si>
  <si>
    <t>TANVEER SINGH LAMBA</t>
  </si>
  <si>
    <t>VEDANSH MISHRA</t>
  </si>
  <si>
    <t>YUVAAN RAJAK</t>
  </si>
  <si>
    <t>AARADHYA JAIN</t>
  </si>
  <si>
    <t>ABHAY SINGH</t>
  </si>
  <si>
    <t>ANADI JHARIA</t>
  </si>
  <si>
    <t>ANANYA NIGAM</t>
  </si>
  <si>
    <t>ANIRWAAN SARKAR</t>
  </si>
  <si>
    <t>ANUSHI S SHASHIDHARAN</t>
  </si>
  <si>
    <t>ARUSH RAJAK</t>
  </si>
  <si>
    <t>ATHARV GUPTA</t>
  </si>
  <si>
    <t>DARSH KOTWANI</t>
  </si>
  <si>
    <t>DEV KUSHWAHA</t>
  </si>
  <si>
    <t>ISHAN BHARTI</t>
  </si>
  <si>
    <t>ISHWARANA NAIDU</t>
  </si>
  <si>
    <t>VEDEETA PATEL</t>
  </si>
  <si>
    <t>LAXMI JHARIYA</t>
  </si>
  <si>
    <t>MANVI LODHI</t>
  </si>
  <si>
    <t>MUSKAN RAJAK</t>
  </si>
  <si>
    <t>PRAGYA AISHWARYA</t>
  </si>
  <si>
    <t>PRATIBHA BANSAL</t>
  </si>
  <si>
    <t>PREETI MALI</t>
  </si>
  <si>
    <t>PREM SINGH</t>
  </si>
  <si>
    <t>SARTHAK DILLIWAR</t>
  </si>
  <si>
    <t>SHIDDHI SHREE GAUTAM</t>
  </si>
  <si>
    <t>MANUJ DWIVEDI</t>
  </si>
  <si>
    <t>SHUBHAM YADAV</t>
  </si>
  <si>
    <t>SUBHASHINI BARETH</t>
  </si>
  <si>
    <t>TANISHQ SINGH PATEL</t>
  </si>
  <si>
    <t>ABHAVYA YADAV</t>
  </si>
  <si>
    <t>ARIHANT SONI</t>
  </si>
  <si>
    <t>DURGESHWAR KASHYAP</t>
  </si>
  <si>
    <t>ISHAN TIWARI</t>
  </si>
  <si>
    <t>JAYANT YADAV</t>
  </si>
  <si>
    <t>JAYDEEP MANDAL</t>
  </si>
  <si>
    <t>JIYA YADAV</t>
  </si>
  <si>
    <t>KALPIT PATEL</t>
  </si>
  <si>
    <t>KRUTI YADAV</t>
  </si>
  <si>
    <t>MRATUNJAY SINGH THAKUR</t>
  </si>
  <si>
    <t>PALAK RAJESH NAIDU</t>
  </si>
  <si>
    <t>PRAPTI PACHORI</t>
  </si>
  <si>
    <t>PRIYANSH TIWARI</t>
  </si>
  <si>
    <t>RISHI RAJ</t>
  </si>
  <si>
    <t>SEEJASHRI ROY</t>
  </si>
  <si>
    <t>SEJAL GIRI</t>
  </si>
  <si>
    <t>SIDDHIKA SHARMA</t>
  </si>
  <si>
    <t>VANSH KUSHWAHA</t>
  </si>
  <si>
    <t>VEDANT RANJAN</t>
  </si>
  <si>
    <t>VINAYAK MISHRA</t>
  </si>
  <si>
    <t>VIRAAT SINGH PARIHAR</t>
  </si>
  <si>
    <t>AARADHYA KURARIA</t>
  </si>
  <si>
    <t>ABHINAV SINGH BAGRI</t>
  </si>
  <si>
    <t>ADARSH SAHU</t>
  </si>
  <si>
    <t>ADITI SAHU</t>
  </si>
  <si>
    <t>ADITYA PRAKASH SINGH</t>
  </si>
  <si>
    <t>AKRITI SHARMA</t>
  </si>
  <si>
    <t>ANIK KANOJIYA</t>
  </si>
  <si>
    <t>ANSH PATEL</t>
  </si>
  <si>
    <t>ANYA SINGH</t>
  </si>
  <si>
    <t>ARPIT BURMAN</t>
  </si>
  <si>
    <t>ARYAN SINGH BAGRI</t>
  </si>
  <si>
    <t>ATIKSH BAGRI</t>
  </si>
  <si>
    <t>AVNEESH NAMDEO</t>
  </si>
  <si>
    <t>CHETNA RAJAK</t>
  </si>
  <si>
    <t>EKAKSH SHUKLA</t>
  </si>
  <si>
    <t>ISHAAN PAL</t>
  </si>
  <si>
    <t>KANHA OJHA</t>
  </si>
  <si>
    <t>LAXMI SWAMY</t>
  </si>
  <si>
    <t>PRAKHAR DAHIYA</t>
  </si>
  <si>
    <t>PRANIT SINGH YADAV</t>
  </si>
  <si>
    <t>PRIYANSHU MEHRA</t>
  </si>
  <si>
    <t>RISHABH AHIRWAR</t>
  </si>
  <si>
    <t>RISHABH KUMAR</t>
  </si>
  <si>
    <t>SHREYASH KUMAR BANSHKAR</t>
  </si>
  <si>
    <t>SURYANSH KORI</t>
  </si>
  <si>
    <t>TAHRIM BEE</t>
  </si>
  <si>
    <t>VEDANT GOTIYA</t>
  </si>
  <si>
    <t>VIRAT BHATT</t>
  </si>
  <si>
    <t>ABHIMANYU SAINI</t>
  </si>
  <si>
    <t>ANJALI NAPIT</t>
  </si>
  <si>
    <t>ANSHIKA SENGAR</t>
  </si>
  <si>
    <t>ARADHY BHARTI</t>
  </si>
  <si>
    <t>ARADHYA PATEL</t>
  </si>
  <si>
    <t>AVNI TIWARI</t>
  </si>
  <si>
    <t>AYANA RAI</t>
  </si>
  <si>
    <t>DEVANSH KUMAR DEHARIYA</t>
  </si>
  <si>
    <t>DHRUV GAUTAM</t>
  </si>
  <si>
    <t>IPSA ARADHYA</t>
  </si>
  <si>
    <t>MISTI SONKAR</t>
  </si>
  <si>
    <t>PALAKSHI TAMRAKAR</t>
  </si>
  <si>
    <t>PAWANI TAMRAKAR</t>
  </si>
  <si>
    <t>PRIYANKA PRADHAN</t>
  </si>
  <si>
    <t>RUDRA KUSHWAHA</t>
  </si>
  <si>
    <t>SAMAKSH SAHU</t>
  </si>
  <si>
    <t>SATYANSH SINHA</t>
  </si>
  <si>
    <t>SHANAYA SAHU</t>
  </si>
  <si>
    <t>SHOURYA YADAV</t>
  </si>
  <si>
    <t>SHREYASH KUMAR DUBEY</t>
  </si>
  <si>
    <t>SWAPNIL SAHU</t>
  </si>
  <si>
    <t>TANISHA YADAV</t>
  </si>
  <si>
    <t>TANUSHKA SINGH</t>
  </si>
  <si>
    <t>VASUDEV YADAV</t>
  </si>
  <si>
    <t>VIDUSHI GANDHI</t>
  </si>
  <si>
    <t>Aadya Gautam</t>
  </si>
  <si>
    <t>Abhijit Paik</t>
  </si>
  <si>
    <t>Abhiram Pandey</t>
  </si>
  <si>
    <t>Aditya Prasad</t>
  </si>
  <si>
    <t>Advik Singh</t>
  </si>
  <si>
    <t>Akshat Rai</t>
  </si>
  <si>
    <t>Aradhya Medhe</t>
  </si>
  <si>
    <t>Arit Namdev</t>
  </si>
  <si>
    <t>Arnob Dhali</t>
  </si>
  <si>
    <t>Atharv Ojha</t>
  </si>
  <si>
    <t>Ayush Kumar</t>
  </si>
  <si>
    <t>Chitrakshi Manusmare</t>
  </si>
  <si>
    <t>Darsh Sahni</t>
  </si>
  <si>
    <t>Gargi Ben</t>
  </si>
  <si>
    <t>Ishaan Singh</t>
  </si>
  <si>
    <t>Ishita Rajak</t>
  </si>
  <si>
    <t>Kavya Yadav</t>
  </si>
  <si>
    <t>Kratika Mehra</t>
  </si>
  <si>
    <t>Naitri Dutta</t>
  </si>
  <si>
    <t>Navya Ranawat</t>
  </si>
  <si>
    <t>Om Tiwari</t>
  </si>
  <si>
    <t>Prithvi Raj Pardhan</t>
  </si>
  <si>
    <t>Purvi Dubey</t>
  </si>
  <si>
    <t>Romesh Pal</t>
  </si>
  <si>
    <t>Rudransh Kumar Nikhar</t>
  </si>
  <si>
    <t>Shivansh Singh Thakur</t>
  </si>
  <si>
    <t>Shrishti Vishwakarma</t>
  </si>
  <si>
    <t>Sidak Singh Anand</t>
  </si>
  <si>
    <t>Yash Pramod Patra</t>
  </si>
  <si>
    <t>Ansh Shrivastava</t>
  </si>
  <si>
    <t>Aryan Lodhi</t>
  </si>
  <si>
    <t>Yuvraj Yadav</t>
  </si>
  <si>
    <t>MANKARAN SINGH</t>
  </si>
  <si>
    <t>DEVENDRA PRATAP SINGH</t>
  </si>
  <si>
    <t>OM PRAKASH MALI</t>
  </si>
  <si>
    <t>ADDHYAN MARAVI</t>
  </si>
  <si>
    <t>ADRIEL ANTHONY</t>
  </si>
  <si>
    <t>ASHIMA TOPPO</t>
  </si>
  <si>
    <t>DIVYANSH BAGRI</t>
  </si>
  <si>
    <t>JAMES KUMAR</t>
  </si>
  <si>
    <t>JASKIRAT SINGH</t>
  </si>
  <si>
    <t>MANAV BHARDWAJ</t>
  </si>
  <si>
    <t>MANIK BHARDWAJ</t>
  </si>
  <si>
    <t>PRAKHAR KHOBRAGADE</t>
  </si>
  <si>
    <t>RECHAL EKKA</t>
  </si>
  <si>
    <t>RIYANSH PAL</t>
  </si>
  <si>
    <t>SAMARTH RAJAK</t>
  </si>
  <si>
    <t>SANKALP SHRIVASTAVA</t>
  </si>
  <si>
    <t>SONAKSHI YADAV</t>
  </si>
  <si>
    <t>VIVAAN SHANKLEY</t>
  </si>
  <si>
    <t>AANYA KUSHWAHA</t>
  </si>
  <si>
    <t>AARAV VISHWAKARMA</t>
  </si>
  <si>
    <t>ADITYA AGRAWAL</t>
  </si>
  <si>
    <t>ADITYA LODHI</t>
  </si>
  <si>
    <t>ALLU ANIKESH</t>
  </si>
  <si>
    <t>ANSHIKA SAHU</t>
  </si>
  <si>
    <t>ATHARV SONKER</t>
  </si>
  <si>
    <t>AYAN URANW</t>
  </si>
  <si>
    <t>ISHANT KUSHRAM</t>
  </si>
  <si>
    <t>KARTIK PURANIK</t>
  </si>
  <si>
    <t>PAAHI DUBEY</t>
  </si>
  <si>
    <t>PALAK SINGH</t>
  </si>
  <si>
    <t>PRAGYA YADAV</t>
  </si>
  <si>
    <t>PRIYAM BEHERA</t>
  </si>
  <si>
    <t>RIYANSH DEHARIYA</t>
  </si>
  <si>
    <t>SANVI HURMADE</t>
  </si>
  <si>
    <t>SHAGUN GUPTA</t>
  </si>
  <si>
    <t>SHANKH RAJAK</t>
  </si>
  <si>
    <t>SHIVI SINGH</t>
  </si>
  <si>
    <t>SHOURYA SHARMA</t>
  </si>
  <si>
    <t>SRASHTI YADAV</t>
  </si>
  <si>
    <t>VEDIC DUBEY</t>
  </si>
  <si>
    <t>ABHIJEET SHARMA</t>
  </si>
  <si>
    <t>HARSH PRAJAPATI</t>
  </si>
  <si>
    <t>ANIKET VISHWAKARMA</t>
  </si>
  <si>
    <t>ARADHYA GAYAKWAD</t>
  </si>
  <si>
    <t>AARADHYA LODHI</t>
  </si>
  <si>
    <t>ALLYSON LAMA</t>
  </si>
  <si>
    <t>ARADHYA PARASTE</t>
  </si>
  <si>
    <t>ARCHITA YADAV</t>
  </si>
  <si>
    <t>ARNAV KESHARWANI</t>
  </si>
  <si>
    <t>ASHITA SHARMA</t>
  </si>
  <si>
    <t>ASHUTOSH VERMA</t>
  </si>
  <si>
    <t>ASTUTI</t>
  </si>
  <si>
    <t>AYUSHMITA PANDEY</t>
  </si>
  <si>
    <t>BISWARAJ BARIK</t>
  </si>
  <si>
    <t>HANSHIKA MANKAR</t>
  </si>
  <si>
    <t>HARSHITA MEENA</t>
  </si>
  <si>
    <t>IRIS SHARMA</t>
  </si>
  <si>
    <t>KANHA KUSHWAHA</t>
  </si>
  <si>
    <t>KUNAL SINGH</t>
  </si>
  <si>
    <t>LAKSHYA BHATT</t>
  </si>
  <si>
    <t>MANYATA KAPOOR</t>
  </si>
  <si>
    <t>MUDIT JHARIYA</t>
  </si>
  <si>
    <t>MYSHA KAPOOR</t>
  </si>
  <si>
    <t>NUPOOR CHURENDRA</t>
  </si>
  <si>
    <t>PRADUMN SKS</t>
  </si>
  <si>
    <t>PRIYANSHU RANJAN</t>
  </si>
  <si>
    <t>RAAINA SARKAR</t>
  </si>
  <si>
    <t>RUDHRANEEL CHATTARJEE</t>
  </si>
  <si>
    <t>SARTHAK MITRA</t>
  </si>
  <si>
    <t>SHASHANK GHOSH</t>
  </si>
  <si>
    <t>SHASHWAT</t>
  </si>
  <si>
    <t>SHRISTI SINGH</t>
  </si>
  <si>
    <t>VAIDHVI YADAV</t>
  </si>
  <si>
    <t>VARUN MARAVI</t>
  </si>
  <si>
    <t>VIRAT DWIVEDI</t>
  </si>
  <si>
    <t>AARUSH SINGH GOUTAM</t>
  </si>
  <si>
    <t>ABHAY SINGH SENGAR</t>
  </si>
  <si>
    <t>ABHIGYAN SINGH</t>
  </si>
  <si>
    <t>ANSH SONI</t>
  </si>
  <si>
    <t>ARNAV GAUTAM</t>
  </si>
  <si>
    <t>ARNAV KACHER</t>
  </si>
  <si>
    <t>ARNAV SANODIA</t>
  </si>
  <si>
    <t>ARYA SINGH</t>
  </si>
  <si>
    <t>ATHARV SINGH RAJPUT</t>
  </si>
  <si>
    <t>AVIRAL DWIVEDI</t>
  </si>
  <si>
    <t>AYANSH SINGH GOUTAM</t>
  </si>
  <si>
    <t>AWAR KAUR BHAMRA</t>
  </si>
  <si>
    <t>BHAVYA SATNAMI</t>
  </si>
  <si>
    <t>DAKSHINA KAROSIA</t>
  </si>
  <si>
    <t>DIVY PATEL</t>
  </si>
  <si>
    <t>DIVYANSH GUPTA</t>
  </si>
  <si>
    <t>EESHVI JAIN</t>
  </si>
  <si>
    <t>ITI MAHOBIA</t>
  </si>
  <si>
    <t>JINAYSHA JAIN</t>
  </si>
  <si>
    <t>MRADUL PAL</t>
  </si>
  <si>
    <t>NAVYA SUNDRANI</t>
  </si>
  <si>
    <t>PRANAB PARASTE</t>
  </si>
  <si>
    <t>RAJAT PATEL</t>
  </si>
  <si>
    <t>SAMRAAT SINGH</t>
  </si>
  <si>
    <t>SENAJITH</t>
  </si>
  <si>
    <t>SHAILEE SONI</t>
  </si>
  <si>
    <t>SHRESTH YADAV</t>
  </si>
  <si>
    <t>SONAKHI SAHOO</t>
  </si>
  <si>
    <t>SRISHTI KUSHWAHA</t>
  </si>
  <si>
    <t>TANMAY PRASAD</t>
  </si>
  <si>
    <t>VAISHNAVI GADEL</t>
  </si>
  <si>
    <t>VANSHIKA THAKUR</t>
  </si>
  <si>
    <t>VEERA JAIN</t>
  </si>
  <si>
    <t>YASHIKA PATEL</t>
  </si>
  <si>
    <t>YASHRAJ SINGH SENGAR</t>
  </si>
  <si>
    <t>AYUSH MISHRA</t>
  </si>
  <si>
    <t>AARYAN PANDEY</t>
  </si>
  <si>
    <t>ABHYANSHIKA SINGH KORCHE</t>
  </si>
  <si>
    <t>AGRIMA PATHAK</t>
  </si>
  <si>
    <t>AISHNI SHARMA</t>
  </si>
  <si>
    <t>AKARSH SONI</t>
  </si>
  <si>
    <t>ANKESH RANA</t>
  </si>
  <si>
    <t>ALOK KUMAR BEDIYA</t>
  </si>
  <si>
    <t>ANSHIKA VERMA</t>
  </si>
  <si>
    <t>ANURADHA YADAV</t>
  </si>
  <si>
    <t>ARADHY TIWARI</t>
  </si>
  <si>
    <t>AROHI SHRIVAS</t>
  </si>
  <si>
    <t>ARPIT RAJAK</t>
  </si>
  <si>
    <t>ARUNITA DASGUPTA</t>
  </si>
  <si>
    <t>ARUSH MALIK</t>
  </si>
  <si>
    <t>ASHWIN SAHU</t>
  </si>
  <si>
    <t>ATHARV YADAV</t>
  </si>
  <si>
    <t>HIMANSHU MARAVI</t>
  </si>
  <si>
    <t>BHAVYA MARKO</t>
  </si>
  <si>
    <t>DISHA VISHWAKARMA</t>
  </si>
  <si>
    <t>DIVYANSH THAKUR</t>
  </si>
  <si>
    <t>EVANA HAMLIN</t>
  </si>
  <si>
    <t>GAURAV KUMAR NAYAK</t>
  </si>
  <si>
    <t>GUNJAS SINGH KAPOOR</t>
  </si>
  <si>
    <t>KAVYANSH BARASKAR</t>
  </si>
  <si>
    <t>MANAN PUNJABI</t>
  </si>
  <si>
    <t>MEET JAIN</t>
  </si>
  <si>
    <t>MITALEE BUNKAR</t>
  </si>
  <si>
    <t>NITYA KHATRI</t>
  </si>
  <si>
    <t>PARTHIV PATEL</t>
  </si>
  <si>
    <t>PRAGATI SINGH</t>
  </si>
  <si>
    <t>PRAKET RAI</t>
  </si>
  <si>
    <t>PRAKHAR BHATT</t>
  </si>
  <si>
    <t>PRIYANSH SONDHIA</t>
  </si>
  <si>
    <t>RASHI CHADHA</t>
  </si>
  <si>
    <t>SAMARTH SHRIVASTAVA</t>
  </si>
  <si>
    <t>SANVEER SINGH NAGI</t>
  </si>
  <si>
    <t>SHRESHTH PATEL</t>
  </si>
  <si>
    <t>SIDDHANT SINGH</t>
  </si>
  <si>
    <t>STUTI KUSHWAHA</t>
  </si>
  <si>
    <t>SUYANSH BARMAN</t>
  </si>
  <si>
    <t>VAANI YADAV</t>
  </si>
  <si>
    <t>VARTIKA GUPTA</t>
  </si>
  <si>
    <t>YAMINI JAIN</t>
  </si>
  <si>
    <t>YUVAAN TIWARI</t>
  </si>
  <si>
    <t>ADITYA KUMAR PATEL</t>
  </si>
  <si>
    <t>ADITYA PRAJAPATI</t>
  </si>
  <si>
    <t>ANIRUDDH SHARMA</t>
  </si>
  <si>
    <t>ARHAM JAIN</t>
  </si>
  <si>
    <t>ARVIKA GOSWAMI</t>
  </si>
  <si>
    <t>ARYAN CHARLES</t>
  </si>
  <si>
    <t>ATHARV BHARTI</t>
  </si>
  <si>
    <t>ATHARV MOHAN MISHRA</t>
  </si>
  <si>
    <t>ATULYA SINGH</t>
  </si>
  <si>
    <t>DIVYANSH SINGH RAJPUT</t>
  </si>
  <si>
    <t>PRAYAG VISHWAKARMA</t>
  </si>
  <si>
    <t>RIDHI CHOUDHARY</t>
  </si>
  <si>
    <t>SAVI URAON</t>
  </si>
  <si>
    <t>SHASHWAT VISHWAKARMA</t>
  </si>
  <si>
    <t>SHRAVAN SINGH KOLIYA</t>
  </si>
  <si>
    <t>SOMIT PAROHA</t>
  </si>
  <si>
    <t>PREET VERMA</t>
  </si>
  <si>
    <t>VAISHNAVI DHAWAN</t>
  </si>
  <si>
    <t>VANSH YADAV</t>
  </si>
  <si>
    <t>VIYANSH VAISHNAV</t>
  </si>
  <si>
    <t>VIVAAN GUGLIANIE</t>
  </si>
  <si>
    <t>AISHWARYA BHATT</t>
  </si>
  <si>
    <t>ANSH GUPTA</t>
  </si>
  <si>
    <t>ARYAN RAJ</t>
  </si>
  <si>
    <t>ANSHIKA DUBEY</t>
  </si>
  <si>
    <t>HARSHUL SONI</t>
  </si>
  <si>
    <t>MOHAMMAD HASIR KHAN</t>
  </si>
  <si>
    <t>NAVYA SINGH</t>
  </si>
  <si>
    <t>PRADYUMAN UIKEY</t>
  </si>
  <si>
    <t>SARANSH PATEL</t>
  </si>
  <si>
    <t>VANI SAHU</t>
  </si>
  <si>
    <t>SOMYA SAHU</t>
  </si>
  <si>
    <t>PURVI SINGH</t>
  </si>
  <si>
    <t>AAKARSHAN MISHRA</t>
  </si>
  <si>
    <t>ADITYA CHOURASIYA</t>
  </si>
  <si>
    <t>ADITYA DHURWEY</t>
  </si>
  <si>
    <t>ANAY SAINI</t>
  </si>
  <si>
    <t>ANAY SHUKLA</t>
  </si>
  <si>
    <t>ANISHKA SINGH</t>
  </si>
  <si>
    <t>AVYAAN EMMANUEL LAKRA</t>
  </si>
  <si>
    <t>DARSHITA SHRIVASTAVA</t>
  </si>
  <si>
    <t>DIVLEEN KAUR JAGGI</t>
  </si>
  <si>
    <t>JENISA MINZ</t>
  </si>
  <si>
    <t>KAVYA KHOBRAGADE</t>
  </si>
  <si>
    <t>MANASVI GOSWAMI</t>
  </si>
  <si>
    <t>OSHMI RAGHUWANSHI</t>
  </si>
  <si>
    <t>PRANEET HALDER</t>
  </si>
  <si>
    <t>RUDRANSH PATEL</t>
  </si>
  <si>
    <t>SAKSHI TIWARI</t>
  </si>
  <si>
    <t>SAVLEEN KAUR JAGGI</t>
  </si>
  <si>
    <t>SHAIK AMYRA</t>
  </si>
  <si>
    <t>SHASHWAT TIWARI</t>
  </si>
  <si>
    <t>SHAUBHAGY GAUTAM</t>
  </si>
  <si>
    <t>SHIKHAR LAKRA</t>
  </si>
  <si>
    <t>SHORYA PATEL</t>
  </si>
  <si>
    <t>VIDHAAN GAUTAM</t>
  </si>
  <si>
    <t>ARYAN YADAV</t>
  </si>
  <si>
    <t>VIRENDRA SINGH</t>
  </si>
  <si>
    <t>PURVI KACHHI</t>
  </si>
  <si>
    <t>AADITI SINGH</t>
  </si>
  <si>
    <t>AANYA SINGH</t>
  </si>
  <si>
    <t>AARADHY SINGH</t>
  </si>
  <si>
    <t>AAYANSH SAINI</t>
  </si>
  <si>
    <t>AKRITI DUBEY</t>
  </si>
  <si>
    <t>ANIK SHARMA</t>
  </si>
  <si>
    <t>ANSH ASWANI</t>
  </si>
  <si>
    <t>AVIKA</t>
  </si>
  <si>
    <t>DARSHIKA JAIN</t>
  </si>
  <si>
    <t>DIVYANSH SHRIVAS</t>
  </si>
  <si>
    <t>HARDIK WARKADE</t>
  </si>
  <si>
    <t>ISHA RAHADWE</t>
  </si>
  <si>
    <t>KANHANSH SINGH THAKUR</t>
  </si>
  <si>
    <t>KARTIK NONIYA</t>
  </si>
  <si>
    <t>KAVYA RAGHUWANSHI</t>
  </si>
  <si>
    <t>KRITI RAJAK</t>
  </si>
  <si>
    <t>KUNJAL MAHAJAN</t>
  </si>
  <si>
    <t>MAYANK KUMAR NAYAK</t>
  </si>
  <si>
    <t>OM RAVAT</t>
  </si>
  <si>
    <t>SAMARTH YADAV</t>
  </si>
  <si>
    <t>SAMEER KHAN</t>
  </si>
  <si>
    <t>SANSKRITI SINGH PARIHAR</t>
  </si>
  <si>
    <t>SHOURYA KUMAR</t>
  </si>
  <si>
    <t>SRISHTI</t>
  </si>
  <si>
    <t>TANISH YADAV</t>
  </si>
  <si>
    <t>VAIBHAV YADAV</t>
  </si>
  <si>
    <t>VED SWAMI</t>
  </si>
  <si>
    <t>YASH RAJ</t>
  </si>
  <si>
    <t>YUVANT DHOK</t>
  </si>
  <si>
    <t>YUVRAJ BHARATDWAJ</t>
  </si>
  <si>
    <t>AAYAN GUPTA</t>
  </si>
  <si>
    <t>ADARSH PANDRE</t>
  </si>
  <si>
    <t>ANMOL SINGH</t>
  </si>
  <si>
    <t>ANMOL SINGH THAKUR</t>
  </si>
  <si>
    <t>ARADHYA SHRIVAS</t>
  </si>
  <si>
    <t>ARADHYA TEKAM</t>
  </si>
  <si>
    <t>PRANAY SHRIVAS</t>
  </si>
  <si>
    <t>PRIYANSHU UIKEY</t>
  </si>
  <si>
    <t>SAMARTH BHALAVI</t>
  </si>
  <si>
    <t>SAMARTH KANNOUJE</t>
  </si>
  <si>
    <t>VARTIKA SINGH</t>
  </si>
  <si>
    <t>VIHAN SINGH YADAV</t>
  </si>
  <si>
    <t>VIRAT KUMAR JAISWAL</t>
  </si>
  <si>
    <t>CHITRANSH CHOUDHARY</t>
  </si>
  <si>
    <t>SOMNATH DEY</t>
  </si>
  <si>
    <t>TEJASVI BURMAN</t>
  </si>
  <si>
    <t>ARPIT SHRIVASTAV</t>
  </si>
  <si>
    <t>SHARANSH RATHORE</t>
  </si>
  <si>
    <t>SMITHIKA SARKAR</t>
  </si>
  <si>
    <t>PARV KHATRI</t>
  </si>
  <si>
    <t>DIVYANSHI SEN</t>
  </si>
  <si>
    <t>ADVIK</t>
  </si>
  <si>
    <t>ANTRA SEN</t>
  </si>
  <si>
    <t>JANVI YADAV</t>
  </si>
  <si>
    <t>AARNAV SAMRAT</t>
  </si>
  <si>
    <t>AKSHITA BARKADE</t>
  </si>
  <si>
    <t>ALANKRITA SARATHE</t>
  </si>
  <si>
    <t>ANMITA GUPTA</t>
  </si>
  <si>
    <t>ARYAN SINGH</t>
  </si>
  <si>
    <t>DEVIKA CHOUBEY</t>
  </si>
  <si>
    <t>HARSH KUMAR YADAV</t>
  </si>
  <si>
    <t>HARSHIT SINGH</t>
  </si>
  <si>
    <t>KAVYA RAJ</t>
  </si>
  <si>
    <t>MOHIT KUNJAM</t>
  </si>
  <si>
    <t>MONIKA KUNJAM</t>
  </si>
  <si>
    <t>NAINIKA SINGH</t>
  </si>
  <si>
    <t>PARTH BALAIYA</t>
  </si>
  <si>
    <t>REHAN TIRKEY</t>
  </si>
  <si>
    <t>RIDDHIMA SINGH</t>
  </si>
  <si>
    <t>RITIKA SEN</t>
  </si>
  <si>
    <t>RUDRA MOITRA</t>
  </si>
  <si>
    <t>SHIVANSH SONKAR</t>
  </si>
  <si>
    <t>SIYAN KOTAL</t>
  </si>
  <si>
    <t>TANMAY SINGH RANAWAT</t>
  </si>
  <si>
    <t>AADHYA AGRAWAL</t>
  </si>
  <si>
    <t>AADVIK SINGH</t>
  </si>
  <si>
    <t>AARANYA PATHAK</t>
  </si>
  <si>
    <t>AAROHI JAISWAL</t>
  </si>
  <si>
    <t>AARUSH SINGH</t>
  </si>
  <si>
    <t>AARYA KANOJIYA</t>
  </si>
  <si>
    <t>ALOK RAJAK</t>
  </si>
  <si>
    <t>ARADHYA SRIVASTAVA</t>
  </si>
  <si>
    <t>ARCHI KANOJIYA</t>
  </si>
  <si>
    <t>AVNI GARWAL</t>
  </si>
  <si>
    <t>AYSHA KOTWANI</t>
  </si>
  <si>
    <t>HARSH BHALLA</t>
  </si>
  <si>
    <t>LAY PATEL</t>
  </si>
  <si>
    <t>RIDHI YADAV</t>
  </si>
  <si>
    <t>RUDRA PURI GOSWAMI</t>
  </si>
  <si>
    <t>SAKSHI RAI</t>
  </si>
  <si>
    <t>SARVESH PRATAP BARETH</t>
  </si>
  <si>
    <t>SHAILI MOURYA</t>
  </si>
  <si>
    <t>SHIVAANSH SHARMA</t>
  </si>
  <si>
    <t>SHIVANI SHARMA</t>
  </si>
  <si>
    <t>SHREYA TAKLE</t>
  </si>
  <si>
    <t>SIDDHI MOURYA</t>
  </si>
  <si>
    <t>TANISH AHERWAR</t>
  </si>
  <si>
    <t>TANISHQ VERMA</t>
  </si>
  <si>
    <t>VANSHIKA KHANDAGARE</t>
  </si>
  <si>
    <t>AARADHYA NAMDEO</t>
  </si>
  <si>
    <t>AARNA CHOUKSEY</t>
  </si>
  <si>
    <t>AARNA JHARIYA</t>
  </si>
  <si>
    <t>AAYANSH SINGH NEGI</t>
  </si>
  <si>
    <t>ADITYA CHOUBEY</t>
  </si>
  <si>
    <t>AKSHAJ OJHA</t>
  </si>
  <si>
    <t>AKSHANSH SONI</t>
  </si>
  <si>
    <t>ALOK VERMA</t>
  </si>
  <si>
    <t>ANSH KUSHWAHA</t>
  </si>
  <si>
    <t>ANSHIKA PATHAK</t>
  </si>
  <si>
    <t>ARSH MAHTO</t>
  </si>
  <si>
    <t>CHHAYA BAJPAYEE</t>
  </si>
  <si>
    <t>NEERA SHARMA</t>
  </si>
  <si>
    <t>NISHI RAJPUT</t>
  </si>
  <si>
    <t>OSHITA CHAURASIA</t>
  </si>
  <si>
    <t>PAHI PARWANI</t>
  </si>
  <si>
    <t>PRIYANSH SEN</t>
  </si>
  <si>
    <t>RIDDHIMA KUSHWAHA</t>
  </si>
  <si>
    <t>SAMARTH SINGH CHOUHAN</t>
  </si>
  <si>
    <t>VIKAS JAIN</t>
  </si>
  <si>
    <t>VYOM RAGHUWANSHI</t>
  </si>
  <si>
    <t>AADVIK SHARMA</t>
  </si>
  <si>
    <t>AVNI GUPTA</t>
  </si>
  <si>
    <t>AARAV NAMDEO</t>
  </si>
  <si>
    <t>ANKUR CHAKRABORTY</t>
  </si>
  <si>
    <t>HARSH SEN</t>
  </si>
  <si>
    <t>HITESH RAJ</t>
  </si>
  <si>
    <t>KOLIKA BURMAN</t>
  </si>
  <si>
    <t>SAHIL KUMAR</t>
  </si>
  <si>
    <t>SAKSHI KUMARI</t>
  </si>
  <si>
    <t>TEJAS SINGH PARTE</t>
  </si>
  <si>
    <t>JAISH YADAV</t>
  </si>
  <si>
    <t>ANSHIKA KUSHWAHA</t>
  </si>
  <si>
    <t>ARNAV P SAHA</t>
  </si>
  <si>
    <t>AARADHYA CHOUDHARY</t>
  </si>
  <si>
    <t>AARAV KORI</t>
  </si>
  <si>
    <t>AARIC RISHAB BARA</t>
  </si>
  <si>
    <t>AARYANSH ANTHONY</t>
  </si>
  <si>
    <t>ABHEER XALXO</t>
  </si>
  <si>
    <t>ABHINENDRA SINGH</t>
  </si>
  <si>
    <t>ADHRIT SAHA ROY</t>
  </si>
  <si>
    <t>AKANKSHA HANSDAH</t>
  </si>
  <si>
    <t>AKSHAJ MISHRA</t>
  </si>
  <si>
    <t>ALEX JOSEPH</t>
  </si>
  <si>
    <t>ANSH SHARMA</t>
  </si>
  <si>
    <t>ANSHIKA KSHETRY</t>
  </si>
  <si>
    <t>ATHARVA CHOUDHARY</t>
  </si>
  <si>
    <t>DAKSH JAIN</t>
  </si>
  <si>
    <t>DEEPSHIKHA</t>
  </si>
  <si>
    <t>DIVYANSHI JHARIYA</t>
  </si>
  <si>
    <t>JOHANNA CARMEL KUJUR</t>
  </si>
  <si>
    <t>KANISHKA OJHA</t>
  </si>
  <si>
    <t>NIPUN PRATAP</t>
  </si>
  <si>
    <t>RISHITA SINGH</t>
  </si>
  <si>
    <t>RISHVIK BHAGAT</t>
  </si>
  <si>
    <t>SHIVANYA CHAKRAVARTI</t>
  </si>
  <si>
    <t>SHREETI DEY</t>
  </si>
  <si>
    <t>SRISHTI RANJAN</t>
  </si>
  <si>
    <t>VIDHI ASUDANI</t>
  </si>
  <si>
    <t>VIKHYAT KOUSHAL</t>
  </si>
  <si>
    <t>YASH GOSWAMI</t>
  </si>
  <si>
    <t>YUG KUMAR</t>
  </si>
  <si>
    <t>Hansal Patel</t>
  </si>
  <si>
    <t>AADARSH RAI</t>
  </si>
  <si>
    <t>AARADHYA DEEPAK WADATKAR</t>
  </si>
  <si>
    <t>AASHMI SAHU</t>
  </si>
  <si>
    <t>AMAN KUMAR PRAJAPATI</t>
  </si>
  <si>
    <t>ANAISHA ADHIKARI</t>
  </si>
  <si>
    <t>ANIKA RAJAK</t>
  </si>
  <si>
    <t>ARYA KANOJIYA</t>
  </si>
  <si>
    <t>ATHARV GONTIYA</t>
  </si>
  <si>
    <t>AVISHKA CHOUDHARY</t>
  </si>
  <si>
    <t>DIVYANSH GIRI GOSWAMY</t>
  </si>
  <si>
    <t>DIVYANSH MARAVI</t>
  </si>
  <si>
    <t>JIYANSHI JAIN</t>
  </si>
  <si>
    <t>LABHYA PANDEY</t>
  </si>
  <si>
    <t>NAITIK NAYAK</t>
  </si>
  <si>
    <t>NAMAMI</t>
  </si>
  <si>
    <t>PRATYUSHA GOSWAMI</t>
  </si>
  <si>
    <t>PRIYAL GANDHI</t>
  </si>
  <si>
    <t>RUDRARAJ SINGH</t>
  </si>
  <si>
    <t>SANIDHYA KUMAR MISHRA</t>
  </si>
  <si>
    <t>SHARNAM PATHAK</t>
  </si>
  <si>
    <t>SHOURYA SINGH PATEL</t>
  </si>
  <si>
    <t>SRISHTI BANSHKAR</t>
  </si>
  <si>
    <t>TRISHA MISHRA</t>
  </si>
  <si>
    <t>UJJWAL SAILANI</t>
  </si>
  <si>
    <t>VARUN CHADDA</t>
  </si>
  <si>
    <t>YANCHIT SHUKLA</t>
  </si>
  <si>
    <t>YASMITA YANVI</t>
  </si>
  <si>
    <t>Aaliya Rajak</t>
  </si>
  <si>
    <t>ABHIMAN SINGH</t>
  </si>
  <si>
    <t>ABHISHEK AMBAGADE</t>
  </si>
  <si>
    <t>AKSHITA YADAV</t>
  </si>
  <si>
    <t>ANAISHA KHARE</t>
  </si>
  <si>
    <t>ANANT KUMAR SHAH</t>
  </si>
  <si>
    <t>ANANT SONI</t>
  </si>
  <si>
    <t>ANUPAM SINGH</t>
  </si>
  <si>
    <t>ARADHYA PANDEY</t>
  </si>
  <si>
    <t>ARCHIT KUMAR</t>
  </si>
  <si>
    <t>AVNEESH PANDEY</t>
  </si>
  <si>
    <t>DEVANSH BAJPAI</t>
  </si>
  <si>
    <t>DIVYANSH CHOUDHARY</t>
  </si>
  <si>
    <t>HARDIK VERMA</t>
  </si>
  <si>
    <t>HETAL NILESH TAYADE</t>
  </si>
  <si>
    <t>KASHVI SHARMA</t>
  </si>
  <si>
    <t>KRITI SHRIVASTAVA</t>
  </si>
  <si>
    <t>MANASVI SONI</t>
  </si>
  <si>
    <t>MANAVI RAJAK</t>
  </si>
  <si>
    <t>NAKSH SAINI</t>
  </si>
  <si>
    <t>PARJANYO DEV</t>
  </si>
  <si>
    <t>RONIT THAKUR</t>
  </si>
  <si>
    <t>DAKSH CHAKRAVARTI</t>
  </si>
  <si>
    <t>SHUBH CHOUKSEY</t>
  </si>
  <si>
    <t>AARADHYA GHODKI</t>
  </si>
  <si>
    <t>AAROHI JAIN</t>
  </si>
  <si>
    <t>AASHRITA SHRIVAS</t>
  </si>
  <si>
    <t>ADITYA SHARMA</t>
  </si>
  <si>
    <t>AKASHDEEP VERMA</t>
  </si>
  <si>
    <t>ANAND SHARMA</t>
  </si>
  <si>
    <t>ANAY DUBEY</t>
  </si>
  <si>
    <t>ANMOL BURMAN</t>
  </si>
  <si>
    <t>ARAV ROY</t>
  </si>
  <si>
    <t>ARNAV JHARIYA</t>
  </si>
  <si>
    <t>ATHARV UPADHYAY</t>
  </si>
  <si>
    <t>AYAAN ANAND MALIK</t>
  </si>
  <si>
    <t>GURVEER SINGH NAGI</t>
  </si>
  <si>
    <t>JAGRITI GOSWAMI</t>
  </si>
  <si>
    <t>KANAK SHRIVASTAVA</t>
  </si>
  <si>
    <t>KAVISH DURGADE</t>
  </si>
  <si>
    <t>KUNJ TIWARI</t>
  </si>
  <si>
    <t>MANYAA PATEL</t>
  </si>
  <si>
    <t>MEDHANSHU SINGH</t>
  </si>
  <si>
    <t>NIHARIKA RAJAK</t>
  </si>
  <si>
    <t>PARTH SINGH</t>
  </si>
  <si>
    <t>SAMARTH CHOUKSEY</t>
  </si>
  <si>
    <t>SAMRIDDHI SINGH</t>
  </si>
  <si>
    <t>SHAURYA ADLAKHA</t>
  </si>
  <si>
    <t>SHIVALAY DHONGADIA</t>
  </si>
  <si>
    <t>SHIVANSH SHARMA</t>
  </si>
  <si>
    <t>SHLOK SINGH LODHI</t>
  </si>
  <si>
    <t>SHOURYA SINGH</t>
  </si>
  <si>
    <t>YASHMITA PANDEY</t>
  </si>
  <si>
    <t>AANYA SHARMA</t>
  </si>
  <si>
    <t>AARUSH GADEL</t>
  </si>
  <si>
    <t>ACHINT DUBEY</t>
  </si>
  <si>
    <t>AGRIMA UPADHYAY</t>
  </si>
  <si>
    <t>AKSHRAJ SINGH CHAUHAN</t>
  </si>
  <si>
    <t>ANIRUDH KUMAR MEHRA</t>
  </si>
  <si>
    <t>ANKISHA ARYA</t>
  </si>
  <si>
    <t>BRAHMANI DAHIYA</t>
  </si>
  <si>
    <t>DEVANSH JAREDA</t>
  </si>
  <si>
    <t>DIVYANSHI TIWARI</t>
  </si>
  <si>
    <t>HARDIK MEENA</t>
  </si>
  <si>
    <t>KAIRA PRADHAN</t>
  </si>
  <si>
    <t>PRAGYA SINGH</t>
  </si>
  <si>
    <t>PRISHA PANDEY</t>
  </si>
  <si>
    <t>PRIYANSH NARANG</t>
  </si>
  <si>
    <t>RAZIDA SIDDIQUE</t>
  </si>
  <si>
    <t>SHANVI THAPA</t>
  </si>
  <si>
    <t>Saadgi Rajak</t>
  </si>
  <si>
    <t>MANYA SHRIVAS</t>
  </si>
  <si>
    <t>AARAV PATEL</t>
  </si>
  <si>
    <t>ABHYUDAY JAISWAL</t>
  </si>
  <si>
    <t>ADITI GOSWAMI</t>
  </si>
  <si>
    <t>ANAY KUMAR YADAV</t>
  </si>
  <si>
    <t>ANSHIKA DHURVE</t>
  </si>
  <si>
    <t>ARADHYA MISHRA</t>
  </si>
  <si>
    <t>ARNAV DHURVE</t>
  </si>
  <si>
    <t>AVNI PATEL</t>
  </si>
  <si>
    <t>DEVANSH KUMAR SAHU</t>
  </si>
  <si>
    <t>DHARMIKA KAPOOR</t>
  </si>
  <si>
    <t>DIVLEEN KAUR KOHLI</t>
  </si>
  <si>
    <t>DIVYANSH TIWARI</t>
  </si>
  <si>
    <t>NIHAL SHARMA</t>
  </si>
  <si>
    <t>PRAGYAN SINGH</t>
  </si>
  <si>
    <t>RAVLEEN BHATTI</t>
  </si>
  <si>
    <t>SAVYASANCHI YADAV</t>
  </si>
  <si>
    <t>SHIVANSH RAI</t>
  </si>
  <si>
    <t>SHREYAN CHAWLA</t>
  </si>
  <si>
    <t>SWARA PATEL</t>
  </si>
  <si>
    <t>VARANYA CHOUDHARY</t>
  </si>
  <si>
    <t>VYAKHYA BHARTI</t>
  </si>
  <si>
    <t>SAANVI SINGH</t>
  </si>
  <si>
    <t>AASTHA SAHU</t>
  </si>
  <si>
    <t>ADITYA PURI</t>
  </si>
  <si>
    <t>AEINDRI PAN</t>
  </si>
  <si>
    <t>ANGHA YADAV</t>
  </si>
  <si>
    <t>ANSHUM SINGH UIKEY</t>
  </si>
  <si>
    <t>ANUJ MISHRA</t>
  </si>
  <si>
    <t>ARUSH ADHIKARI</t>
  </si>
  <si>
    <t>AVANI PANDEY</t>
  </si>
  <si>
    <t>DOVARI RYAN RAO</t>
  </si>
  <si>
    <t>GARIMA THAKUR</t>
  </si>
  <si>
    <t>HARSHWARDHAN GUPTA</t>
  </si>
  <si>
    <t>HETASVI BARANGE</t>
  </si>
  <si>
    <t>KANAK NANDINI</t>
  </si>
  <si>
    <t>MYRA HAZEL SARKAR</t>
  </si>
  <si>
    <t>NAKSH CHAKARVARTI</t>
  </si>
  <si>
    <t>OM SAHU</t>
  </si>
  <si>
    <t>PRAKHAR SINGH</t>
  </si>
  <si>
    <t>PRIYANSHI SAW</t>
  </si>
  <si>
    <t>RAKSHIT MISHRA</t>
  </si>
  <si>
    <t>REVANSH YADAV</t>
  </si>
  <si>
    <t>RUDRA PRATAP SINGH</t>
  </si>
  <si>
    <t>SARAS PRASAD</t>
  </si>
  <si>
    <t>SERAJ ANSARI</t>
  </si>
  <si>
    <t>SHIVANSH YADAV</t>
  </si>
  <si>
    <t>SHOURYA SONI</t>
  </si>
  <si>
    <t>SHUDDHI RAI</t>
  </si>
  <si>
    <t>VANYA SONI</t>
  </si>
  <si>
    <t>VEDANT KUMAR RAJAK</t>
  </si>
  <si>
    <t>VIHAAN ORION WUFTHANG</t>
  </si>
  <si>
    <t>VIRAAJ BANSHKAR</t>
  </si>
  <si>
    <t>YUVRAJ SINGH UIKE</t>
  </si>
  <si>
    <t>RUDRA SINGH</t>
  </si>
  <si>
    <t>BALRAJ SINGH SIDDHU</t>
  </si>
  <si>
    <t>DHANISHKA PATEL</t>
  </si>
  <si>
    <t>VANSHIKA MARAVI</t>
  </si>
  <si>
    <t>PRACHI</t>
  </si>
  <si>
    <t>RETANYA SINGH</t>
  </si>
  <si>
    <t>AARADHYA SHRIVASTAVA</t>
  </si>
  <si>
    <t>HARSHITA THAKUR</t>
  </si>
  <si>
    <t>DHAIRYA SUTRA</t>
  </si>
  <si>
    <t>ATHARV TRIPATHI</t>
  </si>
  <si>
    <t>AKSHITA KUMARI</t>
  </si>
  <si>
    <t>AUSTIN ERIC TOPPO</t>
  </si>
  <si>
    <t>AYANSH BHRAMVANSHI</t>
  </si>
  <si>
    <t>ARPIT KHILLAR</t>
  </si>
  <si>
    <t>HARDIK PARWANI</t>
  </si>
  <si>
    <t>AADARSH CHAKRAVARTI</t>
  </si>
  <si>
    <t>HARSH RAJ</t>
  </si>
  <si>
    <t>DEBAYON DAS GUPTA</t>
  </si>
  <si>
    <t>AKSHAT DHURVEY</t>
  </si>
  <si>
    <t>ANANT MISHRA</t>
  </si>
  <si>
    <t>DIVYANSH UIKEY</t>
  </si>
  <si>
    <t>SIDDART ATUL DHOKEY</t>
  </si>
  <si>
    <t>ARSH JAIN</t>
  </si>
  <si>
    <t>AARAV RATHORE</t>
  </si>
  <si>
    <t>AVANI GODIYAL</t>
  </si>
  <si>
    <t>ISHNA SAHU</t>
  </si>
  <si>
    <t>PAWANI BAGRI</t>
  </si>
  <si>
    <t>ANSHIT NEMA</t>
  </si>
  <si>
    <t>ATUL RAJ SINGH</t>
  </si>
  <si>
    <t>RAJVEER SAHU</t>
  </si>
  <si>
    <t>LABHANSH JAIN</t>
  </si>
  <si>
    <t>SHUBHDEEP JAISWAL</t>
  </si>
  <si>
    <t>ARYAN KUMAR</t>
  </si>
  <si>
    <t>UJJWAL JHARIYA</t>
  </si>
  <si>
    <t>RUDRAKSH PANDEY</t>
  </si>
  <si>
    <t>DAIVIK SINGH</t>
  </si>
  <si>
    <t>SARTHAK VISHWAKARMA</t>
  </si>
  <si>
    <t>MAYANK SRIVAS</t>
  </si>
  <si>
    <t>ANURAG KUMAR SINGH</t>
  </si>
  <si>
    <t>AKSHAT AGRAWAL</t>
  </si>
  <si>
    <t>BHAVYA RAJ</t>
  </si>
  <si>
    <t>ARPAN ADHIKARI</t>
  </si>
  <si>
    <t>SHRAWAN KUMAR DWIVEDI</t>
  </si>
  <si>
    <t>ANKIT KHILLAR</t>
  </si>
  <si>
    <t>AYUSHMAN YADAV</t>
  </si>
  <si>
    <t>VANSH RAJPUT</t>
  </si>
  <si>
    <t>ADITEE WARGHANTEWAR</t>
  </si>
  <si>
    <t>TANISHKA BHATIA</t>
  </si>
  <si>
    <t>RAMANSH PANDEY</t>
  </si>
  <si>
    <t>AARUSH MANOCHA</t>
  </si>
  <si>
    <t>AAYUSH SAROTE</t>
  </si>
  <si>
    <t>ADARSH NAYAK</t>
  </si>
  <si>
    <t>ADARSH SINGH RAWAT</t>
  </si>
  <si>
    <t>ADITYA SINGH</t>
  </si>
  <si>
    <t>AKSHIT CHOUDHARY</t>
  </si>
  <si>
    <t>ANKIT KANOJIYA</t>
  </si>
  <si>
    <t>ANSHU PASI</t>
  </si>
  <si>
    <t>ANUSHKA SHUKLA</t>
  </si>
  <si>
    <t>ANUSHKA YADAV</t>
  </si>
  <si>
    <t>ARPITA KUMARI</t>
  </si>
  <si>
    <t>ARUSH YADAV</t>
  </si>
  <si>
    <t>ATHARV SHRIVASTAVA</t>
  </si>
  <si>
    <t>LAKSHYA KUMAR KEMYA</t>
  </si>
  <si>
    <t>AYUSHMAN TIWARI</t>
  </si>
  <si>
    <t>BHAVYA GOUR</t>
  </si>
  <si>
    <t>PAWNI SINGH THAKUR</t>
  </si>
  <si>
    <t>PRATHUM RATHORE</t>
  </si>
  <si>
    <t>PRIYANSHI KUMARI</t>
  </si>
  <si>
    <t>PRIYANSHA BARMAN</t>
  </si>
  <si>
    <t>SAUGAAT CHRISTY EKKA</t>
  </si>
  <si>
    <t>SHIVANSHI SURYAWANSHI</t>
  </si>
  <si>
    <t>SHLOK SINGH</t>
  </si>
  <si>
    <t>SHOORVEER SINGH</t>
  </si>
  <si>
    <t>SHOURYA BHARTIYA</t>
  </si>
  <si>
    <t>SWARA SARATHE</t>
  </si>
  <si>
    <t>SWASTIK SAHARE</t>
  </si>
  <si>
    <t>VED SINGH THAKUR</t>
  </si>
  <si>
    <t>VEER SHARMA</t>
  </si>
  <si>
    <t>SUYASH BARMAN</t>
  </si>
  <si>
    <t>AKSHAT SWAMI</t>
  </si>
  <si>
    <t>ARADHAY KUSHWAHA</t>
  </si>
  <si>
    <t>ARPIT SINGH</t>
  </si>
  <si>
    <t>FARHAN KHAN YASHIN KHAN</t>
  </si>
  <si>
    <t>HARJAS SINGH NANDA</t>
  </si>
  <si>
    <t>RUDRA BOHRE</t>
  </si>
  <si>
    <t>SAMARPIT GOSWAMI</t>
  </si>
  <si>
    <t>VIRAAT SAHU</t>
  </si>
  <si>
    <t>AKSHAT KUMAR DHURVE</t>
  </si>
  <si>
    <t>ANUSHREE NAMDEO</t>
  </si>
  <si>
    <t>ARNAV BANERJEE</t>
  </si>
  <si>
    <t>GAURAV VERMA</t>
  </si>
  <si>
    <t>HARSHIT PAL</t>
  </si>
  <si>
    <t>KETAV KUMAR JHARIA</t>
  </si>
  <si>
    <t>MAHIT CHOUDHARY</t>
  </si>
  <si>
    <t>NIHIT NAYAK</t>
  </si>
  <si>
    <t>PARTH GURUNG</t>
  </si>
  <si>
    <t>POORVI BARASKAR</t>
  </si>
  <si>
    <t>PRAJJWAL YADAV</t>
  </si>
  <si>
    <t>PRIYANSHI SINGH PARIHAR</t>
  </si>
  <si>
    <t>RAGHAV SINGH RATHORE</t>
  </si>
  <si>
    <t>RUDRA KUMAR</t>
  </si>
  <si>
    <t>SAI SUBHAM MAHAPATRA</t>
  </si>
  <si>
    <t>SHARON NEWTON</t>
  </si>
  <si>
    <t>TANVI SHRIVASTAVA</t>
  </si>
  <si>
    <t>SHAURYA SHARMA</t>
  </si>
  <si>
    <t>AAFTAB KHAN</t>
  </si>
  <si>
    <t>AARADHY SHRIVASTAVA</t>
  </si>
  <si>
    <t>AKSHAY PURI</t>
  </si>
  <si>
    <t>AMAN SINGH</t>
  </si>
  <si>
    <t>ANMOL SAHU</t>
  </si>
  <si>
    <t>ANTRA KORI</t>
  </si>
  <si>
    <t>ARADHY SAHU</t>
  </si>
  <si>
    <t>ARSH SONI</t>
  </si>
  <si>
    <t>AVNI DUBEY</t>
  </si>
  <si>
    <t>AYUSH KUMAR SHRIVASTAVA</t>
  </si>
  <si>
    <t>AYUSH OJHA</t>
  </si>
  <si>
    <t>EKAKSH JAYASWAL</t>
  </si>
  <si>
    <t>HARSH KUMAR KOL</t>
  </si>
  <si>
    <t>HARSH SAHU</t>
  </si>
  <si>
    <t>JAPLIN KAUR LAMBA</t>
  </si>
  <si>
    <t>JAYSHREE RAI</t>
  </si>
  <si>
    <t>KAAVYA PANDEY</t>
  </si>
  <si>
    <t>KHUSHI PANDEY</t>
  </si>
  <si>
    <t>KINJAL PANDEY</t>
  </si>
  <si>
    <t>MANTHAN KUMAR PATEL</t>
  </si>
  <si>
    <t>MEHAR KAUR MASTANA</t>
  </si>
  <si>
    <t>SHRESTH SHARMA</t>
  </si>
  <si>
    <t>SIDDHANT BAGHEL</t>
  </si>
  <si>
    <t>AASHI KEYA</t>
  </si>
  <si>
    <t>ABHYAN RAJVEER</t>
  </si>
  <si>
    <t>ADITYA SENGUPTA</t>
  </si>
  <si>
    <t>ADITYA SINGH PATEL</t>
  </si>
  <si>
    <t>AKSHAT KHATRI</t>
  </si>
  <si>
    <t>ARANYA MUKHOPADHYAY</t>
  </si>
  <si>
    <t>RAJVEER PATEL</t>
  </si>
  <si>
    <t>SAANVI YADAV</t>
  </si>
  <si>
    <t>SHAILI RAWAT</t>
  </si>
  <si>
    <t>SHASHWAT PRAKASH SHRIVASTAVA</t>
  </si>
  <si>
    <t>STUTI SAHU</t>
  </si>
  <si>
    <t>AKSHAT SHAH</t>
  </si>
  <si>
    <t>ANAND SINGH THAKUR</t>
  </si>
  <si>
    <t>DIPANSHU PRAJAPATI</t>
  </si>
  <si>
    <t>MADHVAN MISHRA</t>
  </si>
  <si>
    <t>PUSHKAR PANDEY</t>
  </si>
  <si>
    <t>SAKSHAM CHAHAL</t>
  </si>
  <si>
    <t>RAGHAV RAI</t>
  </si>
  <si>
    <t>AKASH RAI</t>
  </si>
  <si>
    <t>HRITIKA KOL</t>
  </si>
  <si>
    <t>ARJIT PAROCHE</t>
  </si>
  <si>
    <t>SANSKAR PANDEY</t>
  </si>
  <si>
    <t>ARYAN DAHARWAL</t>
  </si>
  <si>
    <t>HIMANSHI THAKUR</t>
  </si>
  <si>
    <t>AASHNA YADAV</t>
  </si>
  <si>
    <t>NAITIK BACHLE</t>
  </si>
  <si>
    <t>DIVYANSH</t>
  </si>
  <si>
    <t>AARAV KUMAR</t>
  </si>
  <si>
    <t>AARUSH CHATURVEDI</t>
  </si>
  <si>
    <t>ADVIK YADAV</t>
  </si>
  <si>
    <t>ANAYSHA TANDON</t>
  </si>
  <si>
    <t>ANIRUDH RAJAK</t>
  </si>
  <si>
    <t>APOORV KUJUR</t>
  </si>
  <si>
    <t>HIMANSHU KOL</t>
  </si>
  <si>
    <t>JAISHA SIDDIQUE</t>
  </si>
  <si>
    <t>JASON LAKRA</t>
  </si>
  <si>
    <t>JAYDEN AUGUSTINE</t>
  </si>
  <si>
    <t>MAHIR SAHU</t>
  </si>
  <si>
    <t>MISHTI MURMU</t>
  </si>
  <si>
    <t>REETISHA RAJ</t>
  </si>
  <si>
    <t>RYAN NIVAAN XALXO</t>
  </si>
  <si>
    <t>SAMISHA TRIPATHRI</t>
  </si>
  <si>
    <t>SHREEJA TRIPATHI</t>
  </si>
  <si>
    <t>KARTIK NAMDEO</t>
  </si>
  <si>
    <t>ABHITIGYA JAISWAL</t>
  </si>
  <si>
    <t>ABHINAV PRAJAPATI</t>
  </si>
  <si>
    <t>AHANA LAKHERA</t>
  </si>
  <si>
    <t>AKSHITA GUPTA</t>
  </si>
  <si>
    <t>AMYRA MANSURI</t>
  </si>
  <si>
    <t>ANUKARSH PANDEY</t>
  </si>
  <si>
    <t>ARADHYA MEENA</t>
  </si>
  <si>
    <t>ARINDAM TIWARI</t>
  </si>
  <si>
    <t>ATHARV SINGH</t>
  </si>
  <si>
    <t>AYOTI TRIVEDI</t>
  </si>
  <si>
    <t>DEVANSH KUDOPA</t>
  </si>
  <si>
    <t>DIVY SONI</t>
  </si>
  <si>
    <t>DRITI MEENA</t>
  </si>
  <si>
    <t>JEEVIKA MANDAL</t>
  </si>
  <si>
    <t>JOYSHREE ADHIKARI</t>
  </si>
  <si>
    <t>NIYANSHI XESS</t>
  </si>
  <si>
    <t>PRAYAAG TIWARI</t>
  </si>
  <si>
    <t>RANVEER SINGH SARNA</t>
  </si>
  <si>
    <t>RUDRANSH MAHOBIYA</t>
  </si>
  <si>
    <t>SAAVI MANUSMARE</t>
  </si>
  <si>
    <t>SHASHWAT SONI</t>
  </si>
  <si>
    <t>SHIVANSHI KUSHWAHA</t>
  </si>
  <si>
    <t>SHIVANSHIKA DANGI</t>
  </si>
  <si>
    <t>SHUBH SINGH LODHI</t>
  </si>
  <si>
    <t>AANVI DUBEY</t>
  </si>
  <si>
    <t>AARVI BHAGAT</t>
  </si>
  <si>
    <t>AYUSH BOHARE</t>
  </si>
  <si>
    <t>ATHARV BACHLE</t>
  </si>
  <si>
    <t>AYUSHMAN PATHAK</t>
  </si>
  <si>
    <t>DHANI SAPATE</t>
  </si>
  <si>
    <t>HIMANSHI DHAKAD</t>
  </si>
  <si>
    <t>KANISHKA JAIN</t>
  </si>
  <si>
    <t>KUBER KHATRI</t>
  </si>
  <si>
    <t>KUMARI PRACHI</t>
  </si>
  <si>
    <t>MITANSH LODHI</t>
  </si>
  <si>
    <t>MUNEER AHMED KHAN</t>
  </si>
  <si>
    <t>OJASVI SAHU</t>
  </si>
  <si>
    <t>ROHAN UIKEY</t>
  </si>
  <si>
    <t>SAKSHAM BACHWANI</t>
  </si>
  <si>
    <t>SHANVI MEENA</t>
  </si>
  <si>
    <t>SHIVANSH MALWIYA</t>
  </si>
  <si>
    <t>SHIVANSH URAON</t>
  </si>
  <si>
    <t>YAGASHREE RAGHUWANSHI</t>
  </si>
  <si>
    <t>YASHIKA YADAV</t>
  </si>
  <si>
    <t>ANIRUDDH MEHRA</t>
  </si>
  <si>
    <t>KANT KAROSIA</t>
  </si>
  <si>
    <t>ANSHIKA KUMARI</t>
  </si>
  <si>
    <t>AYUSHMAN ROUT</t>
  </si>
  <si>
    <t>DIVYANT SHARMA</t>
  </si>
  <si>
    <t>DRISHTI SHARMA</t>
  </si>
  <si>
    <t>JESSICA PANDRE</t>
  </si>
  <si>
    <t>KAVYANSH KHATRI</t>
  </si>
  <si>
    <t>KESHIV KAURAV</t>
  </si>
  <si>
    <t>KHEEYANSH DODEJA</t>
  </si>
  <si>
    <t>KRISHNA RANJAN CHOUBEY</t>
  </si>
  <si>
    <t>MANISHA MURMU</t>
  </si>
  <si>
    <t>MERRY CHAMPARANI MARNDI</t>
  </si>
  <si>
    <t>PRISHA MAURYA</t>
  </si>
  <si>
    <t>RIDHIMA GUPTA</t>
  </si>
  <si>
    <t>RIYANSHI SAXENA</t>
  </si>
  <si>
    <t>RUPJIT RAKSHIT</t>
  </si>
  <si>
    <t>SHANVI KUMARI</t>
  </si>
  <si>
    <t>SHIVANSH DHANANJAY DHOMASE</t>
  </si>
  <si>
    <t>SHIVIKSHA RATHORE</t>
  </si>
  <si>
    <t>TANYA CHOUDHARY</t>
  </si>
  <si>
    <t>URVASHI KUMARI</t>
  </si>
  <si>
    <t>AARADHYA JADHAV</t>
  </si>
  <si>
    <t>ABHAY TIWARI</t>
  </si>
  <si>
    <t>ADHIRAJ SANODIA</t>
  </si>
  <si>
    <t>ANAIKA BISWAS</t>
  </si>
  <si>
    <t>ARAV YADAV</t>
  </si>
  <si>
    <t>ARGHYA MAHAPATRA</t>
  </si>
  <si>
    <t>ARNIKA RAUT</t>
  </si>
  <si>
    <t>AVNI YADAV</t>
  </si>
  <si>
    <t>ISHAN JAIN</t>
  </si>
  <si>
    <t>KAVYANSH PANDRE</t>
  </si>
  <si>
    <t>NAKSH JAIN</t>
  </si>
  <si>
    <t>NAMAMI YADAV</t>
  </si>
  <si>
    <t>PRAGYA JHARIYA</t>
  </si>
  <si>
    <t>RIYANSH RAJ</t>
  </si>
  <si>
    <t>RONAK TIRKEY</t>
  </si>
  <si>
    <t>SACHIKA YADAV</t>
  </si>
  <si>
    <t>SANCHIT SAHU</t>
  </si>
  <si>
    <t>SARTHAK CHAKRAWARTI</t>
  </si>
  <si>
    <t>SHASHWAT NEMA</t>
  </si>
  <si>
    <t>SHIRSH KANOJIYA</t>
  </si>
  <si>
    <t>SHIVAY DUBEY</t>
  </si>
  <si>
    <t>SHRESHTH AMIT GAWDE</t>
  </si>
  <si>
    <t>TANISH PRAJAPATI</t>
  </si>
  <si>
    <t>TAVISH GAUTAM</t>
  </si>
  <si>
    <t>VEDANSHI DAWAR</t>
  </si>
  <si>
    <t>VENKAT SAI KRITIKA</t>
  </si>
  <si>
    <t>VIRANSH SINGH NANDA</t>
  </si>
  <si>
    <t>VYOM MANGLANI</t>
  </si>
  <si>
    <t>AARADHYA RAY</t>
  </si>
  <si>
    <t>ABEER VERMA</t>
  </si>
  <si>
    <t>ADHIRAJ SINGH</t>
  </si>
  <si>
    <t>AHANA BATTI</t>
  </si>
  <si>
    <t>AKSHAT VERMA</t>
  </si>
  <si>
    <t>ARJUN KUMAR BAIN</t>
  </si>
  <si>
    <t>AROHI SINGH</t>
  </si>
  <si>
    <t>ARUSH RAJ</t>
  </si>
  <si>
    <t>GAURANSH KOLI</t>
  </si>
  <si>
    <t>JEEVIKA YADAV</t>
  </si>
  <si>
    <t>JOYAL TEKAM</t>
  </si>
  <si>
    <t>PRABUDH SINGH</t>
  </si>
  <si>
    <t>RIYANSH GUPTA</t>
  </si>
  <si>
    <t>SAMRIDDHI JHARIYA</t>
  </si>
  <si>
    <t>SHARANSH YADAV</t>
  </si>
  <si>
    <t>SHIVAY URMALIYA</t>
  </si>
  <si>
    <t>SHOURYA KUMAR PATEL</t>
  </si>
  <si>
    <t>SHRADDHA TIWARI</t>
  </si>
  <si>
    <t>SWARITH SISODIYA</t>
  </si>
  <si>
    <t>TIYASHA DUTTA</t>
  </si>
  <si>
    <t>VIHAAN DUBEY</t>
  </si>
  <si>
    <t>VIRAAJ YADAV</t>
  </si>
  <si>
    <t>YASH TIWARI</t>
  </si>
  <si>
    <t>YUVAAN MINOCHA</t>
  </si>
  <si>
    <t>AADVIKA SINGH</t>
  </si>
  <si>
    <t>AAHANA SINGH</t>
  </si>
  <si>
    <t>AARNA SHRIVASTAVA</t>
  </si>
  <si>
    <t>AASTHA SHUKLA</t>
  </si>
  <si>
    <t>AAYANSH KUMAR</t>
  </si>
  <si>
    <t>AAYANSH SHUKLA</t>
  </si>
  <si>
    <t>ATHARV SHARMA</t>
  </si>
  <si>
    <t>AYAAN SHARMA</t>
  </si>
  <si>
    <t>DEVANSH SINGH MARKAM</t>
  </si>
  <si>
    <t>DIVYAANSHI SINGH</t>
  </si>
  <si>
    <t>FARHANA KHAN</t>
  </si>
  <si>
    <t>HARSHIT SOYAM</t>
  </si>
  <si>
    <t>JAISVI UIKEY</t>
  </si>
  <si>
    <t>JANVI SONI</t>
  </si>
  <si>
    <t>KHUSHI RAJNEGEE</t>
  </si>
  <si>
    <t>PRABHAS PATEL (LODHI)</t>
  </si>
  <si>
    <t>SANVI NAYAK</t>
  </si>
  <si>
    <t>SARTHAK RAJAK</t>
  </si>
  <si>
    <t>SHASIKA BAUDDH</t>
  </si>
  <si>
    <t>SHAURYA PAWAR</t>
  </si>
  <si>
    <t>SHIVANGI AGRAWAL</t>
  </si>
  <si>
    <t>SHIVAY SHRIRAM ROTHE</t>
  </si>
  <si>
    <t>VIVAN PANDEY</t>
  </si>
  <si>
    <t>AHANA BAHADUR</t>
  </si>
  <si>
    <t>AARVI SAHU</t>
  </si>
  <si>
    <t>ADHIRA DEEPAK WADATKAR</t>
  </si>
  <si>
    <t>ADITI YADAV</t>
  </si>
  <si>
    <t>AGAM ALDA</t>
  </si>
  <si>
    <t>ANVESHA JAIN</t>
  </si>
  <si>
    <t>CHITRANSH DHAKAD</t>
  </si>
  <si>
    <t>DEVESH SINGH</t>
  </si>
  <si>
    <t>DEVANSH CHAUHAN</t>
  </si>
  <si>
    <t>INAKSH MAINI</t>
  </si>
  <si>
    <t>ISHITA YADAV</t>
  </si>
  <si>
    <t>MRATYUNJAY TIWARI</t>
  </si>
  <si>
    <t>NAITIK KUMAR</t>
  </si>
  <si>
    <t>NISHANT UPADHYAY</t>
  </si>
  <si>
    <t>NITYA UIKEY</t>
  </si>
  <si>
    <t>PRIYANSHI GANGARE</t>
  </si>
  <si>
    <t>SIDDHARTH DWIVEDI</t>
  </si>
  <si>
    <t>TAMANNA GADHWAL</t>
  </si>
  <si>
    <t>VAIBHAV SEN</t>
  </si>
  <si>
    <t>VEDANSH RAI</t>
  </si>
  <si>
    <t>VENKAT SAI KAVYA</t>
  </si>
  <si>
    <t>YUVAN SURKEL</t>
  </si>
  <si>
    <t>AARAV JHARIYA</t>
  </si>
  <si>
    <t>ANANYA SHRIVASTAV</t>
  </si>
  <si>
    <t>BHAVISHYA MEENA</t>
  </si>
  <si>
    <t>BHAVYA SAHU</t>
  </si>
  <si>
    <t>HANSIKA HARDE</t>
  </si>
  <si>
    <t>ISHAN TUDU</t>
  </si>
  <si>
    <t>JAYESH NAGDIVE</t>
  </si>
  <si>
    <t>MANVIK MARAVI</t>
  </si>
  <si>
    <t>MITANSH</t>
  </si>
  <si>
    <t>NITYA UPADHYAY</t>
  </si>
  <si>
    <t>PRISHA JAIN</t>
  </si>
  <si>
    <t>SHASHWAT DIXIT</t>
  </si>
  <si>
    <t>SOUMITA MANDAL</t>
  </si>
  <si>
    <t>SWASTIK YADAV</t>
  </si>
  <si>
    <t>VEDANSH KANOUJIYA</t>
  </si>
  <si>
    <t>AADHVIK PAL</t>
  </si>
  <si>
    <t>AARNA RAI</t>
  </si>
  <si>
    <t>AARVIKA SHEKHAWAT</t>
  </si>
  <si>
    <t>AAYUSH YADAV</t>
  </si>
  <si>
    <t>AAYANSH GAUTAM MISHRA</t>
  </si>
  <si>
    <t>AABHYA PANDEY</t>
  </si>
  <si>
    <t>ADRIEL REUBEN MINZ</t>
  </si>
  <si>
    <t>ANANYA KUSHWAHA</t>
  </si>
  <si>
    <t>ANANYA MEHRA</t>
  </si>
  <si>
    <t>ARPIT MALVIYA</t>
  </si>
  <si>
    <t>AVIRAL SHUKLA</t>
  </si>
  <si>
    <t>AYUSHMAAN PANDEY</t>
  </si>
  <si>
    <t>BALREEN KAUR CHANDHOK</t>
  </si>
  <si>
    <t>CHESHTA TEMRE</t>
  </si>
  <si>
    <t>HARSHIL UIKEY</t>
  </si>
  <si>
    <t>JANHAVI SHRIVAS</t>
  </si>
  <si>
    <t>KHUSHBU SAHU</t>
  </si>
  <si>
    <t>LAVIN KOL</t>
  </si>
  <si>
    <t>RUTHVIK KUMAR YADAV</t>
  </si>
  <si>
    <t>SANVI JAREDA</t>
  </si>
  <si>
    <t>SARASWATI YADAV</t>
  </si>
  <si>
    <t>SHREYA VISHWAKARMA</t>
  </si>
  <si>
    <t>TANUSH WARKADE</t>
  </si>
  <si>
    <t>VIVAAN YADAV</t>
  </si>
  <si>
    <t>VIYANA KIRAN MUNDLE</t>
  </si>
  <si>
    <t>AARYAN SHRIPAL</t>
  </si>
  <si>
    <t>AAROHI PATEL</t>
  </si>
  <si>
    <t>AADYANT VISHWAKARMA</t>
  </si>
  <si>
    <t>ABHINAV CHOUBEY</t>
  </si>
  <si>
    <t>ABIR DASGUPTA</t>
  </si>
  <si>
    <t>ANAYA BORKAR</t>
  </si>
  <si>
    <t>ANIKA VISHWAKARMA</t>
  </si>
  <si>
    <t>DHANVI MISHRA</t>
  </si>
  <si>
    <t>GAURAV SHRIVASTAVA</t>
  </si>
  <si>
    <t>GAURAV TIWARI</t>
  </si>
  <si>
    <t>HRIDHAAN RAGHUWANSHI</t>
  </si>
  <si>
    <t>JANVI UAIKEY</t>
  </si>
  <si>
    <t>MANAS MISHRA</t>
  </si>
  <si>
    <t>OJAS CHAURASIA</t>
  </si>
  <si>
    <t>PARTH GUPTA</t>
  </si>
  <si>
    <t>POORVIKA SACHIN JADHAV</t>
  </si>
  <si>
    <t>PRABHNOOR KAUR</t>
  </si>
  <si>
    <t>PREET VIG</t>
  </si>
  <si>
    <t>PRIYANJIL SHRIVAS</t>
  </si>
  <si>
    <t>REYANSH JAIN</t>
  </si>
  <si>
    <t>RISHIKA CHOUDHARY</t>
  </si>
  <si>
    <t>RISHIKA SINGH</t>
  </si>
  <si>
    <t>SANVIKA AHUJA</t>
  </si>
  <si>
    <t>SHAYAAN HUSSAIN</t>
  </si>
  <si>
    <t>SHREEPAD PATEL</t>
  </si>
  <si>
    <t>SPARSH VISHWAKARMA</t>
  </si>
  <si>
    <t>TAKSHVI PATEL</t>
  </si>
  <si>
    <t>VEDIKA PANCHPAL</t>
  </si>
  <si>
    <t>VISHESH YADAV</t>
  </si>
  <si>
    <t>YASHRAJ MAHOBIYA</t>
  </si>
  <si>
    <t>YUG SAHU</t>
  </si>
  <si>
    <t>YUVIKA SAHU</t>
  </si>
  <si>
    <t>AMISH KUMAR</t>
  </si>
  <si>
    <t>AMAYRA YADAV</t>
  </si>
  <si>
    <t>AVIKA GONTIYA</t>
  </si>
  <si>
    <t>AVYANSH YADAV</t>
  </si>
  <si>
    <t>AWANJA SONI</t>
  </si>
  <si>
    <t>AYAN KUSHRAM</t>
  </si>
  <si>
    <t>DAKSIKA MEENA</t>
  </si>
  <si>
    <t>DEVANSH SEN</t>
  </si>
  <si>
    <t>DIKSHANT NARWAL</t>
  </si>
  <si>
    <t>EVA MISHRA</t>
  </si>
  <si>
    <t>JASKEERAT KAUR BHAMRA</t>
  </si>
  <si>
    <t>KHUSIPRIYA HANSDAH</t>
  </si>
  <si>
    <t>MOHAMMAD ANAS KHAN</t>
  </si>
  <si>
    <t>NIHARIKA YADAV</t>
  </si>
  <si>
    <t>NIWA GONTIYA</t>
  </si>
  <si>
    <t>PREESHA KOL</t>
  </si>
  <si>
    <t>PRITIKA MEENA</t>
  </si>
  <si>
    <t>RITIKA TIWARI</t>
  </si>
  <si>
    <t>SAAVI NITIN RANGARI</t>
  </si>
  <si>
    <t>SAMRAT SINGH PARIHAR</t>
  </si>
  <si>
    <t>SHIVANYA KORI</t>
  </si>
  <si>
    <t>SHIVANK ANAND</t>
  </si>
  <si>
    <t>VIDHAAN SINGH</t>
  </si>
  <si>
    <t>YAMI MAHOBIYA</t>
  </si>
  <si>
    <t>AARUSH YADAV</t>
  </si>
  <si>
    <t>AASHUKMAN</t>
  </si>
  <si>
    <t>ABHIJEET SINGH</t>
  </si>
  <si>
    <t>ANAYA YADAV</t>
  </si>
  <si>
    <t>ARSHLEEN ROBIN MATHAROO</t>
  </si>
  <si>
    <t>ATHARV GARG</t>
  </si>
  <si>
    <t>AVNI VISHWAKARMA</t>
  </si>
  <si>
    <t>JAI SETHI</t>
  </si>
  <si>
    <t>HARLEEN KAUR</t>
  </si>
  <si>
    <t>GAURAVI</t>
  </si>
  <si>
    <t>JAYESH YADAV</t>
  </si>
  <si>
    <t>KIRANYASRI PREMKUMAR</t>
  </si>
  <si>
    <t>KIRAV SARATHE</t>
  </si>
  <si>
    <t>MOHAMMAD YASEEN</t>
  </si>
  <si>
    <t>MYRA DOVARI</t>
  </si>
  <si>
    <t>NITYA KHAMPARIA</t>
  </si>
  <si>
    <t>RUDRAKSHI BAGRI</t>
  </si>
  <si>
    <t>SAMARTH KUMAR</t>
  </si>
  <si>
    <t>SARTHAK MAURYA</t>
  </si>
  <si>
    <t>SATYAM KUMAR</t>
  </si>
  <si>
    <t>SHIVANYA RATHORE</t>
  </si>
  <si>
    <t>SHIVYA UPADHYAY</t>
  </si>
  <si>
    <t>SHREYA SINGH</t>
  </si>
  <si>
    <t>SHREYANSHI ROY</t>
  </si>
  <si>
    <t>SHRINAY KORE</t>
  </si>
  <si>
    <t>SHRINIKA SAHU</t>
  </si>
  <si>
    <t>SMRITI PATEL</t>
  </si>
  <si>
    <t>SWARNIKA CHOUDHARY</t>
  </si>
  <si>
    <t>AARADHYA GADEL</t>
  </si>
  <si>
    <t>AARADHYA GURUNG</t>
  </si>
  <si>
    <t>AARAV SAHU</t>
  </si>
  <si>
    <t>AASHI SUPRIYA</t>
  </si>
  <si>
    <t>AAVNI PATEL</t>
  </si>
  <si>
    <t>AAYANSH PATEL</t>
  </si>
  <si>
    <t>ANTARA TUDU</t>
  </si>
  <si>
    <t>ATHARVA KASHYAP</t>
  </si>
  <si>
    <t>AVYAN SHRIVAS</t>
  </si>
  <si>
    <t>AYANSH KUSHWAH</t>
  </si>
  <si>
    <t>BHASKAR KUMAR</t>
  </si>
  <si>
    <t>CHANCY SHRIVAS</t>
  </si>
  <si>
    <t>DHAIRYA KUMAR BAIN</t>
  </si>
  <si>
    <t>JANHAVI MEENA</t>
  </si>
  <si>
    <t>KHRISHANG GULAVANE</t>
  </si>
  <si>
    <t>MANSHI PANDEY</t>
  </si>
  <si>
    <t>NAMISH PARASHAR</t>
  </si>
  <si>
    <t>PRANJAL RANWA</t>
  </si>
  <si>
    <t>RIDHIMA SINGH</t>
  </si>
  <si>
    <t>SAANVI UIKEY</t>
  </si>
  <si>
    <t>SATVIK GROVER</t>
  </si>
  <si>
    <t>SHOURYA KASHYAP</t>
  </si>
  <si>
    <t>SPARSH TAMBULKAR</t>
  </si>
  <si>
    <t>TANISH CHOUDHARY</t>
  </si>
  <si>
    <t>TARANJOT KAUR BHARAJ</t>
  </si>
  <si>
    <t>VAIDIK RAJ</t>
  </si>
  <si>
    <t>VEDANT SHARMA</t>
  </si>
  <si>
    <t>VISHAANT PATHAK</t>
  </si>
  <si>
    <t>VIVAAN KUSHWAHA</t>
  </si>
  <si>
    <t>VIYOM DHOK</t>
  </si>
  <si>
    <t>VYOM YADAV</t>
  </si>
  <si>
    <t>YUVRAJ SINGH THAKUR</t>
  </si>
  <si>
    <t>AARADHYA KUMARI</t>
  </si>
  <si>
    <t>AARADHYA SINGU</t>
  </si>
  <si>
    <t>ADVIK TIWARI</t>
  </si>
  <si>
    <t>AMAY SHIVANSH</t>
  </si>
  <si>
    <t>ANAYSHA DHARKAR</t>
  </si>
  <si>
    <t>ANSH VISHWAKARMA</t>
  </si>
  <si>
    <t>ARPIT BHARTI</t>
  </si>
  <si>
    <t>ATHARV CHADAR</t>
  </si>
  <si>
    <t>DEVANSH YADAV</t>
  </si>
  <si>
    <t>DHRUBA MAJI</t>
  </si>
  <si>
    <t>KARTIK SINGH DAHIYA</t>
  </si>
  <si>
    <t>KAVYA YADAV</t>
  </si>
  <si>
    <t>KHUSHI SAHU</t>
  </si>
  <si>
    <t>NAMAMI GOUR</t>
  </si>
  <si>
    <t>NAMAMI GUPTA</t>
  </si>
  <si>
    <t>RIYANSH KUMAR</t>
  </si>
  <si>
    <t>SAMRIDDHI VISHWAKARMA</t>
  </si>
  <si>
    <t>SANVI YADAV</t>
  </si>
  <si>
    <t>SWADHA KUMARI</t>
  </si>
  <si>
    <t>TRISHIKA GUPTA</t>
  </si>
  <si>
    <t>VANSH PREET SINGH JAGGI</t>
  </si>
  <si>
    <t>VEDANSH YADAV</t>
  </si>
  <si>
    <t>VEDANT MARAVI</t>
  </si>
  <si>
    <t>AARAV CHOURASIA</t>
  </si>
  <si>
    <t>AARAV RAWAT</t>
  </si>
  <si>
    <t>ABHINANDAN MARUTI GUPTA</t>
  </si>
  <si>
    <t>ADIRA SANDIP RAMTEKE</t>
  </si>
  <si>
    <t>ANAYA VISHWAKARMA</t>
  </si>
  <si>
    <t>ANSH SINGH</t>
  </si>
  <si>
    <t>AYANK JAIN</t>
  </si>
  <si>
    <t>DEVANSHI BHOJANE</t>
  </si>
  <si>
    <t>HIMANSH GUPTA</t>
  </si>
  <si>
    <t>JUVRAJ SINGH</t>
  </si>
  <si>
    <t>OMANSH YADAV</t>
  </si>
  <si>
    <t>ONIR NAGPURE</t>
  </si>
  <si>
    <t>SHIVAY MEHRA</t>
  </si>
  <si>
    <t>SHLOK DUBEY</t>
  </si>
  <si>
    <t>SIDDHI SINGH</t>
  </si>
  <si>
    <t>SOM DUBEY</t>
  </si>
  <si>
    <t>ADVIK B</t>
  </si>
  <si>
    <t>ISHANT ANAND</t>
  </si>
  <si>
    <t>SHIERNSH</t>
  </si>
  <si>
    <t>RADISHESH YADAV</t>
  </si>
  <si>
    <t>AARIKA SHARMA</t>
  </si>
  <si>
    <t>AASTHA SINGH</t>
  </si>
  <si>
    <t>AAYAN DHURVEY</t>
  </si>
  <si>
    <t>ABEER CHOUDHARY</t>
  </si>
  <si>
    <t>ABEER HANSDAH</t>
  </si>
  <si>
    <t>ABHINAV KUMAR BALMIK</t>
  </si>
  <si>
    <t>ADVIT SAHU</t>
  </si>
  <si>
    <t>AKSHIT MEHRA</t>
  </si>
  <si>
    <t>ANAYSHA SHARMA</t>
  </si>
  <si>
    <t>ANVAY MEHRA</t>
  </si>
  <si>
    <t>ARNAV PILLAY</t>
  </si>
  <si>
    <t>ARNIKA MISHRA</t>
  </si>
  <si>
    <t>BHUVI SEN</t>
  </si>
  <si>
    <t>DIPASHRI SHARAD PAWAR</t>
  </si>
  <si>
    <t>JANHVI SINGH</t>
  </si>
  <si>
    <t>KAVYANSH LADKE</t>
  </si>
  <si>
    <t>NITIKA PUN</t>
  </si>
  <si>
    <t>RAJVEE GOGIA</t>
  </si>
  <si>
    <t>RIDDHI SHRIVAS</t>
  </si>
  <si>
    <t>RIDHIMA KUMARI</t>
  </si>
  <si>
    <t>SANVI SINGH</t>
  </si>
  <si>
    <t>SHIVANG SARVATE</t>
  </si>
  <si>
    <t>SHOUMIK PRAJAPATI</t>
  </si>
  <si>
    <t>VANDANA GUPTA</t>
  </si>
  <si>
    <t>PRATHMESH KUMAR</t>
  </si>
  <si>
    <t>AKSHITA SHARMA</t>
  </si>
  <si>
    <t>ANIRUDH TRIVEDI</t>
  </si>
  <si>
    <t>ANRONICA ROBIN</t>
  </si>
  <si>
    <t>ANVI DWIVEDI</t>
  </si>
  <si>
    <t>AREEM XALXO</t>
  </si>
  <si>
    <t>ARYAANSH YADAV</t>
  </si>
  <si>
    <t>DRISHYA VISHWAKARMA</t>
  </si>
  <si>
    <t>ERAMPREET KAUR JAGGI</t>
  </si>
  <si>
    <t>HARSHALI MISHRA</t>
  </si>
  <si>
    <t>HITANSH JHARIA</t>
  </si>
  <si>
    <t>HITANSH PARWANI</t>
  </si>
  <si>
    <t>IRA ABIGAIL BARA</t>
  </si>
  <si>
    <t>ISHANT PATEL</t>
  </si>
  <si>
    <t>MANYA SINGH</t>
  </si>
  <si>
    <t>PARTH DUBEY</t>
  </si>
  <si>
    <t>REYON XESS</t>
  </si>
  <si>
    <t>ROHIT MAHTO</t>
  </si>
  <si>
    <t>SARA ERICA TOPPO</t>
  </si>
  <si>
    <t>SHIVANK KUMAR JHA</t>
  </si>
  <si>
    <t>SHIVANSH RAGHUWANSHI</t>
  </si>
  <si>
    <t>SHREYAN ANAND MISHRA</t>
  </si>
  <si>
    <t>SHREYAS PRADHAN</t>
  </si>
  <si>
    <t>SHREYASH MISHRA</t>
  </si>
  <si>
    <t>VAIDHIKA PATEL</t>
  </si>
  <si>
    <t>AADHAVYA PATEL</t>
  </si>
  <si>
    <t>AARNA AGARWAL</t>
  </si>
  <si>
    <t>AAROHI JHARIYA</t>
  </si>
  <si>
    <t>AAYANSH MISHRA</t>
  </si>
  <si>
    <t>AAYUSH</t>
  </si>
  <si>
    <t>ARSH SONKAR</t>
  </si>
  <si>
    <t>AVYAN DHOKE</t>
  </si>
  <si>
    <t>DHANISHA YADAV</t>
  </si>
  <si>
    <t>DHANVEER SINGH</t>
  </si>
  <si>
    <t>DIKSHANT PRAJAPATI</t>
  </si>
  <si>
    <t>KANHA BASU</t>
  </si>
  <si>
    <t>MANVI GOUND</t>
  </si>
  <si>
    <t>MAYRA RAJAK</t>
  </si>
  <si>
    <t>MOHAMMAD SHARIM</t>
  </si>
  <si>
    <t>OJASWINI UAIKEY</t>
  </si>
  <si>
    <t>PRAJWAL SINGH PARIHAR</t>
  </si>
  <si>
    <t>RAJVEER BANERJEE</t>
  </si>
  <si>
    <t>RUHAN RAHUL KHOBRAGADE</t>
  </si>
  <si>
    <t>SAANVI MAHOBIA</t>
  </si>
  <si>
    <t>SHRABANI SAHU</t>
  </si>
  <si>
    <t>SHREYANSH SARVATE</t>
  </si>
  <si>
    <t>SRISHTI DUBEY</t>
  </si>
  <si>
    <t>YASH VARDHAN TIWARI</t>
  </si>
  <si>
    <t>AAYANSH VERMA</t>
  </si>
  <si>
    <t>ABHIMANYU SINGH KARKI</t>
  </si>
  <si>
    <t>AKRITI SALVE</t>
  </si>
  <si>
    <t>ANAAYA VISHWAKARMA</t>
  </si>
  <si>
    <t>ANANYA GUPTA</t>
  </si>
  <si>
    <t>ARAV TIWARI</t>
  </si>
  <si>
    <t>ARNA SONI</t>
  </si>
  <si>
    <t>ASHWIKA CHOUBEY</t>
  </si>
  <si>
    <t>ATHARV SHUKLA</t>
  </si>
  <si>
    <t>AVYAAN VISHWAKARMA</t>
  </si>
  <si>
    <t>DIVYANSH CHOUKSEY</t>
  </si>
  <si>
    <t>HIMANSH UIKEY</t>
  </si>
  <si>
    <t>JAYESH KHILAR</t>
  </si>
  <si>
    <t>KANIKA SONI</t>
  </si>
  <si>
    <t>KARNIKA GUPTA</t>
  </si>
  <si>
    <t>LAKSHITA MEENA</t>
  </si>
  <si>
    <t>MANYA BAIN</t>
  </si>
  <si>
    <t>PARV DUBEY</t>
  </si>
  <si>
    <t>RIDDHIMA TIWARI</t>
  </si>
  <si>
    <t>SAMRIDDHI DILLIWAR</t>
  </si>
  <si>
    <t>SHASHWAT SINGH PATEL</t>
  </si>
  <si>
    <t>SHREYA MAHATO</t>
  </si>
  <si>
    <t>SRISHTI BHARTI</t>
  </si>
  <si>
    <t>SRISHTI RAJ</t>
  </si>
  <si>
    <t>TANMAY MAHAJAN</t>
  </si>
  <si>
    <t>VAIBHAV BAIN</t>
  </si>
  <si>
    <t>AARADHYA JAISWAL</t>
  </si>
  <si>
    <t>AARAV ATAL</t>
  </si>
  <si>
    <t>ADRITI KACHHI</t>
  </si>
  <si>
    <t>ADVIK BURMAN</t>
  </si>
  <si>
    <t>AKSHAT BIRHA</t>
  </si>
  <si>
    <t>ARNIKA MALVIYA</t>
  </si>
  <si>
    <t>ATHARV MEHRA</t>
  </si>
  <si>
    <t>AYAN HALDER</t>
  </si>
  <si>
    <t>AYANSH DAS</t>
  </si>
  <si>
    <t>CHANDRA MAURYA KUSHWAHA</t>
  </si>
  <si>
    <t>DIBYAJYOTI PRADHAN</t>
  </si>
  <si>
    <t>DIVIJA DUBEY</t>
  </si>
  <si>
    <t>HARSH DUBEY</t>
  </si>
  <si>
    <t>MEETHI RAJPUT</t>
  </si>
  <si>
    <t>NAVYA SHARMA</t>
  </si>
  <si>
    <t>SAMAIRA MISHRA</t>
  </si>
  <si>
    <t>SHARANSH PATHAK</t>
  </si>
  <si>
    <t>SURYANSH YADAV</t>
  </si>
  <si>
    <t>TANISHKA DHURWEY</t>
  </si>
  <si>
    <t>VANSHIKA SINGH PARIHAR</t>
  </si>
  <si>
    <t>VARTIKA JHARIYA</t>
  </si>
  <si>
    <t>VEDANT PRAJAPATI</t>
  </si>
  <si>
    <t>YASHIKA SATISH PAWAR</t>
  </si>
  <si>
    <t>YOKSHIT UDDEY</t>
  </si>
  <si>
    <t>AASHI KUSHWAHA</t>
  </si>
  <si>
    <t>ABHIRAJ YADAV</t>
  </si>
  <si>
    <t>AKSHITA SAHU</t>
  </si>
  <si>
    <t>ANISHKA URAO</t>
  </si>
  <si>
    <t>ANSHIKA SHARMA</t>
  </si>
  <si>
    <t>ARUSHEE PATEL</t>
  </si>
  <si>
    <t>ARYAN SAHOO</t>
  </si>
  <si>
    <t>ATHARV KANOJIYA</t>
  </si>
  <si>
    <t>AVIKA MISHRA</t>
  </si>
  <si>
    <t>AYANSH SINGH</t>
  </si>
  <si>
    <t>DHEERAJ VISHWAKARMA</t>
  </si>
  <si>
    <t>KAVYA CHOUDHARY</t>
  </si>
  <si>
    <t>PARIDHI VISHWAKARMA</t>
  </si>
  <si>
    <t>PRATYAKSHA SINGH</t>
  </si>
  <si>
    <t>PURAB BAIN</t>
  </si>
  <si>
    <t>RITVIK SINGH</t>
  </si>
  <si>
    <t>SAMARTH SONKAR</t>
  </si>
  <si>
    <t>SANSKAR MISHRA</t>
  </si>
  <si>
    <t>SARANSH VISHWAKARMA</t>
  </si>
  <si>
    <t>SHANAYA YADAV</t>
  </si>
  <si>
    <t>SHIVANK SINGH RAWAT</t>
  </si>
  <si>
    <t>SHIVANSH VERMA</t>
  </si>
  <si>
    <t>SHIVAY GIRI GOSWAMI</t>
  </si>
  <si>
    <t>SHREEDATT DUBEY</t>
  </si>
  <si>
    <t>SHREYA RAJ</t>
  </si>
  <si>
    <t>SHRUTI MISHRA</t>
  </si>
  <si>
    <t>VAIBHAV KUMAR</t>
  </si>
  <si>
    <t>YUVAN YADAV</t>
  </si>
  <si>
    <t>ZAINAB PARVEEN</t>
  </si>
  <si>
    <t>AARSAV BITORIYA</t>
  </si>
  <si>
    <t>ANAY VERMA</t>
  </si>
  <si>
    <t>ANUBHAV PRAJAPATI</t>
  </si>
  <si>
    <t>ARNIMA LAKHERA</t>
  </si>
  <si>
    <t>ASHUTOSH YADAV</t>
  </si>
  <si>
    <t>AYAN ORAON</t>
  </si>
  <si>
    <t>AYUSH DWIVEDI</t>
  </si>
  <si>
    <t>DEEVANSH BAGRI</t>
  </si>
  <si>
    <t>MANKIRAT SINGH AHLUWALIA</t>
  </si>
  <si>
    <t>MOHAMMED EHTESHAM</t>
  </si>
  <si>
    <t>NILESH PANDIT</t>
  </si>
  <si>
    <t>NURANSHI SAHU</t>
  </si>
  <si>
    <t>OVI PRATEEK ARMARKAR</t>
  </si>
  <si>
    <t>REYANSH SINGH</t>
  </si>
  <si>
    <t>RISHABH SHARMA</t>
  </si>
  <si>
    <t>SHANAYA MOURYA</t>
  </si>
  <si>
    <t>SHEJAL SURYVANSHI</t>
  </si>
  <si>
    <t>SHIVANSH SAHU</t>
  </si>
  <si>
    <t>SOM YADAV</t>
  </si>
  <si>
    <t>SRISHTI THAKUR</t>
  </si>
  <si>
    <t>SUDHANSHU KUSHWAHA</t>
  </si>
  <si>
    <t>VEDANSH SINGH GOND</t>
  </si>
  <si>
    <t>AARVI PATEL</t>
  </si>
  <si>
    <t>ABHIRAJ PATEL</t>
  </si>
  <si>
    <t>ADIJAY SINGH</t>
  </si>
  <si>
    <t>AISHWARY TIWARI</t>
  </si>
  <si>
    <t>ANANT DEV SINGH</t>
  </si>
  <si>
    <t>DHRUV DASWAL</t>
  </si>
  <si>
    <t>KABEER HATE</t>
  </si>
  <si>
    <t>KARTIK RATHOR</t>
  </si>
  <si>
    <t>KAVISH YADAV</t>
  </si>
  <si>
    <t>NAVYA KUMARI</t>
  </si>
  <si>
    <t>NISHIKA PANDYA</t>
  </si>
  <si>
    <t>RAGHAV SAHU</t>
  </si>
  <si>
    <t>RISHA PATEL</t>
  </si>
  <si>
    <t>RIYA RAY</t>
  </si>
  <si>
    <t>RIYANSH GOND</t>
  </si>
  <si>
    <t>SAANVI RAJAK</t>
  </si>
  <si>
    <t>SHIV SAINI</t>
  </si>
  <si>
    <t>TANUSHREE SINGH</t>
  </si>
  <si>
    <t>TUNISHA MONDAL</t>
  </si>
  <si>
    <t>VAIBHAV SINGH LODHI</t>
  </si>
  <si>
    <t>VIRAJ MEENA</t>
  </si>
  <si>
    <t>YASHRAJ KUMAR</t>
  </si>
  <si>
    <t>AARADHYA MAHESH KARANDE</t>
  </si>
  <si>
    <t>AARAV DWIVEDI</t>
  </si>
  <si>
    <t>ANIKET KUMAR SHAH</t>
  </si>
  <si>
    <t>ANUSHA PATEL</t>
  </si>
  <si>
    <t>ATHARV RAJ</t>
  </si>
  <si>
    <t>ATHARV SONI</t>
  </si>
  <si>
    <t>AVISHKA BHATT</t>
  </si>
  <si>
    <t>AVYANSH TIWARI</t>
  </si>
  <si>
    <t>AYANSH KUMBHARE</t>
  </si>
  <si>
    <t>ISHIKA YADAV</t>
  </si>
  <si>
    <t>JAHNAVI SINHA</t>
  </si>
  <si>
    <t>JANHAVI SINGH</t>
  </si>
  <si>
    <t>JAYAS JAISWAL</t>
  </si>
  <si>
    <t>JAYDEEP KUMAR TIWARI</t>
  </si>
  <si>
    <t>KAVISH PAROCHE</t>
  </si>
  <si>
    <t>PAHAL SHRIVASTAVA</t>
  </si>
  <si>
    <t>PANKTI SHARMA</t>
  </si>
  <si>
    <t>SAFWAN KHAN YASHIN KHAN</t>
  </si>
  <si>
    <t>SAMARTH KUMAR DUBEY</t>
  </si>
  <si>
    <t>SHREYANSH SINGH</t>
  </si>
  <si>
    <t>AARON CARWYN DAVID</t>
  </si>
  <si>
    <t>AASTHA YADAV</t>
  </si>
  <si>
    <t>ABHYUDAY PANDEY</t>
  </si>
  <si>
    <t>AISHWARYA TIWARI</t>
  </si>
  <si>
    <t>ANANYA SINGH CHOUHAN</t>
  </si>
  <si>
    <t>ANYSIA IZEL BARA</t>
  </si>
  <si>
    <t>ARADHYA SINGH CHOUHAN</t>
  </si>
  <si>
    <t>ARAV SHRIVASTAVA</t>
  </si>
  <si>
    <t>ATHARV MINOCHA</t>
  </si>
  <si>
    <t>AUSTIN RAJ</t>
  </si>
  <si>
    <t>BHAVYA RAWAT</t>
  </si>
  <si>
    <t>DRISHTI SINGH</t>
  </si>
  <si>
    <t>ELIZA KUJUR</t>
  </si>
  <si>
    <t>EMANUEL EKKA</t>
  </si>
  <si>
    <t>JESSICA RAJ</t>
  </si>
  <si>
    <t>JIGYANSH BHUARYA</t>
  </si>
  <si>
    <t>JOHNATHAN RAIBOLE</t>
  </si>
  <si>
    <t>KESHAV MISHRA</t>
  </si>
  <si>
    <t>NIYAANK JAIN</t>
  </si>
  <si>
    <t>PRATHAM DHOTE</t>
  </si>
  <si>
    <t>RUSSELL ANTHONY</t>
  </si>
  <si>
    <t>SANVI SAROJ</t>
  </si>
  <si>
    <t>SARA ALIYANA MINJ</t>
  </si>
  <si>
    <t>SHANVI KUSHWAHA</t>
  </si>
  <si>
    <t>SUCHIT JAISWAL</t>
  </si>
  <si>
    <t>UTKARSH RAI</t>
  </si>
  <si>
    <t>VAISHNAVI SONI</t>
  </si>
  <si>
    <t>VEDANT KATARIA</t>
  </si>
  <si>
    <t>VIHAAN SHARMA</t>
  </si>
  <si>
    <t>YASHI SINGH</t>
  </si>
  <si>
    <t>YASHWARDHAN AWASTHY</t>
  </si>
  <si>
    <t>AADISHREE DUBEY</t>
  </si>
  <si>
    <t>AADRIKA UPADHYAY</t>
  </si>
  <si>
    <t>AARADHYA SARATHE</t>
  </si>
  <si>
    <t>ABHASH DUBEY</t>
  </si>
  <si>
    <t>ADVAY RAI</t>
  </si>
  <si>
    <t>AMAR SINGH PATEL</t>
  </si>
  <si>
    <t>ANSHIKA LODHI</t>
  </si>
  <si>
    <t>ARAV SINGH THAKUR</t>
  </si>
  <si>
    <t>ARNAV SAHU</t>
  </si>
  <si>
    <t>ARYAN MEENA</t>
  </si>
  <si>
    <t>AVNISH PATEL</t>
  </si>
  <si>
    <t>CHETAN MEENA</t>
  </si>
  <si>
    <t>DIVYANSH PASI</t>
  </si>
  <si>
    <t>GOURAV THAKUR</t>
  </si>
  <si>
    <t>GRANTH YADAV</t>
  </si>
  <si>
    <t>HARSHIT VISHWAKARMA</t>
  </si>
  <si>
    <t>ISHANT MALIK</t>
  </si>
  <si>
    <t>KARTIK SUMAN</t>
  </si>
  <si>
    <t>NIHAL ANAND</t>
  </si>
  <si>
    <t>OJAS SRIVASTAVA</t>
  </si>
  <si>
    <t>RISHAAN SINGH</t>
  </si>
  <si>
    <t>SANVI THAKUR</t>
  </si>
  <si>
    <t>SARTHAK RAJ</t>
  </si>
  <si>
    <t>SHANAYA RAJAK</t>
  </si>
  <si>
    <t>SHANVI TIWARI</t>
  </si>
  <si>
    <t>SHREE RATHOUR</t>
  </si>
  <si>
    <t>SRINIDHI DAS</t>
  </si>
  <si>
    <t>SUDHAKAR YADAV</t>
  </si>
  <si>
    <t>TANASVI CHOUKIKER</t>
  </si>
  <si>
    <t>VIHAANT KUMAR YADAV</t>
  </si>
  <si>
    <t>VINAYAK AGRAWAL</t>
  </si>
  <si>
    <t>VIRONIKA MEENA</t>
  </si>
  <si>
    <t>VIVAAN GOMLADU</t>
  </si>
  <si>
    <t>AADVIK JAIN</t>
  </si>
  <si>
    <t>AADYA SINGH</t>
  </si>
  <si>
    <t>ADVIK SHARMA</t>
  </si>
  <si>
    <t>ASHEE BAJPAYEE</t>
  </si>
  <si>
    <t>ASHITA GOSWAMI</t>
  </si>
  <si>
    <t>ATHARV RAGHUWANSHI</t>
  </si>
  <si>
    <t>ATISH JHARIYA</t>
  </si>
  <si>
    <t>GOURAV SINGH SENGAR</t>
  </si>
  <si>
    <t>NAVYUG KUMAR</t>
  </si>
  <si>
    <t>NIDHI SUNA</t>
  </si>
  <si>
    <t>NIMIT PATWA</t>
  </si>
  <si>
    <t>POORNA SONI</t>
  </si>
  <si>
    <t>SHAURYA GANESH THAKUR</t>
  </si>
  <si>
    <t>SHIVAM UIKEY</t>
  </si>
  <si>
    <t>SHIVANI KUREEL</t>
  </si>
  <si>
    <t>SHIVAY SINGH THAPA</t>
  </si>
  <si>
    <t>SHOURY MALIK</t>
  </si>
  <si>
    <t>SHREYA BAGWAN</t>
  </si>
  <si>
    <t>SIDDHARTH SINGH</t>
  </si>
  <si>
    <t>UJJWAL MISHRA</t>
  </si>
  <si>
    <t>VATSALYA BAJPAI</t>
  </si>
  <si>
    <t>VINAYAK BHURIYA</t>
  </si>
  <si>
    <t>YASHI PATEL</t>
  </si>
  <si>
    <t>ADAVAY SARKAR</t>
  </si>
  <si>
    <t>AHAN JAIN</t>
  </si>
  <si>
    <t>AKSHAT GIRI GOSWAMI</t>
  </si>
  <si>
    <t>ANEEKSHA YADAV</t>
  </si>
  <si>
    <t>ASTHA SONKAR</t>
  </si>
  <si>
    <t>AVNI CHOURASIYA</t>
  </si>
  <si>
    <t>BHAUTIK SINGH</t>
  </si>
  <si>
    <t>GOURI MISHRA</t>
  </si>
  <si>
    <t>NAMAN UDAYBHAN BAVASKAR</t>
  </si>
  <si>
    <t>PARTH SINGH ARMO</t>
  </si>
  <si>
    <t>REVANSH PURI GOSWAMI</t>
  </si>
  <si>
    <t>RIDIPTA SRIVASTAVA</t>
  </si>
  <si>
    <t>RIMI LAGURI</t>
  </si>
  <si>
    <t>RONIT SHRIPAL</t>
  </si>
  <si>
    <t>SAKSHAM SINHA</t>
  </si>
  <si>
    <t>SHREYA THAPA</t>
  </si>
  <si>
    <t>SHREYAN SINGH</t>
  </si>
  <si>
    <t>TRISHA DHARNE</t>
  </si>
  <si>
    <t>YUVISHKA ANIL</t>
  </si>
  <si>
    <t>SHIVA KUMAR TIKARIYA</t>
  </si>
  <si>
    <t>AABHYA KUWAR</t>
  </si>
  <si>
    <t>AADHYA SINGH</t>
  </si>
  <si>
    <t>AADITYA SINGH</t>
  </si>
  <si>
    <t>ANUSHREE VARMA</t>
  </si>
  <si>
    <t>ANUSHRI GOSWAMI</t>
  </si>
  <si>
    <t>ARNAV KUSHWAHA</t>
  </si>
  <si>
    <t>ATHARVARAJ SINGH PARASTE</t>
  </si>
  <si>
    <t>DEV YADAV</t>
  </si>
  <si>
    <t>KASHVI DONGRE</t>
  </si>
  <si>
    <t>PRAKALP VISHWAKARMA</t>
  </si>
  <si>
    <t>RAJ PATEL</t>
  </si>
  <si>
    <t>RUDRA DUBEY</t>
  </si>
  <si>
    <t>SHIVIKA VISHWAKARMA</t>
  </si>
  <si>
    <t>SHREYANSH SAHU</t>
  </si>
  <si>
    <t>SHREYASH KUMAR</t>
  </si>
  <si>
    <t>SUBHANSH SINGH</t>
  </si>
  <si>
    <t>VAISHNAVI SINGH</t>
  </si>
  <si>
    <t>VEDANK VERMA</t>
  </si>
  <si>
    <t>VIDYESH JHARIYA</t>
  </si>
  <si>
    <t>ABHINAV KUMAR</t>
  </si>
  <si>
    <t>ABHINAY YADAV</t>
  </si>
  <si>
    <t>ABIR MEHRA</t>
  </si>
  <si>
    <t>AMRENDRA PANDEY</t>
  </si>
  <si>
    <t>ANANT PRAKASH SINGH</t>
  </si>
  <si>
    <t>ANIK VERMA</t>
  </si>
  <si>
    <t>ANIKA MAHOBIA</t>
  </si>
  <si>
    <t>ANIMESH TRIPATHI</t>
  </si>
  <si>
    <t>ARUSH GOTIYA</t>
  </si>
  <si>
    <t>ARYAN SHRIRAM ROTHE</t>
  </si>
  <si>
    <t>ATHARV SINGH RATHORE</t>
  </si>
  <si>
    <t>AYANSH SHRIVASTAV</t>
  </si>
  <si>
    <t>DARSHPREET SINGH KOHLI</t>
  </si>
  <si>
    <t>DEVANSH JHARIYA</t>
  </si>
  <si>
    <t>DHRUV SINGH PATEL</t>
  </si>
  <si>
    <t>HARDIK SINGH THAKUR</t>
  </si>
  <si>
    <t>JAYASH MALI</t>
  </si>
  <si>
    <t>KANIKA JAIN</t>
  </si>
  <si>
    <t>KAVYA BAIN</t>
  </si>
  <si>
    <t>MAANVI SHRIVASTAVA</t>
  </si>
  <si>
    <t>OJAS SONDHIYA</t>
  </si>
  <si>
    <t>OM KUMAR SHAW</t>
  </si>
  <si>
    <t>PRAVLEEN KAUR</t>
  </si>
  <si>
    <t>RADANYA SARATHE</t>
  </si>
  <si>
    <t>RITISHA GAUTAM</t>
  </si>
  <si>
    <t>RIYANSH RAVINDRA UGALE</t>
  </si>
  <si>
    <t>SAKSHAM PARIYANI</t>
  </si>
  <si>
    <t>SAMRAT DWIVEDI</t>
  </si>
  <si>
    <t>SHIPHA CHOUDHARY</t>
  </si>
  <si>
    <t>SHIVANSH KUMAR</t>
  </si>
  <si>
    <t>SIMRAN PARIYANI</t>
  </si>
  <si>
    <t>SOMYA JATAV</t>
  </si>
  <si>
    <t>SUDIKSHA RAY</t>
  </si>
  <si>
    <t>VAIDIK SINGH</t>
  </si>
  <si>
    <t>SHUSHANT SHUKLA</t>
  </si>
  <si>
    <t>AARAV SHUKLA</t>
  </si>
  <si>
    <t>AARUSH JAIN</t>
  </si>
  <si>
    <t>ABHIRAJ SHRIVASTAVA</t>
  </si>
  <si>
    <t>ADITYA THAKUR</t>
  </si>
  <si>
    <t>ADITYA TIWARI</t>
  </si>
  <si>
    <t>ADVIT PATHAK</t>
  </si>
  <si>
    <t>ANAHITA SHUKLA</t>
  </si>
  <si>
    <t>ANEK YADAV</t>
  </si>
  <si>
    <t>ANUSHREE VISHWAKARMA</t>
  </si>
  <si>
    <t>ARINI SHARMA</t>
  </si>
  <si>
    <t>ARJUN RAJ</t>
  </si>
  <si>
    <t>ARUSHI KUMARI</t>
  </si>
  <si>
    <t>AYANSH KURKURE</t>
  </si>
  <si>
    <t>BHAVIKA PILLAY</t>
  </si>
  <si>
    <t>CHITRANSH HURMADE</t>
  </si>
  <si>
    <t>DIVYANSH CHAKRAWARTI</t>
  </si>
  <si>
    <t>HAASNI AASHRA</t>
  </si>
  <si>
    <t>HITANSH JAIN</t>
  </si>
  <si>
    <t>KASHVI UPADHYAY</t>
  </si>
  <si>
    <t>NIDHISH KUMAR</t>
  </si>
  <si>
    <t>PRERANA KUMARI</t>
  </si>
  <si>
    <t>PRINCE RAJPUT</t>
  </si>
  <si>
    <t>RIYANSH PANDEY</t>
  </si>
  <si>
    <t>RUHAAN CHADDA</t>
  </si>
  <si>
    <t>SADHVI YADAV</t>
  </si>
  <si>
    <t>SAJAL SATNAMI</t>
  </si>
  <si>
    <t>SHIVANSH RAJ NAYAK</t>
  </si>
  <si>
    <t>SMRITI PRIYA</t>
  </si>
  <si>
    <t>VEER PATVA</t>
  </si>
  <si>
    <t>YASHIKA NAMDEV</t>
  </si>
  <si>
    <t>AARYA GIRI GOSWAMI</t>
  </si>
  <si>
    <t>AMAYRA SINGH</t>
  </si>
  <si>
    <t>GARVI SATNAMI</t>
  </si>
  <si>
    <t>JAYESH RAJAK</t>
  </si>
  <si>
    <t>KALPANA MARKAM</t>
  </si>
  <si>
    <t>MIRAHA NITIN MANE</t>
  </si>
  <si>
    <t>MISHKA NITIN MANE</t>
  </si>
  <si>
    <t>PRATYUSH SINGH</t>
  </si>
  <si>
    <t>RANVEER SINGH</t>
  </si>
  <si>
    <t>RAYNA SINGH</t>
  </si>
  <si>
    <t>SHREYA TIWARI</t>
  </si>
  <si>
    <t>AARAVI SAHU</t>
  </si>
  <si>
    <t>AARUSH VERMA</t>
  </si>
  <si>
    <t>ADITI NAMDEO</t>
  </si>
  <si>
    <t>ADRIKA PATHAK</t>
  </si>
  <si>
    <t>ADYUT KHARE</t>
  </si>
  <si>
    <t>ANIKA CHOUKSEY</t>
  </si>
  <si>
    <t>ANISHK RAJAK</t>
  </si>
  <si>
    <t>ANJAL KUMARI RAY</t>
  </si>
  <si>
    <t>ARYADITYA TIWARI</t>
  </si>
  <si>
    <t>ARYAN PAL</t>
  </si>
  <si>
    <t>ARYANSHI SINGH</t>
  </si>
  <si>
    <t>ATISHAY JAIN</t>
  </si>
  <si>
    <t>FIONA MINJ</t>
  </si>
  <si>
    <t>JACK D'CRUZ</t>
  </si>
  <si>
    <t>JERIN BROWN</t>
  </si>
  <si>
    <t>JISHAN MINJ</t>
  </si>
  <si>
    <t>JUYAN KUJUR</t>
  </si>
  <si>
    <t>KRYSTLE ANTHONY</t>
  </si>
  <si>
    <t>NIVI GENESIS EKKA</t>
  </si>
  <si>
    <t>PRANJAL PARASTE</t>
  </si>
  <si>
    <t>PRATISHTHA KUSHWAHA</t>
  </si>
  <si>
    <t>PRISHA SINGH</t>
  </si>
  <si>
    <t>PRISHA TIRKEY</t>
  </si>
  <si>
    <t>SRISHTI GUPTA</t>
  </si>
  <si>
    <t>UTKARSH CHOUDHARY</t>
  </si>
  <si>
    <t>VAISHNAVI CHANCHLANI</t>
  </si>
  <si>
    <t>VAISHNIKA JAYASWAL</t>
  </si>
  <si>
    <t>VARDAAN GAUTAM</t>
  </si>
  <si>
    <t>ANVI GUPTA</t>
  </si>
  <si>
    <t>ARYAN MAURYA</t>
  </si>
  <si>
    <t>AVRIL LAKRA</t>
  </si>
  <si>
    <t>MANAN RAO</t>
  </si>
  <si>
    <t>MELVIN CLEMENT XALXO</t>
  </si>
  <si>
    <t>SHAUNAK WARKOLE</t>
  </si>
  <si>
    <t>AYAN KUMAR</t>
  </si>
  <si>
    <t>AYANSH CHAURASIYA</t>
  </si>
  <si>
    <t>DIVYANSH KUMAR</t>
  </si>
  <si>
    <t>MOHD ARHAM</t>
  </si>
  <si>
    <t>VARUN GURUNG</t>
  </si>
  <si>
    <t>VIRAT SINGH</t>
  </si>
  <si>
    <t>AADYA ARYA</t>
  </si>
  <si>
    <t>AAIRA SAHU</t>
  </si>
  <si>
    <t>AVYAAN PATEL</t>
  </si>
  <si>
    <t>PAARTH DUBEY</t>
  </si>
  <si>
    <t>ANAISHA SHINDE</t>
  </si>
  <si>
    <t>AANCHAL AWASTHI</t>
  </si>
  <si>
    <t>VARNIT KUSHWAHA</t>
  </si>
  <si>
    <t>MANRAJ SINGH KOHLI</t>
  </si>
  <si>
    <t>MONIKA</t>
  </si>
  <si>
    <t>SAANVI SANJAY RAIPURE</t>
  </si>
  <si>
    <t>SOUMYA GONTIA</t>
  </si>
  <si>
    <t>VIRAJ SINGH</t>
  </si>
  <si>
    <t>NIKUNJ SHARMA</t>
  </si>
  <si>
    <t>AARAV MEENA</t>
  </si>
  <si>
    <t>AHANA VAIDYA</t>
  </si>
  <si>
    <t>PRIYANSH RORIYA</t>
  </si>
  <si>
    <t>RISHAV RAJ</t>
  </si>
  <si>
    <t>RIYAN LILY MURMU</t>
  </si>
  <si>
    <t>RIYANS JAIN</t>
  </si>
  <si>
    <t>SASMIT VISHWAKARMA</t>
  </si>
  <si>
    <t>SHANVI SINGH THAKUR</t>
  </si>
  <si>
    <t>SHIVANSHI SHUKLA</t>
  </si>
  <si>
    <t>SHRIDHAR SONI</t>
  </si>
  <si>
    <t>SIYA YADAV</t>
  </si>
  <si>
    <t>SURYANSH KUSHWAHA</t>
  </si>
  <si>
    <t>VAIDEHI SINGH</t>
  </si>
  <si>
    <t>RIYANSHI PARASTE</t>
  </si>
  <si>
    <t>SHREYANVI TANDON</t>
  </si>
  <si>
    <t>ANIRUDH SEN</t>
  </si>
  <si>
    <t>SAMARTH SEN</t>
  </si>
  <si>
    <t>VAIDIK SHARMA</t>
  </si>
  <si>
    <t>ANSHIKA MISHRA</t>
  </si>
  <si>
    <t>DAKSHITA BUNDELA</t>
  </si>
  <si>
    <t>DILJOT KAUR</t>
  </si>
  <si>
    <t>SRIYANSH KUMAR</t>
  </si>
  <si>
    <t>PRIYANSH SINGH PATEL</t>
  </si>
  <si>
    <t>BHAVANA TAGORE</t>
  </si>
  <si>
    <t>DEVANSH BUNGLA</t>
  </si>
  <si>
    <t>ISHANVI BHAGAT</t>
  </si>
  <si>
    <t>JASLEEN KAUR JASSAL</t>
  </si>
  <si>
    <t>MANYA SAHU</t>
  </si>
  <si>
    <t>PIHU YADAV</t>
  </si>
  <si>
    <t>PRANIT MANI TRIPATHI</t>
  </si>
  <si>
    <t>SHOURYA PRAJAPATI</t>
  </si>
  <si>
    <t>JAI KUMAR</t>
  </si>
  <si>
    <t>JANHVI PATEL</t>
  </si>
  <si>
    <t>SHAMBHAVI BALAIYA</t>
  </si>
  <si>
    <t>SATYAM KUMAR KORI</t>
  </si>
  <si>
    <t>VEDANSH RAJAK</t>
  </si>
  <si>
    <t>RABHYA MANOCHA</t>
  </si>
  <si>
    <t>AKSHAT THAKUR</t>
  </si>
  <si>
    <t>ATHARV ASHISH MORE</t>
  </si>
  <si>
    <t>SUTANU DAS</t>
  </si>
  <si>
    <t>TANISHKA MEHRA</t>
  </si>
  <si>
    <t>YATHARTH VINODIA</t>
  </si>
  <si>
    <t>ANAYA THAPA</t>
  </si>
  <si>
    <t>ARNAV SINGH PAL</t>
  </si>
  <si>
    <t>ARSALAN AHMAD ANSARI</t>
  </si>
  <si>
    <t>NAMAN NAYAK</t>
  </si>
  <si>
    <t>ANGAD YADAV</t>
  </si>
  <si>
    <t>ARJIT PANDEY</t>
  </si>
  <si>
    <t>ARMAN RATHORE</t>
  </si>
  <si>
    <t>BINOY KUMAR BARMAN</t>
  </si>
  <si>
    <t>GARV LALWANI</t>
  </si>
  <si>
    <t>HARSH GUPTA</t>
  </si>
  <si>
    <t>PRIYANSH SHARMA</t>
  </si>
  <si>
    <t>REYANSH KUSHWAHA</t>
  </si>
  <si>
    <t>RITISHA RAJ</t>
  </si>
  <si>
    <t>SHRADDHA SINGH THAKUR</t>
  </si>
  <si>
    <t>AKSHAT SHIL</t>
  </si>
  <si>
    <t>ANAYA LAKHERA</t>
  </si>
  <si>
    <t>ARINJAY MISHRA</t>
  </si>
  <si>
    <t>ARMITA BARUA</t>
  </si>
  <si>
    <t>AYANSH KUMAR</t>
  </si>
  <si>
    <t>DHARIKA SONI</t>
  </si>
  <si>
    <t>ISHITV CHATUR</t>
  </si>
  <si>
    <t>JUSTIN EKKA</t>
  </si>
  <si>
    <t>RUDRA PRATAP</t>
  </si>
  <si>
    <t>SHIVANGI</t>
  </si>
  <si>
    <t>SURBHI PRASAR</t>
  </si>
  <si>
    <t>YUVRAJ JAISWAL</t>
  </si>
  <si>
    <t>TANISHKA SHARMA</t>
  </si>
  <si>
    <t>AKANKSHA BAUDDH</t>
  </si>
  <si>
    <t>ANVI RAJ</t>
  </si>
  <si>
    <t>ARYANSH THAKUR</t>
  </si>
  <si>
    <t>ATHARV MISHRA</t>
  </si>
  <si>
    <t>AYANSH MONGA</t>
  </si>
  <si>
    <t>DARSHVI</t>
  </si>
  <si>
    <t>DISHA SOLANKI</t>
  </si>
  <si>
    <t>DRIHAAN</t>
  </si>
  <si>
    <t>MANAS NAMDEO</t>
  </si>
  <si>
    <t>RIYANSHI MARAVI</t>
  </si>
  <si>
    <t>SHOURYA JAIN</t>
  </si>
  <si>
    <t>SHOURYA KUSHWAHA</t>
  </si>
  <si>
    <t>SHOURYASHI NAGLE</t>
  </si>
  <si>
    <t>SHREYANK BIND</t>
  </si>
  <si>
    <t>SHUBHYANSH KUSHWAHA</t>
  </si>
  <si>
    <t>TEJVEER SINGH KOHLI</t>
  </si>
  <si>
    <t>VEDI BARBUWARE</t>
  </si>
  <si>
    <t>AASHVI</t>
  </si>
  <si>
    <t>AKSHITA SHRIVAS</t>
  </si>
  <si>
    <t>CHRISTUS HAMLIN</t>
  </si>
  <si>
    <t>RIBIKA PATIL</t>
  </si>
  <si>
    <t>RIYANSH KUJUR</t>
  </si>
  <si>
    <t>RUDRA CHOUDHARY</t>
  </si>
  <si>
    <t>SAMARTH PATEL</t>
  </si>
  <si>
    <t>SANVI CHOURASIYA</t>
  </si>
  <si>
    <t>SARTHAK MARCO</t>
  </si>
  <si>
    <t>VAANYA KUSHWAHA</t>
  </si>
  <si>
    <t>AKSHAT KESHARWANI</t>
  </si>
  <si>
    <t>AAYANSH NILESH</t>
  </si>
  <si>
    <t>ABHAYVEER SINGH</t>
  </si>
  <si>
    <t>ANIKA DAHIYA</t>
  </si>
  <si>
    <t>ARADHANA PAKHARE</t>
  </si>
  <si>
    <t>ARAVJOT SINGH</t>
  </si>
  <si>
    <t>AVNI BHASIN</t>
  </si>
  <si>
    <t>DIVYANK JHARIYA</t>
  </si>
  <si>
    <t>DIVYANSH PATEL</t>
  </si>
  <si>
    <t>GARGI</t>
  </si>
  <si>
    <t>HARDIK LIKHITKAR</t>
  </si>
  <si>
    <t>ISHNAVI SAVITA</t>
  </si>
  <si>
    <t>KARTIK SINGH</t>
  </si>
  <si>
    <t>KHYATI MISHRA</t>
  </si>
  <si>
    <t>NAMASVI NAMDEO</t>
  </si>
  <si>
    <t>NAVDEEP JHARIYA</t>
  </si>
  <si>
    <t>NITYA SONI</t>
  </si>
  <si>
    <t>PRIYANSHI MARNDI</t>
  </si>
  <si>
    <t>RANDHEER SINGH</t>
  </si>
  <si>
    <t>RIDHAM AGRAWAL</t>
  </si>
  <si>
    <t>SHASHWAT SHRESHTH</t>
  </si>
  <si>
    <t>TAKSHAY SAHU</t>
  </si>
  <si>
    <t>TANUSHA PATEL</t>
  </si>
  <si>
    <t>VIJAYESH PATHAK</t>
  </si>
  <si>
    <t>VINAY MADANKAR</t>
  </si>
  <si>
    <t>AASHVI SINGH</t>
  </si>
  <si>
    <t>AGASTYA SAH</t>
  </si>
  <si>
    <t>AGASTYA VISHIDAKARYA</t>
  </si>
  <si>
    <t>ANANYA GIRI</t>
  </si>
  <si>
    <t>ANAYA DHARNE</t>
  </si>
  <si>
    <t>ANAYA LANGE</t>
  </si>
  <si>
    <t>ANKUR PATEL</t>
  </si>
  <si>
    <t>AVNISH KUMAR</t>
  </si>
  <si>
    <t>AVYAAN GUGLIANIE</t>
  </si>
  <si>
    <t>BALRAM YADAV</t>
  </si>
  <si>
    <t>DENZELL EMERIUS</t>
  </si>
  <si>
    <t>DHANVIKA PATEL</t>
  </si>
  <si>
    <t>DHVANI DAHARIA</t>
  </si>
  <si>
    <t>IRHA NAAZ</t>
  </si>
  <si>
    <t>ISHIKA THAKUR</t>
  </si>
  <si>
    <t>JENNIFER JOHN</t>
  </si>
  <si>
    <t>KHUSAAL SINGH ARMO</t>
  </si>
  <si>
    <t>KIYANA PATEL</t>
  </si>
  <si>
    <t>MISHKA SINGH</t>
  </si>
  <si>
    <t>NAMASVI SHARMA</t>
  </si>
  <si>
    <t>NISHIKA CHAURASIYA</t>
  </si>
  <si>
    <t>PRAVEER GAUNTIA</t>
  </si>
  <si>
    <t>PRISHA MAHATO</t>
  </si>
  <si>
    <t>SANVI DIGHARRA</t>
  </si>
  <si>
    <t>SEHAJDEEP SINGH</t>
  </si>
  <si>
    <t>SHAURYA YADAV</t>
  </si>
  <si>
    <t>SHIVANSHI</t>
  </si>
  <si>
    <t>VAIDEHI RAJPOOT</t>
  </si>
  <si>
    <t>VIRAJ</t>
  </si>
  <si>
    <t>ABHYAS KUWAR</t>
  </si>
  <si>
    <t>ADARSH BITORIYA</t>
  </si>
  <si>
    <t>ADITI BAHADUR SINGH</t>
  </si>
  <si>
    <t>ADITYA NARWAS</t>
  </si>
  <si>
    <t>ADITYA PATHAK</t>
  </si>
  <si>
    <t>ADRITI GHOSH</t>
  </si>
  <si>
    <t>ADVIKA SINGH</t>
  </si>
  <si>
    <t>AMRITA KUMARI</t>
  </si>
  <si>
    <t>ANAY SARKAR</t>
  </si>
  <si>
    <t>ARYAN JORWAL</t>
  </si>
  <si>
    <t>AVYUKT NAMDEV</t>
  </si>
  <si>
    <t>DHEERAN SHARMA</t>
  </si>
  <si>
    <t>JANYA PATEL</t>
  </si>
  <si>
    <t>MADHYANSH YADAV</t>
  </si>
  <si>
    <t>NAVANETHA PREMKUMAR</t>
  </si>
  <si>
    <t>NIKESH KUMAR SINGH</t>
  </si>
  <si>
    <t>NITYA KHANDWAHE</t>
  </si>
  <si>
    <t>NITYA NAYAK</t>
  </si>
  <si>
    <t>PRATYUSH MEHRA</t>
  </si>
  <si>
    <t>SEHAJ PANDEY</t>
  </si>
  <si>
    <t>VIAAN ANAND</t>
  </si>
  <si>
    <t>VISHAL KUMAR DHURVE</t>
  </si>
  <si>
    <t>VIVAAN VADIVEL</t>
  </si>
  <si>
    <t>DISHANT DHURWEY</t>
  </si>
  <si>
    <t>INSTALLMENT</t>
  </si>
  <si>
    <t>1 INSTALL</t>
  </si>
  <si>
    <t>2 INSTALL</t>
  </si>
  <si>
    <t>3 INSTALL</t>
  </si>
  <si>
    <t>4-H</t>
  </si>
  <si>
    <t>1242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</si>
  <si>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</si>
  <si>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</si>
  <si>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</si>
  <si>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</si>
  <si>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</si>
  <si>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</si>
  <si>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</si>
  <si>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</si>
  <si>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</si>
  <si>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</si>
  <si>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1238</t>
  </si>
  <si>
    <t>1239</t>
  </si>
  <si>
    <t>1298</t>
  </si>
  <si>
    <t>1296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</si>
  <si>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</si>
  <si>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</si>
  <si>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</si>
  <si>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</si>
  <si>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</si>
  <si>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</si>
  <si>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</si>
  <si>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</si>
  <si>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</si>
  <si>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1240</t>
  </si>
  <si>
    <t>1241</t>
  </si>
  <si>
    <t>1246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</si>
  <si>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</si>
  <si>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</si>
  <si>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</si>
  <si>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</si>
  <si>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</si>
  <si>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</si>
  <si>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</si>
  <si>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</si>
  <si>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</si>
  <si>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</si>
  <si>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</si>
  <si>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</si>
  <si>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</si>
  <si>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</si>
  <si>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AALIYA RAJAK</t>
  </si>
  <si>
    <t>1237</t>
  </si>
  <si>
    <t>1243</t>
  </si>
  <si>
    <t>1244</t>
  </si>
  <si>
    <t>1245</t>
  </si>
  <si>
    <t>1266</t>
  </si>
  <si>
    <t>1267</t>
  </si>
  <si>
    <t>1286</t>
  </si>
  <si>
    <t>1287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</si>
  <si>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</si>
  <si>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</si>
  <si>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</si>
  <si>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</si>
  <si>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</si>
  <si>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</si>
  <si>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</si>
  <si>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</si>
  <si>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</si>
  <si>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</si>
  <si>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</si>
  <si>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</si>
  <si>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</si>
  <si>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</si>
  <si>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</si>
  <si>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</si>
  <si>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</si>
  <si>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</si>
  <si>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</si>
  <si>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</si>
  <si>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</si>
  <si>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</si>
  <si>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</si>
  <si>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</si>
  <si>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</si>
  <si>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</si>
  <si>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</si>
  <si>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</si>
  <si>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1288</t>
  </si>
  <si>
    <t>1289</t>
  </si>
  <si>
    <t>1290</t>
  </si>
  <si>
    <t>1291</t>
  </si>
  <si>
    <t>1292</t>
  </si>
  <si>
    <t>1293</t>
  </si>
  <si>
    <t>1294</t>
  </si>
  <si>
    <t>1295</t>
  </si>
  <si>
    <t>1297</t>
  </si>
  <si>
    <t>1299</t>
  </si>
  <si>
    <t>1300</t>
  </si>
  <si>
    <t>1301</t>
  </si>
  <si>
    <t>BOOK No.</t>
  </si>
  <si>
    <t>MSRINIDHI</t>
  </si>
  <si>
    <t>ANANYA B KHOBRAGADE</t>
  </si>
  <si>
    <t>Aaradhya S Raghuwanshi</t>
  </si>
  <si>
    <t>S SHIKHA</t>
  </si>
  <si>
    <t>MOHDAAHIL KHAN</t>
  </si>
  <si>
    <t>D SAMARTH KUMAR NADAR</t>
  </si>
  <si>
    <t>VED SINGH</t>
  </si>
  <si>
    <t>VIVYAAN DATTA</t>
  </si>
  <si>
    <t>ABHIRAJ</t>
  </si>
  <si>
    <t>ARSH CHADDA</t>
  </si>
  <si>
    <t>LP SANDRA</t>
  </si>
  <si>
    <t>MO ADIL KHAN</t>
  </si>
  <si>
    <t>NAITIK LADIA</t>
  </si>
  <si>
    <t>ANAYSHA R WILLIAM</t>
  </si>
  <si>
    <t>ANBUSELVANV</t>
  </si>
  <si>
    <t>SSHIVANSH</t>
  </si>
  <si>
    <t>R RIDDHIMA IYER</t>
  </si>
  <si>
    <t>NSAANVI</t>
  </si>
  <si>
    <t>MHASSAAN</t>
  </si>
  <si>
    <t>ANIRUDH A BAVISKAR</t>
  </si>
  <si>
    <t>ARYANSH KUSH</t>
  </si>
  <si>
    <t>RMAHIKA IYER</t>
  </si>
  <si>
    <t/>
  </si>
  <si>
    <t>BOOK NUMBER</t>
  </si>
  <si>
    <t>STUDENT PAYMENT &amp; BOOK DISTRIBUTION DASHBOARD</t>
  </si>
  <si>
    <t>TOTAL STUDENTS</t>
  </si>
  <si>
    <t>TRANSACTIONS</t>
  </si>
  <si>
    <t>STUDENTS PAID</t>
  </si>
  <si>
    <t>STUDENTS UNPAID</t>
  </si>
  <si>
    <t>BOOKS ISSUED</t>
  </si>
  <si>
    <t>Total Students</t>
  </si>
  <si>
    <t>Paid</t>
  </si>
  <si>
    <t>Not Paid</t>
  </si>
  <si>
    <t>Collection</t>
  </si>
  <si>
    <t>Transactions</t>
  </si>
  <si>
    <t>NOT FOUND</t>
  </si>
  <si>
    <t>1st Installment</t>
  </si>
  <si>
    <t>2nd Installment</t>
  </si>
  <si>
    <t>3rd Installment</t>
  </si>
  <si>
    <t>July</t>
  </si>
  <si>
    <t>September</t>
  </si>
  <si>
    <t>1302</t>
  </si>
  <si>
    <t>21-09-2026</t>
  </si>
  <si>
    <t>April</t>
  </si>
  <si>
    <t>1303</t>
  </si>
  <si>
    <t>22-09-2026</t>
  </si>
  <si>
    <t>1304</t>
  </si>
  <si>
    <t>February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</si>
  <si>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</si>
  <si>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</si>
  <si>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</si>
  <si>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</si>
  <si>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</si>
  <si>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</si>
  <si>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</si>
  <si>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</si>
  <si>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</si>
  <si>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</si>
  <si>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</si>
  <si>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02-09-2026</t>
  </si>
  <si>
    <t>1316</t>
  </si>
  <si>
    <t>19-09-2026</t>
  </si>
  <si>
    <t>1317</t>
  </si>
  <si>
    <t>1318</t>
  </si>
  <si>
    <t>1319</t>
  </si>
  <si>
    <t>RISHIKA GUPTA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</si>
  <si>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</si>
  <si>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</si>
  <si>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</si>
  <si>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</si>
  <si>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</si>
  <si>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</si>
  <si>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</si>
  <si>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</si>
  <si>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</si>
  <si>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</si>
  <si>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</si>
  <si>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01-09-2026</t>
  </si>
  <si>
    <t>1331</t>
  </si>
  <si>
    <t>1332</t>
  </si>
  <si>
    <t>1333</t>
  </si>
  <si>
    <t>1334</t>
  </si>
  <si>
    <t>23-09-2026</t>
  </si>
  <si>
    <t>1335</t>
  </si>
  <si>
    <t>1336</t>
  </si>
  <si>
    <t>1337</t>
  </si>
  <si>
    <t>06-09-2026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</si>
  <si>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</si>
  <si>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</si>
  <si>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</si>
  <si>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</si>
  <si>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</si>
  <si>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</si>
  <si>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</si>
  <si>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</si>
  <si>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</si>
  <si>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</si>
  <si>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</si>
  <si>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</si>
  <si>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</si>
  <si>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24-09-2026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</si>
  <si>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</si>
  <si>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</si>
  <si>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</si>
  <si>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</si>
  <si>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</si>
  <si>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</si>
  <si>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</si>
  <si>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</si>
  <si>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</si>
  <si>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</si>
  <si>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</si>
  <si>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</si>
  <si>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</si>
  <si>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</si>
  <si>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</si>
  <si>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</si>
  <si>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</si>
  <si>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24-08-2026</t>
  </si>
  <si>
    <t>1368</t>
  </si>
  <si>
    <t>05-08-2026</t>
  </si>
  <si>
    <t>1369</t>
  </si>
  <si>
    <t>1370</t>
  </si>
  <si>
    <t>1371</t>
  </si>
  <si>
    <t>1372</t>
  </si>
  <si>
    <t>1373</t>
  </si>
  <si>
    <t>1374</t>
  </si>
  <si>
    <t>25-09-2026</t>
  </si>
  <si>
    <t>1375</t>
  </si>
  <si>
    <t>1376</t>
  </si>
  <si>
    <t>23-08-2026</t>
  </si>
  <si>
    <t>1377</t>
  </si>
  <si>
    <t>1378</t>
  </si>
  <si>
    <t>1379</t>
  </si>
  <si>
    <t>1380</t>
  </si>
  <si>
    <t>26-09-2026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</si>
  <si>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</si>
  <si>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</si>
  <si>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</si>
  <si>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</si>
  <si>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</si>
  <si>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</si>
  <si>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</si>
  <si>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</si>
  <si>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</si>
  <si>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</si>
  <si>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1392</t>
  </si>
  <si>
    <t>22-08-2026</t>
  </si>
  <si>
    <t>1393</t>
  </si>
  <si>
    <t>1394</t>
  </si>
  <si>
    <t>1395</t>
  </si>
  <si>
    <t>1396</t>
  </si>
  <si>
    <t>27-09-2026</t>
  </si>
  <si>
    <t>1397</t>
  </si>
  <si>
    <t>1398</t>
  </si>
  <si>
    <t>1399</t>
  </si>
  <si>
    <t>1400</t>
  </si>
  <si>
    <t>1401</t>
  </si>
  <si>
    <t>1402</t>
  </si>
  <si>
    <t>1403</t>
  </si>
  <si>
    <t>28-09-2026</t>
  </si>
  <si>
    <t>1404</t>
  </si>
  <si>
    <t>1405</t>
  </si>
  <si>
    <t>1406</t>
  </si>
  <si>
    <t>1407</t>
  </si>
  <si>
    <t>13-09-2026</t>
  </si>
  <si>
    <t>1408</t>
  </si>
  <si>
    <t>1409</t>
  </si>
  <si>
    <t>1410</t>
  </si>
  <si>
    <t>1411</t>
  </si>
  <si>
    <t>1412</t>
  </si>
  <si>
    <t>11-09-2026</t>
  </si>
  <si>
    <t>1413</t>
  </si>
  <si>
    <t>1414</t>
  </si>
  <si>
    <t>1415</t>
  </si>
  <si>
    <t>1416</t>
  </si>
  <si>
    <t>18-09-2026</t>
  </si>
  <si>
    <t>1417</t>
  </si>
  <si>
    <t>1418</t>
  </si>
  <si>
    <t>1419</t>
  </si>
  <si>
    <t>1420</t>
  </si>
  <si>
    <t>1421</t>
  </si>
  <si>
    <t>29-09-2026</t>
  </si>
  <si>
    <t>1422</t>
  </si>
  <si>
    <t>1423</t>
  </si>
  <si>
    <t>1424</t>
  </si>
  <si>
    <t>1425</t>
  </si>
  <si>
    <t>1426</t>
  </si>
  <si>
    <t>1427</t>
  </si>
  <si>
    <t>1428</t>
  </si>
  <si>
    <t>20-09-2026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</si>
  <si>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</si>
  <si>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</si>
  <si>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</si>
  <si>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</si>
  <si>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</si>
  <si>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</si>
  <si>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</si>
  <si>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</si>
  <si>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</si>
  <si>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</si>
  <si>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</si>
  <si>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</si>
  <si>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</si>
  <si>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</si>
  <si>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</si>
  <si>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</si>
  <si>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</si>
  <si>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30-09-2026</t>
  </si>
  <si>
    <t>1446</t>
  </si>
  <si>
    <t>1447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</si>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</sst>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 [$₹-4009]\ * #,##0.00_ ;_ [$₹-4009]\ * \-#,##0.00_ ;_ [$₹-4009]\ * &quot;-&quot;??_ ;_ @_ "/>
  </numFmts>
  <fonts count="20">
    <font>
      <sz val="11"/>
      <name val="Carlito"/>
    </font>
    <font>
      <sz val="11"/>
      <color theme="1"/>
      <name val="Calibri"/>
      <family val="2"/>
      <scheme val="minor"/>
    </font>
    <font>
      <b/>
      <sz val="14"/>
      <color rgb="FFFFFFFF"/>
      <name val="Carlito"/>
    </font>
    <font>
      <b/>
      <sz val="11"/>
      <color rgb="FFFFFFFF"/>
      <name val="Carlito"/>
    </font>
    <font>
      <sz val="11"/>
      <color theme="1"/>
      <name val="Carlito"/>
    </font>
    <font>
      <b/>
      <sz val="11"/>
      <color rgb="FFFFFFFF"/>
      <name val="Calibri"/>
      <family val="2"/>
    </font>
    <font>
      <b/>
      <u/>
      <sz val="11"/>
      <name val="Carlito"/>
    </font>
    <font>
      <sz val="8"/>
      <name val="Carlito"/>
    </font>
    <font>
      <b/>
      <sz val="11"/>
      <name val="Carlito"/>
    </font>
    <font>
      <sz val="11"/>
      <color rgb="FF006100"/>
      <name val="Calibri"/>
      <family val="2"/>
      <scheme val="minor"/>
    </font>
    <font>
      <sz val="22"/>
      <name val="Carlito"/>
    </font>
    <font>
      <b/>
      <sz val="11"/>
      <color theme="0"/>
      <name val="Carlito"/>
    </font>
    <font>
      <b/>
      <sz val="11"/>
      <color rgb="FFFFFFFF"/>
      <name val="Calibri"/>
    </font>
    <font>
      <b/>
      <sz val="36"/>
      <name val="Carlito"/>
    </font>
    <font>
      <b/>
      <sz val="16"/>
      <name val="Carlito"/>
    </font>
    <font>
      <b/>
      <sz val="22"/>
      <color rgb="FFFFFFFF"/>
      <name val="Carlito"/>
    </font>
    <font>
      <sz val="16"/>
      <name val="Carlito"/>
    </font>
    <font>
      <sz val="18"/>
      <name val="Carlito"/>
    </font>
    <font>
      <sz val="20"/>
      <name val="Arial Black"/>
      <family val="2"/>
    </font>
    <font>
      <b/>
      <sz val="14"/>
      <name val="Carlito"/>
    </font>
  </fonts>
  <fills count="1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2980B9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1"/>
    <xf numFmtId="0" fontId="9" fillId="8" borderId="0" applyNumberFormat="0" applyBorder="0" applyAlignment="0" applyProtection="0"/>
    <xf numFmtId="0" fontId="1" fillId="9" borderId="0" applyNumberFormat="0" applyBorder="0" applyAlignment="0" applyProtection="0"/>
  </cellStyleXfs>
  <cellXfs count="68">
    <xf numFmtId="0" fontId="0" fillId="0" borderId="0" xfId="0" applyBorder="1"/>
    <xf numFmtId="0" fontId="0" fillId="0" borderId="1" xfId="0"/>
    <xf numFmtId="0" fontId="0" fillId="0" borderId="0" xfId="0" applyBorder="1" applyAlignment="1">
      <alignment horizontal="center"/>
    </xf>
    <xf numFmtId="0" fontId="0" fillId="0" borderId="1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/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5" borderId="1" xfId="0" applyFont="1" applyFill="1" applyAlignment="1">
      <alignment horizontal="center" vertical="center"/>
    </xf>
    <xf numFmtId="0" fontId="0" fillId="0" borderId="1" xfId="0" applyAlignment="1">
      <alignment horizontal="center" vertical="center"/>
    </xf>
    <xf numFmtId="0" fontId="4" fillId="4" borderId="8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center" vertical="center" wrapText="1"/>
    </xf>
    <xf numFmtId="0" fontId="0" fillId="0" borderId="7" xfId="0" applyBorder="1"/>
    <xf numFmtId="0" fontId="6" fillId="0" borderId="7" xfId="0" applyFont="1" applyBorder="1"/>
    <xf numFmtId="0" fontId="6" fillId="0" borderId="7" xfId="0" applyFont="1" applyBorder="1" applyAlignment="1">
      <alignment horizontal="center"/>
    </xf>
    <xf numFmtId="0" fontId="0" fillId="6" borderId="1" xfId="0" applyFill="1" applyAlignment="1">
      <alignment horizontal="left" vertical="center"/>
    </xf>
    <xf numFmtId="0" fontId="0" fillId="7" borderId="11" xfId="0" applyFill="1" applyBorder="1"/>
    <xf numFmtId="0" fontId="0" fillId="7" borderId="13" xfId="0" applyFill="1" applyBorder="1"/>
    <xf numFmtId="2" fontId="8" fillId="7" borderId="12" xfId="0" applyNumberFormat="1" applyFont="1" applyFill="1" applyBorder="1"/>
    <xf numFmtId="0" fontId="8" fillId="7" borderId="14" xfId="0" applyFont="1" applyFill="1" applyBorder="1"/>
    <xf numFmtId="0" fontId="9" fillId="8" borderId="10" xfId="1" applyBorder="1"/>
    <xf numFmtId="0" fontId="1" fillId="9" borderId="10" xfId="2" applyBorder="1"/>
    <xf numFmtId="0" fontId="10" fillId="0" borderId="0" xfId="0" applyFont="1" applyBorder="1"/>
    <xf numFmtId="0" fontId="0" fillId="11" borderId="10" xfId="0" applyFill="1" applyBorder="1" applyAlignment="1">
      <alignment horizontal="center"/>
    </xf>
    <xf numFmtId="49" fontId="0" fillId="0" borderId="0" xfId="0" applyNumberFormat="1" applyBorder="1"/>
    <xf numFmtId="0" fontId="12" fillId="5" borderId="1" xfId="0" applyFont="1" applyFill="1" applyAlignment="1">
      <alignment horizontal="center" vertical="center"/>
    </xf>
    <xf numFmtId="2" fontId="12" fillId="5" borderId="1" xfId="0" applyNumberFormat="1" applyFont="1" applyFill="1" applyAlignment="1">
      <alignment horizontal="center" vertical="center"/>
    </xf>
    <xf numFmtId="2" fontId="13" fillId="7" borderId="16" xfId="0" applyNumberFormat="1" applyFont="1" applyFill="1" applyBorder="1"/>
    <xf numFmtId="2" fontId="0" fillId="0" borderId="7" xfId="0" applyNumberFormat="1" applyBorder="1"/>
    <xf numFmtId="0" fontId="8" fillId="0" borderId="0" xfId="0" applyFont="1" applyBorder="1" applyAlignment="1">
      <alignment horizontal="center"/>
    </xf>
    <xf numFmtId="0" fontId="11" fillId="11" borderId="16" xfId="0" applyFont="1" applyFill="1" applyBorder="1"/>
    <xf numFmtId="49" fontId="11" fillId="11" borderId="19" xfId="0" applyNumberFormat="1" applyFont="1" applyFill="1" applyBorder="1" applyAlignment="1">
      <alignment horizontal="center"/>
    </xf>
    <xf numFmtId="49" fontId="11" fillId="11" borderId="15" xfId="0" applyNumberFormat="1" applyFont="1" applyFill="1" applyBorder="1" applyAlignment="1">
      <alignment horizontal="center"/>
    </xf>
    <xf numFmtId="14" fontId="0" fillId="0" borderId="7" xfId="0" applyNumberFormat="1" applyBorder="1"/>
    <xf numFmtId="14" fontId="12" fillId="5" borderId="1" xfId="0" applyNumberFormat="1" applyFont="1" applyFill="1" applyAlignment="1">
      <alignment horizontal="center" vertical="center"/>
    </xf>
    <xf numFmtId="14" fontId="0" fillId="0" borderId="0" xfId="0" applyNumberFormat="1" applyBorder="1"/>
    <xf numFmtId="16" fontId="0" fillId="0" borderId="0" xfId="0" applyNumberFormat="1" applyBorder="1"/>
    <xf numFmtId="0" fontId="16" fillId="0" borderId="0" xfId="0" applyFont="1" applyBorder="1"/>
    <xf numFmtId="0" fontId="4" fillId="4" borderId="9" xfId="0" applyFont="1" applyFill="1" applyBorder="1"/>
    <xf numFmtId="0" fontId="4" fillId="0" borderId="9" xfId="0" applyFont="1" applyBorder="1"/>
    <xf numFmtId="3" fontId="0" fillId="0" borderId="0" xfId="0" applyNumberFormat="1" applyBorder="1"/>
    <xf numFmtId="0" fontId="4" fillId="4" borderId="9" xfId="0" applyFont="1" applyFill="1" applyBorder="1" applyAlignment="1">
      <alignment horizontal="center"/>
    </xf>
    <xf numFmtId="0" fontId="4" fillId="4" borderId="20" xfId="0" applyFont="1" applyFill="1" applyBorder="1"/>
    <xf numFmtId="0" fontId="17" fillId="7" borderId="15" xfId="0" applyFont="1" applyFill="1" applyBorder="1"/>
    <xf numFmtId="3" fontId="14" fillId="0" borderId="0" xfId="0" applyNumberFormat="1" applyFont="1" applyBorder="1" applyAlignment="1">
      <alignment horizontal="center"/>
    </xf>
    <xf numFmtId="0" fontId="14" fillId="12" borderId="0" xfId="0" applyFont="1" applyFill="1" applyBorder="1" applyAlignment="1">
      <alignment horizontal="center"/>
    </xf>
    <xf numFmtId="0" fontId="16" fillId="0" borderId="0" xfId="0" applyFont="1" applyBorder="1"/>
    <xf numFmtId="0" fontId="15" fillId="13" borderId="0" xfId="0" applyFont="1" applyFill="1" applyBorder="1" applyAlignment="1">
      <alignment horizontal="center" vertical="center"/>
    </xf>
    <xf numFmtId="0" fontId="10" fillId="11" borderId="11" xfId="0" applyFont="1" applyFill="1" applyBorder="1" applyAlignment="1">
      <alignment horizontal="center"/>
    </xf>
    <xf numFmtId="0" fontId="10" fillId="11" borderId="17" xfId="0" applyFont="1" applyFill="1" applyBorder="1" applyAlignment="1">
      <alignment horizontal="center"/>
    </xf>
    <xf numFmtId="0" fontId="10" fillId="11" borderId="13" xfId="0" applyFont="1" applyFill="1" applyBorder="1" applyAlignment="1">
      <alignment horizontal="center"/>
    </xf>
    <xf numFmtId="0" fontId="10" fillId="11" borderId="7" xfId="0" applyFont="1" applyFill="1" applyBorder="1" applyAlignment="1">
      <alignment horizontal="center"/>
    </xf>
    <xf numFmtId="0" fontId="10" fillId="11" borderId="15" xfId="0" applyFont="1" applyFill="1" applyBorder="1" applyAlignment="1">
      <alignment horizontal="center"/>
    </xf>
    <xf numFmtId="0" fontId="10" fillId="11" borderId="18" xfId="0" applyFont="1" applyFill="1" applyBorder="1" applyAlignment="1">
      <alignment horizontal="center"/>
    </xf>
    <xf numFmtId="2" fontId="10" fillId="11" borderId="12" xfId="0" applyNumberFormat="1" applyFont="1" applyFill="1" applyBorder="1" applyAlignment="1">
      <alignment horizontal="center" wrapText="1"/>
    </xf>
    <xf numFmtId="2" fontId="10" fillId="11" borderId="14" xfId="0" applyNumberFormat="1" applyFont="1" applyFill="1" applyBorder="1" applyAlignment="1">
      <alignment horizontal="center" wrapText="1"/>
    </xf>
    <xf numFmtId="2" fontId="10" fillId="11" borderId="16" xfId="0" applyNumberFormat="1" applyFont="1" applyFill="1" applyBorder="1" applyAlignment="1">
      <alignment horizontal="center" wrapText="1"/>
    </xf>
    <xf numFmtId="0" fontId="8" fillId="0" borderId="17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2" fillId="2" borderId="1" xfId="0" applyFont="1" applyFill="1" applyAlignment="1">
      <alignment horizontal="center"/>
    </xf>
    <xf numFmtId="0" fontId="0" fillId="0" borderId="1" xfId="0"/>
    <xf numFmtId="0" fontId="0" fillId="10" borderId="10" xfId="0" applyFill="1" applyBorder="1" applyAlignment="1">
      <alignment horizontal="center"/>
    </xf>
    <xf numFmtId="3" fontId="14" fillId="0" borderId="0" xfId="0" applyNumberFormat="1" applyFont="1" applyBorder="1" applyAlignment="1"/>
    <xf numFmtId="167" fontId="18" fillId="0" borderId="0" xfId="0" applyNumberFormat="1" applyFont="1" applyBorder="1" applyAlignment="1">
      <alignment horizontal="right" vertical="center"/>
    </xf>
    <xf numFmtId="0" fontId="19" fillId="12" borderId="0" xfId="0" applyFont="1" applyFill="1" applyBorder="1" applyAlignment="1">
      <alignment horizontal="center"/>
    </xf>
  </cellXfs>
  <cellStyles count="3">
    <cellStyle name="40% - Accent6" xfId="2" builtinId="51"/>
    <cellStyle name="Good" xfId="1" builtinId="26"/>
    <cellStyle name="Normal" xfId="0" builtinId="0"/>
  </cellStyles>
  <dxfs count="25"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4" formatCode="[$-F800]dddd\,\ mmmm\ dd\,\ yyyy"/>
      <fill>
        <patternFill patternType="solid">
          <fgColor rgb="FFDDEBF7"/>
          <bgColor rgb="FFDDEBF7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</dxf>
    <dxf>
      <numFmt numFmtId="164" formatCode="[$-F800]dddd\,\ mmmm\ dd\,\ yyyy"/>
      <fill>
        <patternFill patternType="solid">
          <fgColor rgb="FFDDEBF7"/>
          <bgColor rgb="FFDDEBF7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5" formatCode="m/d/yyyy"/>
    </dxf>
    <dxf>
      <fill>
        <patternFill patternType="solid">
          <fgColor rgb="FFDDEBF7"/>
          <bgColor rgb="FFDDEBF7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rgb="FFDDEBF7"/>
          <bgColor rgb="FFDDEBF7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2" formatCode="0.00"/>
      <fill>
        <patternFill patternType="solid">
          <fgColor rgb="FFDDEBF7"/>
          <bgColor rgb="FFDDEBF7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rgb="FFDDEBF7"/>
          <bgColor rgb="FFDDEBF7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rgb="FFDDEBF7"/>
          <bgColor rgb="FFDDEBF7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rgb="FFDDEBF7"/>
          <bgColor rgb="FFDDEBF7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rgb="FFDDEBF7"/>
          <bgColor rgb="FFDDEBF7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5B9BD5"/>
          <bgColor rgb="FF5B9BD5"/>
        </patternFill>
      </fill>
      <alignment horizontal="center" vertical="center" textRotation="0" wrapText="0" indent="0" justifyLastLine="0" shrinkToFit="0" readingOrder="0"/>
    </dxf>
    <dxf>
      <border diagonalUp="0" diagonalDown="0" outline="0">
        <left/>
        <right/>
        <top/>
        <bottom/>
      </border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3" tint="0.74999237037263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3" tint="0.74999237037263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3" tint="0.74999237037263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3" tint="0.74999237037263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fill>
        <patternFill patternType="solid">
          <fgColor indexed="64"/>
          <bgColor theme="3" tint="0.74999237037263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theme="3" tint="0.74999237037263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3" tint="0.74999237037263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Class-wise Student Payment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Paid</c:v>
          </c:tx>
          <c:spPr>
            <a:gradFill>
              <a:gsLst>
                <a:gs pos="0">
                  <a:schemeClr val="accent1">
                    <a:tint val="94000"/>
                    <a:lumMod val="102000"/>
                    <a:satMod val="103000"/>
                  </a:schemeClr>
                </a:gs>
                <a:gs pos="50000">
                  <a:schemeClr val="accent1">
                    <a:shade val="100000"/>
                    <a:lumMod val="100000"/>
                    <a:satMod val="110000"/>
                  </a:schemeClr>
                </a:gs>
                <a:gs pos="100000">
                  <a:schemeClr val="accent1">
                    <a:shade val="78000"/>
                    <a:lumMod val="99000"/>
                    <a:satMod val="120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Dashboard!$AA$2:$AA$81</c:f>
              <c:strCache>
                <c:ptCount val="80"/>
                <c:pt idx="0">
                  <c:v>10-A</c:v>
                </c:pt>
                <c:pt idx="1">
                  <c:v>10-B</c:v>
                </c:pt>
                <c:pt idx="2">
                  <c:v>10-C</c:v>
                </c:pt>
                <c:pt idx="3">
                  <c:v>10-D</c:v>
                </c:pt>
                <c:pt idx="4">
                  <c:v>10-E</c:v>
                </c:pt>
                <c:pt idx="5">
                  <c:v>10-F</c:v>
                </c:pt>
                <c:pt idx="6">
                  <c:v>1-A</c:v>
                </c:pt>
                <c:pt idx="7">
                  <c:v>1-B</c:v>
                </c:pt>
                <c:pt idx="8">
                  <c:v>1-C</c:v>
                </c:pt>
                <c:pt idx="9">
                  <c:v>1-D</c:v>
                </c:pt>
                <c:pt idx="10">
                  <c:v>1-E</c:v>
                </c:pt>
                <c:pt idx="11">
                  <c:v>1-F</c:v>
                </c:pt>
                <c:pt idx="12">
                  <c:v>1-G</c:v>
                </c:pt>
                <c:pt idx="13">
                  <c:v>1-H</c:v>
                </c:pt>
                <c:pt idx="14">
                  <c:v>1-I</c:v>
                </c:pt>
                <c:pt idx="15">
                  <c:v>2-A</c:v>
                </c:pt>
                <c:pt idx="16">
                  <c:v>2-B</c:v>
                </c:pt>
                <c:pt idx="17">
                  <c:v>2-C</c:v>
                </c:pt>
                <c:pt idx="18">
                  <c:v>2-D</c:v>
                </c:pt>
                <c:pt idx="19">
                  <c:v>2-E</c:v>
                </c:pt>
                <c:pt idx="20">
                  <c:v>2-F</c:v>
                </c:pt>
                <c:pt idx="21">
                  <c:v>2-G</c:v>
                </c:pt>
                <c:pt idx="22">
                  <c:v>2-H</c:v>
                </c:pt>
                <c:pt idx="23">
                  <c:v>2-I</c:v>
                </c:pt>
                <c:pt idx="24">
                  <c:v>3-A</c:v>
                </c:pt>
                <c:pt idx="25">
                  <c:v>3-B</c:v>
                </c:pt>
                <c:pt idx="26">
                  <c:v>3-C</c:v>
                </c:pt>
                <c:pt idx="27">
                  <c:v>3-D</c:v>
                </c:pt>
                <c:pt idx="28">
                  <c:v>3-E</c:v>
                </c:pt>
                <c:pt idx="29">
                  <c:v>3-F</c:v>
                </c:pt>
                <c:pt idx="30">
                  <c:v>3-G</c:v>
                </c:pt>
                <c:pt idx="31">
                  <c:v>3-H</c:v>
                </c:pt>
                <c:pt idx="32">
                  <c:v>4-A</c:v>
                </c:pt>
                <c:pt idx="33">
                  <c:v>4-B</c:v>
                </c:pt>
                <c:pt idx="34">
                  <c:v>4-C</c:v>
                </c:pt>
                <c:pt idx="35">
                  <c:v>4-D</c:v>
                </c:pt>
                <c:pt idx="36">
                  <c:v>4-E</c:v>
                </c:pt>
                <c:pt idx="37">
                  <c:v>4-F</c:v>
                </c:pt>
                <c:pt idx="38">
                  <c:v>4-G</c:v>
                </c:pt>
                <c:pt idx="39">
                  <c:v>4-H</c:v>
                </c:pt>
                <c:pt idx="40">
                  <c:v>5-A</c:v>
                </c:pt>
                <c:pt idx="41">
                  <c:v>5-B</c:v>
                </c:pt>
                <c:pt idx="42">
                  <c:v>5-C</c:v>
                </c:pt>
                <c:pt idx="43">
                  <c:v>5-D</c:v>
                </c:pt>
                <c:pt idx="44">
                  <c:v>5-E</c:v>
                </c:pt>
                <c:pt idx="45">
                  <c:v>5-F</c:v>
                </c:pt>
                <c:pt idx="46">
                  <c:v>5-G</c:v>
                </c:pt>
                <c:pt idx="47">
                  <c:v>6-A</c:v>
                </c:pt>
                <c:pt idx="48">
                  <c:v>6-B</c:v>
                </c:pt>
                <c:pt idx="49">
                  <c:v>6-C</c:v>
                </c:pt>
                <c:pt idx="50">
                  <c:v>6-D</c:v>
                </c:pt>
                <c:pt idx="51">
                  <c:v>6-E</c:v>
                </c:pt>
                <c:pt idx="52">
                  <c:v>6-F</c:v>
                </c:pt>
                <c:pt idx="53">
                  <c:v>6-G</c:v>
                </c:pt>
                <c:pt idx="54">
                  <c:v>7-A</c:v>
                </c:pt>
                <c:pt idx="55">
                  <c:v>7-B</c:v>
                </c:pt>
                <c:pt idx="56">
                  <c:v>7-C</c:v>
                </c:pt>
                <c:pt idx="57">
                  <c:v>7-D</c:v>
                </c:pt>
                <c:pt idx="58">
                  <c:v>7-E</c:v>
                </c:pt>
                <c:pt idx="59">
                  <c:v>7-F</c:v>
                </c:pt>
                <c:pt idx="60">
                  <c:v>7-G</c:v>
                </c:pt>
                <c:pt idx="61">
                  <c:v>8-A</c:v>
                </c:pt>
                <c:pt idx="62">
                  <c:v>8-B</c:v>
                </c:pt>
                <c:pt idx="63">
                  <c:v>8-C</c:v>
                </c:pt>
                <c:pt idx="64">
                  <c:v>8-D</c:v>
                </c:pt>
                <c:pt idx="65">
                  <c:v>8-E</c:v>
                </c:pt>
                <c:pt idx="66">
                  <c:v>8-F</c:v>
                </c:pt>
                <c:pt idx="67">
                  <c:v>8-G</c:v>
                </c:pt>
                <c:pt idx="68">
                  <c:v>9-A</c:v>
                </c:pt>
                <c:pt idx="69">
                  <c:v>9-B</c:v>
                </c:pt>
                <c:pt idx="70">
                  <c:v>9-C</c:v>
                </c:pt>
                <c:pt idx="71">
                  <c:v>9-D</c:v>
                </c:pt>
                <c:pt idx="72">
                  <c:v>9-E</c:v>
                </c:pt>
                <c:pt idx="73">
                  <c:v>9-G</c:v>
                </c:pt>
                <c:pt idx="74">
                  <c:v>UKG-A</c:v>
                </c:pt>
                <c:pt idx="75">
                  <c:v>UKG-B</c:v>
                </c:pt>
                <c:pt idx="76">
                  <c:v>UKG-C</c:v>
                </c:pt>
                <c:pt idx="77">
                  <c:v>UKG-D</c:v>
                </c:pt>
                <c:pt idx="78">
                  <c:v>UKG-E</c:v>
                </c:pt>
                <c:pt idx="79">
                  <c:v>UKG-F</c:v>
                </c:pt>
              </c:strCache>
            </c:strRef>
          </c:cat>
          <c:val>
            <c:numRef>
              <c:f>Dashboard!$AC$2:$AC$81</c:f>
              <c:numCache>
                <c:formatCode>General</c:formatCode>
                <c:ptCount val="80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13</c:v>
                </c:pt>
                <c:pt idx="7">
                  <c:v>7</c:v>
                </c:pt>
                <c:pt idx="8">
                  <c:v>14</c:v>
                </c:pt>
                <c:pt idx="9">
                  <c:v>12</c:v>
                </c:pt>
                <c:pt idx="10">
                  <c:v>11</c:v>
                </c:pt>
                <c:pt idx="11">
                  <c:v>10</c:v>
                </c:pt>
                <c:pt idx="12">
                  <c:v>13</c:v>
                </c:pt>
                <c:pt idx="13">
                  <c:v>12</c:v>
                </c:pt>
                <c:pt idx="14">
                  <c:v>10</c:v>
                </c:pt>
                <c:pt idx="15">
                  <c:v>12</c:v>
                </c:pt>
                <c:pt idx="16">
                  <c:v>5</c:v>
                </c:pt>
                <c:pt idx="17">
                  <c:v>12</c:v>
                </c:pt>
                <c:pt idx="18">
                  <c:v>11</c:v>
                </c:pt>
                <c:pt idx="19">
                  <c:v>10</c:v>
                </c:pt>
                <c:pt idx="20">
                  <c:v>6</c:v>
                </c:pt>
                <c:pt idx="21">
                  <c:v>11</c:v>
                </c:pt>
                <c:pt idx="22">
                  <c:v>6</c:v>
                </c:pt>
                <c:pt idx="23">
                  <c:v>7</c:v>
                </c:pt>
                <c:pt idx="24">
                  <c:v>10</c:v>
                </c:pt>
                <c:pt idx="25">
                  <c:v>15</c:v>
                </c:pt>
                <c:pt idx="26">
                  <c:v>9</c:v>
                </c:pt>
                <c:pt idx="27">
                  <c:v>9</c:v>
                </c:pt>
                <c:pt idx="28">
                  <c:v>7</c:v>
                </c:pt>
                <c:pt idx="29">
                  <c:v>10</c:v>
                </c:pt>
                <c:pt idx="30">
                  <c:v>7</c:v>
                </c:pt>
                <c:pt idx="31">
                  <c:v>1</c:v>
                </c:pt>
                <c:pt idx="32">
                  <c:v>9</c:v>
                </c:pt>
                <c:pt idx="33">
                  <c:v>7</c:v>
                </c:pt>
                <c:pt idx="34">
                  <c:v>13</c:v>
                </c:pt>
                <c:pt idx="35">
                  <c:v>4</c:v>
                </c:pt>
                <c:pt idx="36">
                  <c:v>12</c:v>
                </c:pt>
                <c:pt idx="37">
                  <c:v>5</c:v>
                </c:pt>
                <c:pt idx="38">
                  <c:v>2</c:v>
                </c:pt>
                <c:pt idx="39">
                  <c:v>0</c:v>
                </c:pt>
                <c:pt idx="40">
                  <c:v>13</c:v>
                </c:pt>
                <c:pt idx="41">
                  <c:v>12</c:v>
                </c:pt>
                <c:pt idx="42">
                  <c:v>13</c:v>
                </c:pt>
                <c:pt idx="43">
                  <c:v>12</c:v>
                </c:pt>
                <c:pt idx="44">
                  <c:v>17</c:v>
                </c:pt>
                <c:pt idx="45">
                  <c:v>9</c:v>
                </c:pt>
                <c:pt idx="46">
                  <c:v>9</c:v>
                </c:pt>
                <c:pt idx="47">
                  <c:v>7</c:v>
                </c:pt>
                <c:pt idx="48">
                  <c:v>9</c:v>
                </c:pt>
                <c:pt idx="49">
                  <c:v>3</c:v>
                </c:pt>
                <c:pt idx="50">
                  <c:v>7</c:v>
                </c:pt>
                <c:pt idx="51">
                  <c:v>6</c:v>
                </c:pt>
                <c:pt idx="52">
                  <c:v>12</c:v>
                </c:pt>
                <c:pt idx="53">
                  <c:v>5</c:v>
                </c:pt>
                <c:pt idx="54">
                  <c:v>15</c:v>
                </c:pt>
                <c:pt idx="55">
                  <c:v>10</c:v>
                </c:pt>
                <c:pt idx="56">
                  <c:v>9</c:v>
                </c:pt>
                <c:pt idx="57">
                  <c:v>7</c:v>
                </c:pt>
                <c:pt idx="58">
                  <c:v>4</c:v>
                </c:pt>
                <c:pt idx="59">
                  <c:v>4</c:v>
                </c:pt>
                <c:pt idx="60">
                  <c:v>5</c:v>
                </c:pt>
                <c:pt idx="61">
                  <c:v>6</c:v>
                </c:pt>
                <c:pt idx="62">
                  <c:v>6</c:v>
                </c:pt>
                <c:pt idx="63">
                  <c:v>13</c:v>
                </c:pt>
                <c:pt idx="64">
                  <c:v>6</c:v>
                </c:pt>
                <c:pt idx="65">
                  <c:v>4</c:v>
                </c:pt>
                <c:pt idx="66">
                  <c:v>10</c:v>
                </c:pt>
                <c:pt idx="67">
                  <c:v>9</c:v>
                </c:pt>
                <c:pt idx="68">
                  <c:v>0</c:v>
                </c:pt>
                <c:pt idx="69">
                  <c:v>2</c:v>
                </c:pt>
                <c:pt idx="70">
                  <c:v>1</c:v>
                </c:pt>
                <c:pt idx="71">
                  <c:v>1</c:v>
                </c:pt>
                <c:pt idx="72">
                  <c:v>4</c:v>
                </c:pt>
                <c:pt idx="73">
                  <c:v>1</c:v>
                </c:pt>
                <c:pt idx="74">
                  <c:v>17</c:v>
                </c:pt>
                <c:pt idx="75">
                  <c:v>13</c:v>
                </c:pt>
                <c:pt idx="76">
                  <c:v>16</c:v>
                </c:pt>
                <c:pt idx="77">
                  <c:v>9</c:v>
                </c:pt>
                <c:pt idx="78">
                  <c:v>2</c:v>
                </c:pt>
                <c:pt idx="7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CE-4681-BC3F-D341EF753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6878792"/>
        <c:axId val="646873216"/>
      </c:barChart>
      <c:lineChart>
        <c:grouping val="standard"/>
        <c:varyColors val="0"/>
        <c:ser>
          <c:idx val="1"/>
          <c:order val="1"/>
          <c:tx>
            <c:v>Not Paid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Dashboard!$AA$2:$AA$81</c:f>
              <c:strCache>
                <c:ptCount val="80"/>
                <c:pt idx="0">
                  <c:v>10-A</c:v>
                </c:pt>
                <c:pt idx="1">
                  <c:v>10-B</c:v>
                </c:pt>
                <c:pt idx="2">
                  <c:v>10-C</c:v>
                </c:pt>
                <c:pt idx="3">
                  <c:v>10-D</c:v>
                </c:pt>
                <c:pt idx="4">
                  <c:v>10-E</c:v>
                </c:pt>
                <c:pt idx="5">
                  <c:v>10-F</c:v>
                </c:pt>
                <c:pt idx="6">
                  <c:v>1-A</c:v>
                </c:pt>
                <c:pt idx="7">
                  <c:v>1-B</c:v>
                </c:pt>
                <c:pt idx="8">
                  <c:v>1-C</c:v>
                </c:pt>
                <c:pt idx="9">
                  <c:v>1-D</c:v>
                </c:pt>
                <c:pt idx="10">
                  <c:v>1-E</c:v>
                </c:pt>
                <c:pt idx="11">
                  <c:v>1-F</c:v>
                </c:pt>
                <c:pt idx="12">
                  <c:v>1-G</c:v>
                </c:pt>
                <c:pt idx="13">
                  <c:v>1-H</c:v>
                </c:pt>
                <c:pt idx="14">
                  <c:v>1-I</c:v>
                </c:pt>
                <c:pt idx="15">
                  <c:v>2-A</c:v>
                </c:pt>
                <c:pt idx="16">
                  <c:v>2-B</c:v>
                </c:pt>
                <c:pt idx="17">
                  <c:v>2-C</c:v>
                </c:pt>
                <c:pt idx="18">
                  <c:v>2-D</c:v>
                </c:pt>
                <c:pt idx="19">
                  <c:v>2-E</c:v>
                </c:pt>
                <c:pt idx="20">
                  <c:v>2-F</c:v>
                </c:pt>
                <c:pt idx="21">
                  <c:v>2-G</c:v>
                </c:pt>
                <c:pt idx="22">
                  <c:v>2-H</c:v>
                </c:pt>
                <c:pt idx="23">
                  <c:v>2-I</c:v>
                </c:pt>
                <c:pt idx="24">
                  <c:v>3-A</c:v>
                </c:pt>
                <c:pt idx="25">
                  <c:v>3-B</c:v>
                </c:pt>
                <c:pt idx="26">
                  <c:v>3-C</c:v>
                </c:pt>
                <c:pt idx="27">
                  <c:v>3-D</c:v>
                </c:pt>
                <c:pt idx="28">
                  <c:v>3-E</c:v>
                </c:pt>
                <c:pt idx="29">
                  <c:v>3-F</c:v>
                </c:pt>
                <c:pt idx="30">
                  <c:v>3-G</c:v>
                </c:pt>
                <c:pt idx="31">
                  <c:v>3-H</c:v>
                </c:pt>
                <c:pt idx="32">
                  <c:v>4-A</c:v>
                </c:pt>
                <c:pt idx="33">
                  <c:v>4-B</c:v>
                </c:pt>
                <c:pt idx="34">
                  <c:v>4-C</c:v>
                </c:pt>
                <c:pt idx="35">
                  <c:v>4-D</c:v>
                </c:pt>
                <c:pt idx="36">
                  <c:v>4-E</c:v>
                </c:pt>
                <c:pt idx="37">
                  <c:v>4-F</c:v>
                </c:pt>
                <c:pt idx="38">
                  <c:v>4-G</c:v>
                </c:pt>
                <c:pt idx="39">
                  <c:v>4-H</c:v>
                </c:pt>
                <c:pt idx="40">
                  <c:v>5-A</c:v>
                </c:pt>
                <c:pt idx="41">
                  <c:v>5-B</c:v>
                </c:pt>
                <c:pt idx="42">
                  <c:v>5-C</c:v>
                </c:pt>
                <c:pt idx="43">
                  <c:v>5-D</c:v>
                </c:pt>
                <c:pt idx="44">
                  <c:v>5-E</c:v>
                </c:pt>
                <c:pt idx="45">
                  <c:v>5-F</c:v>
                </c:pt>
                <c:pt idx="46">
                  <c:v>5-G</c:v>
                </c:pt>
                <c:pt idx="47">
                  <c:v>6-A</c:v>
                </c:pt>
                <c:pt idx="48">
                  <c:v>6-B</c:v>
                </c:pt>
                <c:pt idx="49">
                  <c:v>6-C</c:v>
                </c:pt>
                <c:pt idx="50">
                  <c:v>6-D</c:v>
                </c:pt>
                <c:pt idx="51">
                  <c:v>6-E</c:v>
                </c:pt>
                <c:pt idx="52">
                  <c:v>6-F</c:v>
                </c:pt>
                <c:pt idx="53">
                  <c:v>6-G</c:v>
                </c:pt>
                <c:pt idx="54">
                  <c:v>7-A</c:v>
                </c:pt>
                <c:pt idx="55">
                  <c:v>7-B</c:v>
                </c:pt>
                <c:pt idx="56">
                  <c:v>7-C</c:v>
                </c:pt>
                <c:pt idx="57">
                  <c:v>7-D</c:v>
                </c:pt>
                <c:pt idx="58">
                  <c:v>7-E</c:v>
                </c:pt>
                <c:pt idx="59">
                  <c:v>7-F</c:v>
                </c:pt>
                <c:pt idx="60">
                  <c:v>7-G</c:v>
                </c:pt>
                <c:pt idx="61">
                  <c:v>8-A</c:v>
                </c:pt>
                <c:pt idx="62">
                  <c:v>8-B</c:v>
                </c:pt>
                <c:pt idx="63">
                  <c:v>8-C</c:v>
                </c:pt>
                <c:pt idx="64">
                  <c:v>8-D</c:v>
                </c:pt>
                <c:pt idx="65">
                  <c:v>8-E</c:v>
                </c:pt>
                <c:pt idx="66">
                  <c:v>8-F</c:v>
                </c:pt>
                <c:pt idx="67">
                  <c:v>8-G</c:v>
                </c:pt>
                <c:pt idx="68">
                  <c:v>9-A</c:v>
                </c:pt>
                <c:pt idx="69">
                  <c:v>9-B</c:v>
                </c:pt>
                <c:pt idx="70">
                  <c:v>9-C</c:v>
                </c:pt>
                <c:pt idx="71">
                  <c:v>9-D</c:v>
                </c:pt>
                <c:pt idx="72">
                  <c:v>9-E</c:v>
                </c:pt>
                <c:pt idx="73">
                  <c:v>9-G</c:v>
                </c:pt>
                <c:pt idx="74">
                  <c:v>UKG-A</c:v>
                </c:pt>
                <c:pt idx="75">
                  <c:v>UKG-B</c:v>
                </c:pt>
                <c:pt idx="76">
                  <c:v>UKG-C</c:v>
                </c:pt>
                <c:pt idx="77">
                  <c:v>UKG-D</c:v>
                </c:pt>
                <c:pt idx="78">
                  <c:v>UKG-E</c:v>
                </c:pt>
                <c:pt idx="79">
                  <c:v>UKG-F</c:v>
                </c:pt>
              </c:strCache>
            </c:strRef>
          </c:cat>
          <c:val>
            <c:numRef>
              <c:f>Dashboard!$AD$2:$AD$81</c:f>
              <c:numCache>
                <c:formatCode>General</c:formatCode>
                <c:ptCount val="80"/>
                <c:pt idx="0">
                  <c:v>37</c:v>
                </c:pt>
                <c:pt idx="1">
                  <c:v>9</c:v>
                </c:pt>
                <c:pt idx="2">
                  <c:v>20</c:v>
                </c:pt>
                <c:pt idx="3">
                  <c:v>24</c:v>
                </c:pt>
                <c:pt idx="4">
                  <c:v>12</c:v>
                </c:pt>
                <c:pt idx="5">
                  <c:v>6</c:v>
                </c:pt>
                <c:pt idx="6">
                  <c:v>23</c:v>
                </c:pt>
                <c:pt idx="7">
                  <c:v>31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29</c:v>
                </c:pt>
                <c:pt idx="12">
                  <c:v>26</c:v>
                </c:pt>
                <c:pt idx="13">
                  <c:v>26</c:v>
                </c:pt>
                <c:pt idx="14">
                  <c:v>27</c:v>
                </c:pt>
                <c:pt idx="15">
                  <c:v>28</c:v>
                </c:pt>
                <c:pt idx="16">
                  <c:v>35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  <c:pt idx="20">
                  <c:v>33</c:v>
                </c:pt>
                <c:pt idx="21">
                  <c:v>27</c:v>
                </c:pt>
                <c:pt idx="22">
                  <c:v>29</c:v>
                </c:pt>
                <c:pt idx="23">
                  <c:v>28</c:v>
                </c:pt>
                <c:pt idx="24">
                  <c:v>26</c:v>
                </c:pt>
                <c:pt idx="25">
                  <c:v>24</c:v>
                </c:pt>
                <c:pt idx="26">
                  <c:v>29</c:v>
                </c:pt>
                <c:pt idx="27">
                  <c:v>29</c:v>
                </c:pt>
                <c:pt idx="28">
                  <c:v>32</c:v>
                </c:pt>
                <c:pt idx="29">
                  <c:v>26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33</c:v>
                </c:pt>
                <c:pt idx="34">
                  <c:v>25</c:v>
                </c:pt>
                <c:pt idx="35">
                  <c:v>22</c:v>
                </c:pt>
                <c:pt idx="36">
                  <c:v>23</c:v>
                </c:pt>
                <c:pt idx="37">
                  <c:v>36</c:v>
                </c:pt>
                <c:pt idx="38">
                  <c:v>36</c:v>
                </c:pt>
                <c:pt idx="39">
                  <c:v>22</c:v>
                </c:pt>
                <c:pt idx="40">
                  <c:v>30</c:v>
                </c:pt>
                <c:pt idx="41">
                  <c:v>27</c:v>
                </c:pt>
                <c:pt idx="42">
                  <c:v>25</c:v>
                </c:pt>
                <c:pt idx="43">
                  <c:v>30</c:v>
                </c:pt>
                <c:pt idx="44">
                  <c:v>22</c:v>
                </c:pt>
                <c:pt idx="45">
                  <c:v>22</c:v>
                </c:pt>
                <c:pt idx="46">
                  <c:v>32</c:v>
                </c:pt>
                <c:pt idx="47">
                  <c:v>31</c:v>
                </c:pt>
                <c:pt idx="48">
                  <c:v>30</c:v>
                </c:pt>
                <c:pt idx="49">
                  <c:v>25</c:v>
                </c:pt>
                <c:pt idx="50">
                  <c:v>28</c:v>
                </c:pt>
                <c:pt idx="51">
                  <c:v>28</c:v>
                </c:pt>
                <c:pt idx="52">
                  <c:v>24</c:v>
                </c:pt>
                <c:pt idx="53">
                  <c:v>9</c:v>
                </c:pt>
                <c:pt idx="54">
                  <c:v>16</c:v>
                </c:pt>
                <c:pt idx="55">
                  <c:v>25</c:v>
                </c:pt>
                <c:pt idx="56">
                  <c:v>33</c:v>
                </c:pt>
                <c:pt idx="57">
                  <c:v>38</c:v>
                </c:pt>
                <c:pt idx="58">
                  <c:v>43</c:v>
                </c:pt>
                <c:pt idx="59">
                  <c:v>26</c:v>
                </c:pt>
                <c:pt idx="60">
                  <c:v>11</c:v>
                </c:pt>
                <c:pt idx="61">
                  <c:v>28</c:v>
                </c:pt>
                <c:pt idx="62">
                  <c:v>28</c:v>
                </c:pt>
                <c:pt idx="63">
                  <c:v>21</c:v>
                </c:pt>
                <c:pt idx="64">
                  <c:v>25</c:v>
                </c:pt>
                <c:pt idx="65">
                  <c:v>28</c:v>
                </c:pt>
                <c:pt idx="66">
                  <c:v>26</c:v>
                </c:pt>
                <c:pt idx="67">
                  <c:v>25</c:v>
                </c:pt>
                <c:pt idx="68">
                  <c:v>4</c:v>
                </c:pt>
                <c:pt idx="69">
                  <c:v>7</c:v>
                </c:pt>
                <c:pt idx="70">
                  <c:v>6</c:v>
                </c:pt>
                <c:pt idx="71">
                  <c:v>8</c:v>
                </c:pt>
                <c:pt idx="72">
                  <c:v>9</c:v>
                </c:pt>
                <c:pt idx="73">
                  <c:v>8</c:v>
                </c:pt>
                <c:pt idx="74">
                  <c:v>16</c:v>
                </c:pt>
                <c:pt idx="75">
                  <c:v>20</c:v>
                </c:pt>
                <c:pt idx="76">
                  <c:v>15</c:v>
                </c:pt>
                <c:pt idx="77">
                  <c:v>25</c:v>
                </c:pt>
                <c:pt idx="78">
                  <c:v>32</c:v>
                </c:pt>
                <c:pt idx="79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CE-4681-BC3F-D341EF753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6878792"/>
        <c:axId val="646873216"/>
      </c:lineChart>
      <c:catAx>
        <c:axId val="646878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873216"/>
        <c:crosses val="autoZero"/>
        <c:auto val="1"/>
        <c:lblAlgn val="ctr"/>
        <c:lblOffset val="100"/>
        <c:noMultiLvlLbl val="0"/>
      </c:catAx>
      <c:valAx>
        <c:axId val="64687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878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149038463442921"/>
          <c:y val="0.88642493216054719"/>
          <c:w val="0.22001717715713126"/>
          <c:h val="6.68304874042679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Collection by Class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Collection</c:v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Dashboard!$AA$2:$AA$81</c:f>
              <c:strCache>
                <c:ptCount val="80"/>
                <c:pt idx="0">
                  <c:v>10-A</c:v>
                </c:pt>
                <c:pt idx="1">
                  <c:v>10-B</c:v>
                </c:pt>
                <c:pt idx="2">
                  <c:v>10-C</c:v>
                </c:pt>
                <c:pt idx="3">
                  <c:v>10-D</c:v>
                </c:pt>
                <c:pt idx="4">
                  <c:v>10-E</c:v>
                </c:pt>
                <c:pt idx="5">
                  <c:v>10-F</c:v>
                </c:pt>
                <c:pt idx="6">
                  <c:v>1-A</c:v>
                </c:pt>
                <c:pt idx="7">
                  <c:v>1-B</c:v>
                </c:pt>
                <c:pt idx="8">
                  <c:v>1-C</c:v>
                </c:pt>
                <c:pt idx="9">
                  <c:v>1-D</c:v>
                </c:pt>
                <c:pt idx="10">
                  <c:v>1-E</c:v>
                </c:pt>
                <c:pt idx="11">
                  <c:v>1-F</c:v>
                </c:pt>
                <c:pt idx="12">
                  <c:v>1-G</c:v>
                </c:pt>
                <c:pt idx="13">
                  <c:v>1-H</c:v>
                </c:pt>
                <c:pt idx="14">
                  <c:v>1-I</c:v>
                </c:pt>
                <c:pt idx="15">
                  <c:v>2-A</c:v>
                </c:pt>
                <c:pt idx="16">
                  <c:v>2-B</c:v>
                </c:pt>
                <c:pt idx="17">
                  <c:v>2-C</c:v>
                </c:pt>
                <c:pt idx="18">
                  <c:v>2-D</c:v>
                </c:pt>
                <c:pt idx="19">
                  <c:v>2-E</c:v>
                </c:pt>
                <c:pt idx="20">
                  <c:v>2-F</c:v>
                </c:pt>
                <c:pt idx="21">
                  <c:v>2-G</c:v>
                </c:pt>
                <c:pt idx="22">
                  <c:v>2-H</c:v>
                </c:pt>
                <c:pt idx="23">
                  <c:v>2-I</c:v>
                </c:pt>
                <c:pt idx="24">
                  <c:v>3-A</c:v>
                </c:pt>
                <c:pt idx="25">
                  <c:v>3-B</c:v>
                </c:pt>
                <c:pt idx="26">
                  <c:v>3-C</c:v>
                </c:pt>
                <c:pt idx="27">
                  <c:v>3-D</c:v>
                </c:pt>
                <c:pt idx="28">
                  <c:v>3-E</c:v>
                </c:pt>
                <c:pt idx="29">
                  <c:v>3-F</c:v>
                </c:pt>
                <c:pt idx="30">
                  <c:v>3-G</c:v>
                </c:pt>
                <c:pt idx="31">
                  <c:v>3-H</c:v>
                </c:pt>
                <c:pt idx="32">
                  <c:v>4-A</c:v>
                </c:pt>
                <c:pt idx="33">
                  <c:v>4-B</c:v>
                </c:pt>
                <c:pt idx="34">
                  <c:v>4-C</c:v>
                </c:pt>
                <c:pt idx="35">
                  <c:v>4-D</c:v>
                </c:pt>
                <c:pt idx="36">
                  <c:v>4-E</c:v>
                </c:pt>
                <c:pt idx="37">
                  <c:v>4-F</c:v>
                </c:pt>
                <c:pt idx="38">
                  <c:v>4-G</c:v>
                </c:pt>
                <c:pt idx="39">
                  <c:v>4-H</c:v>
                </c:pt>
                <c:pt idx="40">
                  <c:v>5-A</c:v>
                </c:pt>
                <c:pt idx="41">
                  <c:v>5-B</c:v>
                </c:pt>
                <c:pt idx="42">
                  <c:v>5-C</c:v>
                </c:pt>
                <c:pt idx="43">
                  <c:v>5-D</c:v>
                </c:pt>
                <c:pt idx="44">
                  <c:v>5-E</c:v>
                </c:pt>
                <c:pt idx="45">
                  <c:v>5-F</c:v>
                </c:pt>
                <c:pt idx="46">
                  <c:v>5-G</c:v>
                </c:pt>
                <c:pt idx="47">
                  <c:v>6-A</c:v>
                </c:pt>
                <c:pt idx="48">
                  <c:v>6-B</c:v>
                </c:pt>
                <c:pt idx="49">
                  <c:v>6-C</c:v>
                </c:pt>
                <c:pt idx="50">
                  <c:v>6-D</c:v>
                </c:pt>
                <c:pt idx="51">
                  <c:v>6-E</c:v>
                </c:pt>
                <c:pt idx="52">
                  <c:v>6-F</c:v>
                </c:pt>
                <c:pt idx="53">
                  <c:v>6-G</c:v>
                </c:pt>
                <c:pt idx="54">
                  <c:v>7-A</c:v>
                </c:pt>
                <c:pt idx="55">
                  <c:v>7-B</c:v>
                </c:pt>
                <c:pt idx="56">
                  <c:v>7-C</c:v>
                </c:pt>
                <c:pt idx="57">
                  <c:v>7-D</c:v>
                </c:pt>
                <c:pt idx="58">
                  <c:v>7-E</c:v>
                </c:pt>
                <c:pt idx="59">
                  <c:v>7-F</c:v>
                </c:pt>
                <c:pt idx="60">
                  <c:v>7-G</c:v>
                </c:pt>
                <c:pt idx="61">
                  <c:v>8-A</c:v>
                </c:pt>
                <c:pt idx="62">
                  <c:v>8-B</c:v>
                </c:pt>
                <c:pt idx="63">
                  <c:v>8-C</c:v>
                </c:pt>
                <c:pt idx="64">
                  <c:v>8-D</c:v>
                </c:pt>
                <c:pt idx="65">
                  <c:v>8-E</c:v>
                </c:pt>
                <c:pt idx="66">
                  <c:v>8-F</c:v>
                </c:pt>
                <c:pt idx="67">
                  <c:v>8-G</c:v>
                </c:pt>
                <c:pt idx="68">
                  <c:v>9-A</c:v>
                </c:pt>
                <c:pt idx="69">
                  <c:v>9-B</c:v>
                </c:pt>
                <c:pt idx="70">
                  <c:v>9-C</c:v>
                </c:pt>
                <c:pt idx="71">
                  <c:v>9-D</c:v>
                </c:pt>
                <c:pt idx="72">
                  <c:v>9-E</c:v>
                </c:pt>
                <c:pt idx="73">
                  <c:v>9-G</c:v>
                </c:pt>
                <c:pt idx="74">
                  <c:v>UKG-A</c:v>
                </c:pt>
                <c:pt idx="75">
                  <c:v>UKG-B</c:v>
                </c:pt>
                <c:pt idx="76">
                  <c:v>UKG-C</c:v>
                </c:pt>
                <c:pt idx="77">
                  <c:v>UKG-D</c:v>
                </c:pt>
                <c:pt idx="78">
                  <c:v>UKG-E</c:v>
                </c:pt>
                <c:pt idx="79">
                  <c:v>UKG-F</c:v>
                </c:pt>
              </c:strCache>
            </c:strRef>
          </c:cat>
          <c:val>
            <c:numRef>
              <c:f>Dashboard!$AE$2:$AE$81</c:f>
              <c:numCache>
                <c:formatCode>General</c:formatCode>
                <c:ptCount val="80"/>
                <c:pt idx="0">
                  <c:v>1500</c:v>
                </c:pt>
                <c:pt idx="1">
                  <c:v>0</c:v>
                </c:pt>
                <c:pt idx="2">
                  <c:v>500</c:v>
                </c:pt>
                <c:pt idx="3">
                  <c:v>1000</c:v>
                </c:pt>
                <c:pt idx="4">
                  <c:v>0</c:v>
                </c:pt>
                <c:pt idx="5">
                  <c:v>0</c:v>
                </c:pt>
                <c:pt idx="6">
                  <c:v>13000</c:v>
                </c:pt>
                <c:pt idx="7">
                  <c:v>7500</c:v>
                </c:pt>
                <c:pt idx="8">
                  <c:v>15500</c:v>
                </c:pt>
                <c:pt idx="9">
                  <c:v>9000</c:v>
                </c:pt>
                <c:pt idx="10">
                  <c:v>10000</c:v>
                </c:pt>
                <c:pt idx="11">
                  <c:v>10000</c:v>
                </c:pt>
                <c:pt idx="12">
                  <c:v>13500</c:v>
                </c:pt>
                <c:pt idx="13">
                  <c:v>14000</c:v>
                </c:pt>
                <c:pt idx="14">
                  <c:v>9000</c:v>
                </c:pt>
                <c:pt idx="15">
                  <c:v>14000</c:v>
                </c:pt>
                <c:pt idx="16">
                  <c:v>4000</c:v>
                </c:pt>
                <c:pt idx="17">
                  <c:v>10500</c:v>
                </c:pt>
                <c:pt idx="18">
                  <c:v>10000</c:v>
                </c:pt>
                <c:pt idx="19">
                  <c:v>8500</c:v>
                </c:pt>
                <c:pt idx="20">
                  <c:v>8000</c:v>
                </c:pt>
                <c:pt idx="21">
                  <c:v>10500</c:v>
                </c:pt>
                <c:pt idx="22">
                  <c:v>5000</c:v>
                </c:pt>
                <c:pt idx="23">
                  <c:v>6000</c:v>
                </c:pt>
                <c:pt idx="24">
                  <c:v>21000</c:v>
                </c:pt>
                <c:pt idx="25">
                  <c:v>19000</c:v>
                </c:pt>
                <c:pt idx="26">
                  <c:v>10500</c:v>
                </c:pt>
                <c:pt idx="27">
                  <c:v>11000</c:v>
                </c:pt>
                <c:pt idx="28">
                  <c:v>9500</c:v>
                </c:pt>
                <c:pt idx="29">
                  <c:v>14500</c:v>
                </c:pt>
                <c:pt idx="30">
                  <c:v>6000</c:v>
                </c:pt>
                <c:pt idx="31">
                  <c:v>2000</c:v>
                </c:pt>
                <c:pt idx="32">
                  <c:v>17500</c:v>
                </c:pt>
                <c:pt idx="33">
                  <c:v>5500</c:v>
                </c:pt>
                <c:pt idx="34">
                  <c:v>11500</c:v>
                </c:pt>
                <c:pt idx="35">
                  <c:v>6000</c:v>
                </c:pt>
                <c:pt idx="36">
                  <c:v>11500</c:v>
                </c:pt>
                <c:pt idx="37">
                  <c:v>4500</c:v>
                </c:pt>
                <c:pt idx="38">
                  <c:v>2000</c:v>
                </c:pt>
                <c:pt idx="39">
                  <c:v>0</c:v>
                </c:pt>
                <c:pt idx="40">
                  <c:v>12000</c:v>
                </c:pt>
                <c:pt idx="41">
                  <c:v>12000</c:v>
                </c:pt>
                <c:pt idx="42">
                  <c:v>11000</c:v>
                </c:pt>
                <c:pt idx="43">
                  <c:v>11500</c:v>
                </c:pt>
                <c:pt idx="44">
                  <c:v>15500</c:v>
                </c:pt>
                <c:pt idx="45">
                  <c:v>11000</c:v>
                </c:pt>
                <c:pt idx="46">
                  <c:v>8000</c:v>
                </c:pt>
                <c:pt idx="47">
                  <c:v>5000</c:v>
                </c:pt>
                <c:pt idx="48">
                  <c:v>10000</c:v>
                </c:pt>
                <c:pt idx="49">
                  <c:v>2500</c:v>
                </c:pt>
                <c:pt idx="50">
                  <c:v>6000</c:v>
                </c:pt>
                <c:pt idx="51">
                  <c:v>7500</c:v>
                </c:pt>
                <c:pt idx="52">
                  <c:v>13000</c:v>
                </c:pt>
                <c:pt idx="53">
                  <c:v>3500</c:v>
                </c:pt>
                <c:pt idx="54">
                  <c:v>13000</c:v>
                </c:pt>
                <c:pt idx="55">
                  <c:v>8500</c:v>
                </c:pt>
                <c:pt idx="56">
                  <c:v>8500</c:v>
                </c:pt>
                <c:pt idx="57">
                  <c:v>5000</c:v>
                </c:pt>
                <c:pt idx="58">
                  <c:v>5000</c:v>
                </c:pt>
                <c:pt idx="59">
                  <c:v>3000</c:v>
                </c:pt>
                <c:pt idx="60">
                  <c:v>4500</c:v>
                </c:pt>
                <c:pt idx="61">
                  <c:v>6000</c:v>
                </c:pt>
                <c:pt idx="62">
                  <c:v>5500</c:v>
                </c:pt>
                <c:pt idx="63">
                  <c:v>10500</c:v>
                </c:pt>
                <c:pt idx="64">
                  <c:v>4500</c:v>
                </c:pt>
                <c:pt idx="65">
                  <c:v>3000</c:v>
                </c:pt>
                <c:pt idx="66">
                  <c:v>9000</c:v>
                </c:pt>
                <c:pt idx="67">
                  <c:v>9000</c:v>
                </c:pt>
                <c:pt idx="68">
                  <c:v>2500</c:v>
                </c:pt>
                <c:pt idx="69">
                  <c:v>1000</c:v>
                </c:pt>
                <c:pt idx="70">
                  <c:v>1500</c:v>
                </c:pt>
                <c:pt idx="71">
                  <c:v>1500</c:v>
                </c:pt>
                <c:pt idx="72">
                  <c:v>4000</c:v>
                </c:pt>
                <c:pt idx="73">
                  <c:v>1500</c:v>
                </c:pt>
                <c:pt idx="74">
                  <c:v>19000</c:v>
                </c:pt>
                <c:pt idx="75">
                  <c:v>15000</c:v>
                </c:pt>
                <c:pt idx="76">
                  <c:v>26000</c:v>
                </c:pt>
                <c:pt idx="77">
                  <c:v>10000</c:v>
                </c:pt>
                <c:pt idx="78">
                  <c:v>4000</c:v>
                </c:pt>
                <c:pt idx="79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27-495F-B6F3-F24C6F10A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7538112"/>
        <c:axId val="697542704"/>
      </c:barChart>
      <c:catAx>
        <c:axId val="697538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97542704"/>
        <c:crosses val="autoZero"/>
        <c:auto val="1"/>
        <c:lblAlgn val="ctr"/>
        <c:lblOffset val="100"/>
        <c:noMultiLvlLbl val="0"/>
      </c:catAx>
      <c:valAx>
        <c:axId val="6975427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97538112"/>
        <c:crosses val="autoZero"/>
        <c:crossBetween val="between"/>
      </c:valAx>
    </c:plotArea>
    <c:legend>
      <c:legendPos val="r"/>
      <c:overlay val="0"/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Collection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Daily Trend</c:v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numRef>
              <c:f>Dashboard!$AG$2:$AG$60</c:f>
              <c:numCache>
                <c:formatCode>d\-mmm</c:formatCode>
                <c:ptCount val="59"/>
                <c:pt idx="0">
                  <c:v>46209</c:v>
                </c:pt>
                <c:pt idx="1">
                  <c:v>46210</c:v>
                </c:pt>
                <c:pt idx="2">
                  <c:v>46225</c:v>
                </c:pt>
                <c:pt idx="3">
                  <c:v>46226</c:v>
                </c:pt>
                <c:pt idx="4">
                  <c:v>46227</c:v>
                </c:pt>
                <c:pt idx="5">
                  <c:v>46228</c:v>
                </c:pt>
                <c:pt idx="6">
                  <c:v>46229</c:v>
                </c:pt>
                <c:pt idx="7">
                  <c:v>46230</c:v>
                </c:pt>
                <c:pt idx="8">
                  <c:v>46231</c:v>
                </c:pt>
                <c:pt idx="9">
                  <c:v>46232</c:v>
                </c:pt>
                <c:pt idx="10">
                  <c:v>46233</c:v>
                </c:pt>
                <c:pt idx="11">
                  <c:v>46234</c:v>
                </c:pt>
                <c:pt idx="12">
                  <c:v>46235</c:v>
                </c:pt>
                <c:pt idx="13">
                  <c:v>46236</c:v>
                </c:pt>
                <c:pt idx="14">
                  <c:v>46237</c:v>
                </c:pt>
                <c:pt idx="15">
                  <c:v>46238</c:v>
                </c:pt>
                <c:pt idx="16">
                  <c:v>46239</c:v>
                </c:pt>
                <c:pt idx="17">
                  <c:v>46240</c:v>
                </c:pt>
                <c:pt idx="18">
                  <c:v>46241</c:v>
                </c:pt>
                <c:pt idx="19">
                  <c:v>46242</c:v>
                </c:pt>
                <c:pt idx="20">
                  <c:v>46243</c:v>
                </c:pt>
                <c:pt idx="21">
                  <c:v>46244</c:v>
                </c:pt>
                <c:pt idx="22">
                  <c:v>46245</c:v>
                </c:pt>
                <c:pt idx="23">
                  <c:v>46246</c:v>
                </c:pt>
                <c:pt idx="24">
                  <c:v>46247</c:v>
                </c:pt>
                <c:pt idx="25">
                  <c:v>46248</c:v>
                </c:pt>
                <c:pt idx="26">
                  <c:v>46249</c:v>
                </c:pt>
                <c:pt idx="27">
                  <c:v>46251</c:v>
                </c:pt>
                <c:pt idx="28">
                  <c:v>46252</c:v>
                </c:pt>
                <c:pt idx="29">
                  <c:v>46253</c:v>
                </c:pt>
                <c:pt idx="30">
                  <c:v>46254</c:v>
                </c:pt>
                <c:pt idx="31">
                  <c:v>46255</c:v>
                </c:pt>
                <c:pt idx="32">
                  <c:v>46256</c:v>
                </c:pt>
                <c:pt idx="33">
                  <c:v>46257</c:v>
                </c:pt>
                <c:pt idx="34">
                  <c:v>46258</c:v>
                </c:pt>
                <c:pt idx="35">
                  <c:v>46259</c:v>
                </c:pt>
                <c:pt idx="36">
                  <c:v>46260</c:v>
                </c:pt>
                <c:pt idx="37">
                  <c:v>46261</c:v>
                </c:pt>
                <c:pt idx="38">
                  <c:v>46263</c:v>
                </c:pt>
                <c:pt idx="39">
                  <c:v>46264</c:v>
                </c:pt>
                <c:pt idx="40">
                  <c:v>46265</c:v>
                </c:pt>
                <c:pt idx="41">
                  <c:v>46266</c:v>
                </c:pt>
                <c:pt idx="42">
                  <c:v>46267</c:v>
                </c:pt>
                <c:pt idx="43">
                  <c:v>46268</c:v>
                </c:pt>
                <c:pt idx="44">
                  <c:v>46269</c:v>
                </c:pt>
                <c:pt idx="45">
                  <c:v>46270</c:v>
                </c:pt>
                <c:pt idx="46">
                  <c:v>46271</c:v>
                </c:pt>
                <c:pt idx="47">
                  <c:v>46272</c:v>
                </c:pt>
                <c:pt idx="48">
                  <c:v>46273</c:v>
                </c:pt>
                <c:pt idx="49">
                  <c:v>46274</c:v>
                </c:pt>
                <c:pt idx="50">
                  <c:v>46275</c:v>
                </c:pt>
                <c:pt idx="51">
                  <c:v>46276</c:v>
                </c:pt>
                <c:pt idx="52">
                  <c:v>46277</c:v>
                </c:pt>
                <c:pt idx="53">
                  <c:v>46279</c:v>
                </c:pt>
                <c:pt idx="54">
                  <c:v>46280</c:v>
                </c:pt>
                <c:pt idx="55">
                  <c:v>46281</c:v>
                </c:pt>
                <c:pt idx="56">
                  <c:v>46282</c:v>
                </c:pt>
                <c:pt idx="57">
                  <c:v>46283</c:v>
                </c:pt>
                <c:pt idx="58">
                  <c:v>46286</c:v>
                </c:pt>
              </c:numCache>
            </c:numRef>
          </c:cat>
          <c:val>
            <c:numRef>
              <c:f>Dashboard!$AH$2:$AH$60</c:f>
              <c:numCache>
                <c:formatCode>General</c:formatCode>
                <c:ptCount val="59"/>
                <c:pt idx="0">
                  <c:v>1000</c:v>
                </c:pt>
                <c:pt idx="1">
                  <c:v>500</c:v>
                </c:pt>
                <c:pt idx="2">
                  <c:v>2500</c:v>
                </c:pt>
                <c:pt idx="3">
                  <c:v>2000</c:v>
                </c:pt>
                <c:pt idx="4">
                  <c:v>2000</c:v>
                </c:pt>
                <c:pt idx="5">
                  <c:v>5500</c:v>
                </c:pt>
                <c:pt idx="6">
                  <c:v>4000</c:v>
                </c:pt>
                <c:pt idx="7">
                  <c:v>5500</c:v>
                </c:pt>
                <c:pt idx="8">
                  <c:v>5500</c:v>
                </c:pt>
                <c:pt idx="9">
                  <c:v>7500</c:v>
                </c:pt>
                <c:pt idx="10">
                  <c:v>8000</c:v>
                </c:pt>
                <c:pt idx="11">
                  <c:v>8000</c:v>
                </c:pt>
                <c:pt idx="12">
                  <c:v>59500</c:v>
                </c:pt>
                <c:pt idx="13">
                  <c:v>500</c:v>
                </c:pt>
                <c:pt idx="14">
                  <c:v>27000</c:v>
                </c:pt>
                <c:pt idx="15">
                  <c:v>14500</c:v>
                </c:pt>
                <c:pt idx="16">
                  <c:v>24500</c:v>
                </c:pt>
                <c:pt idx="17">
                  <c:v>35000</c:v>
                </c:pt>
                <c:pt idx="18">
                  <c:v>14000</c:v>
                </c:pt>
                <c:pt idx="19">
                  <c:v>4500</c:v>
                </c:pt>
                <c:pt idx="20">
                  <c:v>3500</c:v>
                </c:pt>
                <c:pt idx="21">
                  <c:v>1500</c:v>
                </c:pt>
                <c:pt idx="22">
                  <c:v>14000</c:v>
                </c:pt>
                <c:pt idx="23">
                  <c:v>17000</c:v>
                </c:pt>
                <c:pt idx="24">
                  <c:v>12000</c:v>
                </c:pt>
                <c:pt idx="25">
                  <c:v>8500</c:v>
                </c:pt>
                <c:pt idx="26">
                  <c:v>1000</c:v>
                </c:pt>
                <c:pt idx="27">
                  <c:v>8000</c:v>
                </c:pt>
                <c:pt idx="28">
                  <c:v>6500</c:v>
                </c:pt>
                <c:pt idx="29">
                  <c:v>7500</c:v>
                </c:pt>
                <c:pt idx="30">
                  <c:v>8500</c:v>
                </c:pt>
                <c:pt idx="31">
                  <c:v>13500</c:v>
                </c:pt>
                <c:pt idx="32">
                  <c:v>13000</c:v>
                </c:pt>
                <c:pt idx="33">
                  <c:v>4000</c:v>
                </c:pt>
                <c:pt idx="34">
                  <c:v>12500</c:v>
                </c:pt>
                <c:pt idx="35">
                  <c:v>7000</c:v>
                </c:pt>
                <c:pt idx="36">
                  <c:v>500</c:v>
                </c:pt>
                <c:pt idx="37">
                  <c:v>5000</c:v>
                </c:pt>
                <c:pt idx="38">
                  <c:v>4500</c:v>
                </c:pt>
                <c:pt idx="39">
                  <c:v>2000</c:v>
                </c:pt>
                <c:pt idx="40">
                  <c:v>10500</c:v>
                </c:pt>
                <c:pt idx="41">
                  <c:v>15000</c:v>
                </c:pt>
                <c:pt idx="42">
                  <c:v>20500</c:v>
                </c:pt>
                <c:pt idx="43">
                  <c:v>17500</c:v>
                </c:pt>
                <c:pt idx="44">
                  <c:v>10500</c:v>
                </c:pt>
                <c:pt idx="45">
                  <c:v>49500</c:v>
                </c:pt>
                <c:pt idx="46">
                  <c:v>4000</c:v>
                </c:pt>
                <c:pt idx="47">
                  <c:v>16500</c:v>
                </c:pt>
                <c:pt idx="48">
                  <c:v>12500</c:v>
                </c:pt>
                <c:pt idx="49">
                  <c:v>33000</c:v>
                </c:pt>
                <c:pt idx="50">
                  <c:v>18000</c:v>
                </c:pt>
                <c:pt idx="51">
                  <c:v>10000</c:v>
                </c:pt>
                <c:pt idx="52">
                  <c:v>5500</c:v>
                </c:pt>
                <c:pt idx="53">
                  <c:v>4500</c:v>
                </c:pt>
                <c:pt idx="54">
                  <c:v>11000</c:v>
                </c:pt>
                <c:pt idx="55">
                  <c:v>15000</c:v>
                </c:pt>
                <c:pt idx="56">
                  <c:v>5000</c:v>
                </c:pt>
                <c:pt idx="57">
                  <c:v>11000</c:v>
                </c:pt>
                <c:pt idx="58">
                  <c:v>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AD-4B19-A0F3-2A77DA3CB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646870592"/>
        <c:axId val="646874528"/>
      </c:lineChart>
      <c:dateAx>
        <c:axId val="64687059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874528"/>
        <c:crosses val="autoZero"/>
        <c:auto val="1"/>
        <c:lblOffset val="100"/>
        <c:baseTimeUnit val="days"/>
      </c:dateAx>
      <c:valAx>
        <c:axId val="646874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870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Monthly Collection vs Transactions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246340698794042"/>
          <c:y val="0.14155252969069473"/>
          <c:w val="0.62335854532945956"/>
          <c:h val="0.74089093835646236"/>
        </c:manualLayout>
      </c:layout>
      <c:barChart>
        <c:barDir val="col"/>
        <c:grouping val="clustered"/>
        <c:varyColors val="0"/>
        <c:ser>
          <c:idx val="0"/>
          <c:order val="0"/>
          <c:tx>
            <c:v>Total Collection</c:v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Dashboard!$AJ$2:$AJ$4</c:f>
              <c:strCache>
                <c:ptCount val="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</c:strCache>
            </c:strRef>
          </c:cat>
          <c:val>
            <c:numRef>
              <c:f>Dashboard!$AK$2:$AK$4</c:f>
              <c:numCache>
                <c:formatCode>General</c:formatCode>
                <c:ptCount val="3"/>
                <c:pt idx="0">
                  <c:v>52000</c:v>
                </c:pt>
                <c:pt idx="1">
                  <c:v>340000</c:v>
                </c:pt>
                <c:pt idx="2">
                  <c:v>264000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62-47AF-8312-C5C08CD8F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6871576"/>
        <c:axId val="646876168"/>
      </c:barChart>
      <c:lineChart>
        <c:grouping val="standard"/>
        <c:varyColors val="0"/>
        <c:ser>
          <c:idx val="1"/>
          <c:order val="1"/>
          <c:tx>
            <c:v>Transactions</c:v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Dashboard!$AJ$2:$AJ$4</c:f>
              <c:strCache>
                <c:ptCount val="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</c:strCache>
            </c:strRef>
          </c:cat>
          <c:val>
            <c:numRef>
              <c:f>Dashboard!$AL$2:$AL$4</c:f>
              <c:numCache>
                <c:formatCode>General</c:formatCode>
                <c:ptCount val="3"/>
                <c:pt idx="0">
                  <c:v>104</c:v>
                </c:pt>
                <c:pt idx="1">
                  <c:v>674</c:v>
                </c:pt>
                <c:pt idx="2">
                  <c:v>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62-47AF-8312-C5C08CD8F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7491864"/>
        <c:axId val="697535160"/>
      </c:lineChart>
      <c:catAx>
        <c:axId val="646871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46876168"/>
        <c:crosses val="autoZero"/>
        <c:auto val="1"/>
        <c:lblAlgn val="ctr"/>
        <c:lblOffset val="100"/>
        <c:noMultiLvlLbl val="0"/>
      </c:catAx>
      <c:valAx>
        <c:axId val="6468761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46871576"/>
        <c:crosses val="autoZero"/>
        <c:crossBetween val="between"/>
      </c:valAx>
      <c:valAx>
        <c:axId val="69753516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697491864"/>
        <c:crosses val="max"/>
        <c:crossBetween val="between"/>
      </c:valAx>
      <c:catAx>
        <c:axId val="6974918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97535160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0.52436641777861825"/>
          <c:y val="0.9161527820072215"/>
          <c:w val="0.47563358222138191"/>
          <c:h val="8.2500891808413454E-2"/>
        </c:manualLayout>
      </c:layout>
      <c:overlay val="0"/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18143</xdr:colOff>
      <xdr:row>21</xdr:row>
      <xdr:rowOff>34925</xdr:rowOff>
    </xdr:from>
    <xdr:to>
      <xdr:col>42</xdr:col>
      <xdr:colOff>217716</xdr:colOff>
      <xdr:row>45</xdr:row>
      <xdr:rowOff>136525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8C03F6-F48C-00FA-02C0-71C7186C45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126999</xdr:colOff>
      <xdr:row>47</xdr:row>
      <xdr:rowOff>28575</xdr:rowOff>
    </xdr:from>
    <xdr:to>
      <xdr:col>42</xdr:col>
      <xdr:colOff>340179</xdr:colOff>
      <xdr:row>71</xdr:row>
      <xdr:rowOff>130175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3EB11F-8674-748E-58B0-5F00A84DC4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31749</xdr:colOff>
      <xdr:row>0</xdr:row>
      <xdr:rowOff>40821</xdr:rowOff>
    </xdr:from>
    <xdr:to>
      <xdr:col>42</xdr:col>
      <xdr:colOff>204108</xdr:colOff>
      <xdr:row>21</xdr:row>
      <xdr:rowOff>13605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9D45E6-0994-1F96-66A3-671A95BAC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802820</xdr:colOff>
      <xdr:row>2</xdr:row>
      <xdr:rowOff>81643</xdr:rowOff>
    </xdr:from>
    <xdr:to>
      <xdr:col>18</xdr:col>
      <xdr:colOff>653143</xdr:colOff>
      <xdr:row>21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DFF50F9-4A95-8E58-70A2-E40D99A26D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291212</xdr:colOff>
      <xdr:row>7</xdr:row>
      <xdr:rowOff>27214</xdr:rowOff>
    </xdr:from>
    <xdr:to>
      <xdr:col>3</xdr:col>
      <xdr:colOff>149678</xdr:colOff>
      <xdr:row>10</xdr:row>
      <xdr:rowOff>212274</xdr:rowOff>
    </xdr:to>
    <xdr:cxnSp macro="">
      <xdr:nvCxnSpPr>
        <xdr:cNvPr id="8" name="Connector: Elbow 7">
          <a:extLst>
            <a:ext uri="{FF2B5EF4-FFF2-40B4-BE49-F238E27FC236}">
              <a16:creationId xmlns:a16="http://schemas.microsoft.com/office/drawing/2014/main" id="{FC46783C-A16D-5E45-2E58-6A38A4A74556}"/>
            </a:ext>
          </a:extLst>
        </xdr:cNvPr>
        <xdr:cNvCxnSpPr/>
      </xdr:nvCxnSpPr>
      <xdr:spPr>
        <a:xfrm rot="5400000">
          <a:off x="1951272" y="1782547"/>
          <a:ext cx="960667" cy="74293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40825</xdr:colOff>
      <xdr:row>6</xdr:row>
      <xdr:rowOff>244930</xdr:rowOff>
    </xdr:from>
    <xdr:to>
      <xdr:col>5</xdr:col>
      <xdr:colOff>95242</xdr:colOff>
      <xdr:row>11</xdr:row>
      <xdr:rowOff>231321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10F8409E-1754-42CE-CC49-FA5C03C3249A}"/>
            </a:ext>
          </a:extLst>
        </xdr:cNvPr>
        <xdr:cNvCxnSpPr/>
      </xdr:nvCxnSpPr>
      <xdr:spPr>
        <a:xfrm rot="16200000" flipH="1">
          <a:off x="3408588" y="1802953"/>
          <a:ext cx="1279069" cy="93888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775610</xdr:colOff>
      <xdr:row>6</xdr:row>
      <xdr:rowOff>244927</xdr:rowOff>
    </xdr:from>
    <xdr:to>
      <xdr:col>7</xdr:col>
      <xdr:colOff>734787</xdr:colOff>
      <xdr:row>13</xdr:row>
      <xdr:rowOff>244926</xdr:rowOff>
    </xdr:to>
    <xdr:cxnSp macro="">
      <xdr:nvCxnSpPr>
        <xdr:cNvPr id="36" name="Connector: Elbow 35">
          <a:extLst>
            <a:ext uri="{FF2B5EF4-FFF2-40B4-BE49-F238E27FC236}">
              <a16:creationId xmlns:a16="http://schemas.microsoft.com/office/drawing/2014/main" id="{17F81529-D6B4-1B4E-9AE8-9B31701BD633}"/>
            </a:ext>
          </a:extLst>
        </xdr:cNvPr>
        <xdr:cNvCxnSpPr/>
      </xdr:nvCxnSpPr>
      <xdr:spPr>
        <a:xfrm rot="16200000" flipH="1">
          <a:off x="5157109" y="1673678"/>
          <a:ext cx="1809749" cy="172810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4</xdr:row>
      <xdr:rowOff>244929</xdr:rowOff>
    </xdr:from>
    <xdr:to>
      <xdr:col>9</xdr:col>
      <xdr:colOff>775607</xdr:colOff>
      <xdr:row>7</xdr:row>
      <xdr:rowOff>81644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7305DCD-9D8D-3F98-6AE4-5E3A486AB7C7}"/>
            </a:ext>
          </a:extLst>
        </xdr:cNvPr>
        <xdr:cNvSpPr/>
      </xdr:nvSpPr>
      <xdr:spPr>
        <a:xfrm>
          <a:off x="6191250" y="1115786"/>
          <a:ext cx="2544536" cy="612322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16330</xdr:colOff>
      <xdr:row>2</xdr:row>
      <xdr:rowOff>2721</xdr:rowOff>
    </xdr:from>
    <xdr:to>
      <xdr:col>7</xdr:col>
      <xdr:colOff>870858</xdr:colOff>
      <xdr:row>3</xdr:row>
      <xdr:rowOff>231322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AF8B10B-66BF-0821-62A3-1AFBDFFF24E4}"/>
            </a:ext>
          </a:extLst>
        </xdr:cNvPr>
        <xdr:cNvSpPr/>
      </xdr:nvSpPr>
      <xdr:spPr>
        <a:xfrm>
          <a:off x="4438651" y="356507"/>
          <a:ext cx="2623457" cy="487136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2</xdr:row>
      <xdr:rowOff>-1</xdr:rowOff>
    </xdr:from>
    <xdr:to>
      <xdr:col>2</xdr:col>
      <xdr:colOff>13607</xdr:colOff>
      <xdr:row>10</xdr:row>
      <xdr:rowOff>13607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C19C6BA1-2F67-1AE4-7C8F-8ABCD6C31635}"/>
            </a:ext>
          </a:extLst>
        </xdr:cNvPr>
        <xdr:cNvSpPr/>
      </xdr:nvSpPr>
      <xdr:spPr>
        <a:xfrm>
          <a:off x="0" y="353785"/>
          <a:ext cx="1782536" cy="2081893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870856</xdr:colOff>
      <xdr:row>13</xdr:row>
      <xdr:rowOff>247649</xdr:rowOff>
    </xdr:from>
    <xdr:to>
      <xdr:col>9</xdr:col>
      <xdr:colOff>13606</xdr:colOff>
      <xdr:row>15</xdr:row>
      <xdr:rowOff>244928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72605B7-1867-CF40-C934-0FCFEC3D1E2D}"/>
            </a:ext>
          </a:extLst>
        </xdr:cNvPr>
        <xdr:cNvSpPr/>
      </xdr:nvSpPr>
      <xdr:spPr>
        <a:xfrm>
          <a:off x="6177642" y="3445328"/>
          <a:ext cx="1796143" cy="5143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2728</xdr:colOff>
      <xdr:row>12</xdr:row>
      <xdr:rowOff>5446</xdr:rowOff>
    </xdr:from>
    <xdr:to>
      <xdr:col>6</xdr:col>
      <xdr:colOff>29942</xdr:colOff>
      <xdr:row>13</xdr:row>
      <xdr:rowOff>244928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6D3CFAD-1A51-18EB-3DF7-DDA214191DBD}"/>
            </a:ext>
          </a:extLst>
        </xdr:cNvPr>
        <xdr:cNvSpPr/>
      </xdr:nvSpPr>
      <xdr:spPr>
        <a:xfrm>
          <a:off x="3540585" y="2944589"/>
          <a:ext cx="1796143" cy="498018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5456</xdr:colOff>
      <xdr:row>10</xdr:row>
      <xdr:rowOff>239489</xdr:rowOff>
    </xdr:from>
    <xdr:to>
      <xdr:col>3</xdr:col>
      <xdr:colOff>32670</xdr:colOff>
      <xdr:row>13</xdr:row>
      <xdr:rowOff>13606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FC3B5253-53FC-AAB4-F2CA-608197CBD2BC}"/>
            </a:ext>
          </a:extLst>
        </xdr:cNvPr>
        <xdr:cNvSpPr/>
      </xdr:nvSpPr>
      <xdr:spPr>
        <a:xfrm>
          <a:off x="889920" y="2661560"/>
          <a:ext cx="1796143" cy="54972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870857</xdr:colOff>
      <xdr:row>5</xdr:row>
      <xdr:rowOff>0</xdr:rowOff>
    </xdr:from>
    <xdr:to>
      <xdr:col>6</xdr:col>
      <xdr:colOff>0</xdr:colOff>
      <xdr:row>6</xdr:row>
      <xdr:rowOff>244928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A8EF0F33-B603-133C-467C-70FBB48C44CE}"/>
            </a:ext>
          </a:extLst>
        </xdr:cNvPr>
        <xdr:cNvSpPr/>
      </xdr:nvSpPr>
      <xdr:spPr>
        <a:xfrm>
          <a:off x="2639786" y="1129393"/>
          <a:ext cx="2667000" cy="50346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17</xdr:row>
      <xdr:rowOff>13606</xdr:rowOff>
    </xdr:from>
    <xdr:to>
      <xdr:col>9</xdr:col>
      <xdr:colOff>789214</xdr:colOff>
      <xdr:row>20</xdr:row>
      <xdr:rowOff>163285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AD704BA7-CF50-4202-B944-20B28041558B}"/>
            </a:ext>
          </a:extLst>
        </xdr:cNvPr>
        <xdr:cNvSpPr/>
      </xdr:nvSpPr>
      <xdr:spPr>
        <a:xfrm>
          <a:off x="0" y="4163785"/>
          <a:ext cx="8749393" cy="680357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latin typeface="Bahnschrift" panose="020B0502040204020203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5</xdr:row>
      <xdr:rowOff>38100</xdr:rowOff>
    </xdr:from>
    <xdr:to>
      <xdr:col>9</xdr:col>
      <xdr:colOff>1295400</xdr:colOff>
      <xdr:row>8</xdr:row>
      <xdr:rowOff>28575</xdr:rowOff>
    </xdr:to>
    <xdr:sp macro="[0]!RectangleRoundedCorners1_Click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25F6BD0-05E9-F230-2B38-3F30A465A3E4}"/>
            </a:ext>
          </a:extLst>
        </xdr:cNvPr>
        <xdr:cNvSpPr/>
      </xdr:nvSpPr>
      <xdr:spPr>
        <a:xfrm>
          <a:off x="9734550" y="1114425"/>
          <a:ext cx="1123950" cy="5429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r>
            <a:rPr lang="en-US" sz="1100"/>
            <a:t>GENERATE</a:t>
          </a:r>
          <a:r>
            <a:rPr lang="en-US" sz="1100" baseline="0"/>
            <a:t> DASHBOARD</a:t>
          </a:r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D567656-116B-4C84-97FD-42D0B12C1A6E}" name="ClasswiseUniqueStudents7" displayName="ClasswiseUniqueStudents7" ref="A1:E895" totalsRowShown="0">
  <autoFilter ref="A1:E895" xr:uid="{8D567656-116B-4C84-97FD-42D0B12C1A6E}"/>
  <tableColumns count="5">
    <tableColumn id="1" xr3:uid="{3EAB6853-D4D6-4A70-BCE8-B3AF44F6A92B}" name="Sr No"/>
    <tableColumn id="2" xr3:uid="{7216CF36-6714-402B-9F60-8241B0F0E432}" name="Class" dataDxfId="16"/>
    <tableColumn id="3" xr3:uid="{36FC9F99-8ECB-4E2B-A85D-F3EE15BE05C9}" name="Unique Student Name"/>
    <tableColumn id="4" xr3:uid="{4B084911-BCEF-4AA4-8348-D86A133D6E09}" name="Total Count" dataDxfId="15">
      <calculatedColumnFormula>COUNTIFS('Raw Entries'!B:B,ClasswiseUniqueStudents7[[#This Row],[Unique Student Name]],'Raw Entries'!C:C,ClasswiseUniqueStudents7[[#This Row],[Class]])</calculatedColumnFormula>
    </tableColumn>
    <tableColumn id="5" xr3:uid="{A55B6875-2CB3-49AC-B9C6-B77E0C1E8228}" name="PAID" dataDxfId="14" totalsRowDxfId="13">
      <calculatedColumnFormula>ClasswiseUniqueStudents7[[#This Row],[Total Count]]*500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lassTotals" displayName="ClassTotals" ref="A2:D84" totalsRowShown="0">
  <tableColumns count="4">
    <tableColumn id="1" xr3:uid="{00000000-0010-0000-0200-000001000000}" name="Class"/>
    <tableColumn id="2" xr3:uid="{00000000-0010-0000-0200-000002000000}" name="Unique Students">
      <calculatedColumnFormula>COUNTIF('Classwise Summary'!B:B,A3)</calculatedColumnFormula>
    </tableColumn>
    <tableColumn id="3" xr3:uid="{00000000-0010-0000-0200-000003000000}" name="Total Paid Entries">
      <calculatedColumnFormula>SUMIF('Raw Entries'!C:C,A3,'Raw Entries'!E:E)/500</calculatedColumnFormula>
    </tableColumn>
    <tableColumn id="4" xr3:uid="{00000000-0010-0000-0200-000004000000}" name="Total Fe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AD1DFDD-8FAA-470E-8DB6-9A9F6F670015}" name="Table26" displayName="Table26" ref="A1:J1446" totalsRowShown="0" headerRowDxfId="12">
  <autoFilter ref="A1:J1446" xr:uid="{FAD1DFDD-8FAA-470E-8DB6-9A9F6F670015}">
    <filterColumn colId="8">
      <filters>
        <filter val="NOT FOUND"/>
      </filters>
    </filterColumn>
  </autoFilter>
  <tableColumns count="10">
    <tableColumn id="1" xr3:uid="{3150C34D-594F-4A1E-93D3-F4B99E3A6066}" name="Sr No" totalsRowDxfId="11"/>
    <tableColumn id="2" xr3:uid="{131906F6-5311-45E2-8EE0-A59D524F8E71}" name="Name" totalsRowDxfId="10"/>
    <tableColumn id="3" xr3:uid="{E5494D2E-CD7F-4315-9955-AEE60C87D0FD}" name="Class" totalsRowDxfId="9"/>
    <tableColumn id="4" xr3:uid="{3B90B114-D038-45CB-BC85-0EB54DA51D65}" name="Month" totalsRowDxfId="8">
      <calculatedColumnFormula array="1">TEXT(Table26[[#This Row],[Date]],"MMMM")</calculatedColumnFormula>
    </tableColumn>
    <tableColumn id="5" xr3:uid="{A8DD87AC-63E0-49FC-8751-C892EDF189E7}" name="Fee" totalsRowDxfId="7"/>
    <tableColumn id="6" xr3:uid="{17474B4E-2894-4DF0-B883-A9775AC694EE}" name="Collection Type" totalsRowDxfId="6"/>
    <tableColumn id="7" xr3:uid="{A211344E-4B30-4D8C-B53D-F6DAA2A6B12F}" name="Receipt No" totalsRowDxfId="5"/>
    <tableColumn id="8" xr3:uid="{0F561673-137C-4148-89F8-5F97AC7ACE66}" name="Date" dataDxfId="4" totalsRowDxfId="3"/>
    <tableColumn id="11" xr3:uid="{BAB7459C-A01C-4E80-94F0-36B4FAE8AD24}" name="BOOK NUMBER" dataDxfId="2" totalsRowDxfId="1">
      <calculatedColumnFormula array="1">IFERROR(INDEX('ALL STUDENTS'!$A:$A, MATCH(1, ('ALL STUDENTS'!$B:$B = B2) * ('ALL STUDENTS'!$C:$C = C2), 0)), "NOT FOUND")</calculatedColumnFormula>
    </tableColumn>
    <tableColumn id="9" xr3:uid="{F75BF949-612C-414A-9365-5E5D286D9ECA}" name="extra" totalsRowDxfId="0">
      <calculatedColumnFormula>IF(Table26[[#This Row],[Fee]]&gt;500,Table26[[#This Row],[Fee]],"")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628B7E7-253D-4543-8138-F90B53058655}" name="Table4" displayName="Table4" ref="A1:G2602" totalsRowShown="0" tableBorderDxfId="24">
  <autoFilter ref="A1:G2602" xr:uid="{C628B7E7-253D-4543-8138-F90B53058655}"/>
  <tableColumns count="7">
    <tableColumn id="1" xr3:uid="{7F48A375-7632-4CBF-80D5-AC147E6DD918}" name="BOOK No." dataDxfId="23"/>
    <tableColumn id="2" xr3:uid="{75984502-64C4-44C3-8F2D-1637E68D8D66}" name="Name" dataDxfId="22"/>
    <tableColumn id="3" xr3:uid="{F260A4E0-4E9B-477B-9E91-238FD9B6DA36}" name="Class" dataDxfId="21"/>
    <tableColumn id="4" xr3:uid="{27B5673F-677A-4E3E-A8CB-77B3F3D8DE1B}" name="INSTALLMENT" dataDxfId="20">
      <calculatedColumnFormula>COUNTIFS('Raw Entries'!B:B,Table4[[#This Row],[Name]],'Raw Entries'!I:I,Table4[[#This Row],[BOOK No.]])</calculatedColumnFormula>
    </tableColumn>
    <tableColumn id="5" xr3:uid="{57182D6E-C2C1-485A-9E8F-262CA258EB88}" name="1 INSTALL" dataDxfId="19">
      <calculatedColumnFormula array="1">IF(OR(Table4[[#This Row],[INSTALLMENT]]=1,Table4[[#This Row],[INSTALLMENT]]=2,Table4[[#This Row],[INSTALLMENT]]=3),1,0)</calculatedColumnFormula>
    </tableColumn>
    <tableColumn id="6" xr3:uid="{1D746D5C-E353-4EFE-B91F-A757B70E1FAC}" name="2 INSTALL" dataDxfId="18">
      <calculatedColumnFormula>IF(OR(Table4[[#This Row],[INSTALLMENT]]=2,Table4[[#This Row],[INSTALLMENT]]=3),2,0)</calculatedColumnFormula>
    </tableColumn>
    <tableColumn id="7" xr3:uid="{B4AEA1D4-39CA-47C9-9D53-DAE7D87AA1FF}" name="3 INSTALL" dataDxfId="17">
      <calculatedColumnFormula>IF(OR(Table4[[#This Row],[INSTALLMENT]]=3),3,0)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9ABCB-D9CA-405E-AEEB-A33B44C9E7EF}">
  <sheetPr codeName="Sheet7"/>
  <dimension ref="A1:AL81"/>
  <sheetViews>
    <sheetView showGridLines="0" tabSelected="1" zoomScale="70" zoomScaleNormal="70" workbookViewId="0">
      <selection activeCell="D15" sqref="D15"/>
    </sheetView>
  </sheetViews>
  <sheetFormatPr defaultRowHeight="14.25"/>
  <cols>
    <col min="1" max="13" width="11.625" customWidth="1"/>
    <col min="27" max="32" width="0" hidden="1" customWidth="1"/>
    <col min="33" max="33" width="0" style="39" hidden="1" customWidth="1"/>
    <col min="34" max="38" width="0" hidden="1" customWidth="1"/>
  </cols>
  <sheetData>
    <row r="1" spans="1:38" ht="14.25" customHeight="1">
      <c r="A1" s="50" t="s">
        <v>3962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AA1" t="s">
        <v>1</v>
      </c>
      <c r="AB1" t="s">
        <v>3968</v>
      </c>
      <c r="AC1" t="s">
        <v>3969</v>
      </c>
      <c r="AD1" t="s">
        <v>3970</v>
      </c>
      <c r="AE1" t="s">
        <v>3971</v>
      </c>
      <c r="AG1" s="39" t="s">
        <v>588</v>
      </c>
      <c r="AH1" t="s">
        <v>3971</v>
      </c>
      <c r="AJ1" t="s">
        <v>584</v>
      </c>
      <c r="AK1" t="s">
        <v>3971</v>
      </c>
      <c r="AL1" t="s">
        <v>3972</v>
      </c>
    </row>
    <row r="2" spans="1:38" ht="14.25" customHeight="1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AA2" t="s">
        <v>577</v>
      </c>
      <c r="AB2">
        <v>38</v>
      </c>
      <c r="AC2">
        <v>1</v>
      </c>
      <c r="AD2">
        <v>37</v>
      </c>
      <c r="AE2">
        <v>1500</v>
      </c>
      <c r="AG2" s="39">
        <v>46209</v>
      </c>
      <c r="AH2">
        <v>1000</v>
      </c>
      <c r="AJ2" t="s">
        <v>3977</v>
      </c>
      <c r="AK2">
        <v>52000</v>
      </c>
      <c r="AL2">
        <v>104</v>
      </c>
    </row>
    <row r="3" spans="1:38" ht="20.25">
      <c r="A3" s="48" t="s">
        <v>3967</v>
      </c>
      <c r="B3" s="49"/>
      <c r="F3" s="48" t="s">
        <v>3963</v>
      </c>
      <c r="G3" s="48"/>
      <c r="H3" s="48"/>
      <c r="I3" s="40"/>
      <c r="J3" s="40"/>
      <c r="AA3" t="s">
        <v>1886</v>
      </c>
      <c r="AB3">
        <v>9</v>
      </c>
      <c r="AC3">
        <v>0</v>
      </c>
      <c r="AD3">
        <v>9</v>
      </c>
      <c r="AE3">
        <v>0</v>
      </c>
      <c r="AG3" s="39">
        <v>46210</v>
      </c>
      <c r="AH3">
        <v>500</v>
      </c>
      <c r="AJ3" t="s">
        <v>590</v>
      </c>
      <c r="AK3">
        <v>340000</v>
      </c>
      <c r="AL3">
        <v>674</v>
      </c>
    </row>
    <row r="4" spans="1:38" ht="20.25">
      <c r="A4" s="47">
        <f>COUNTA('ALL STUDENTS'!A:A)-1</f>
        <v>2601</v>
      </c>
      <c r="B4" s="49"/>
      <c r="F4" s="47">
        <f>COUNTA('ALL STUDENTS'!A:A)-1</f>
        <v>2601</v>
      </c>
      <c r="G4" s="49"/>
      <c r="H4" s="49"/>
      <c r="I4" s="40"/>
      <c r="J4" s="40"/>
      <c r="AA4" t="s">
        <v>579</v>
      </c>
      <c r="AB4">
        <v>21</v>
      </c>
      <c r="AC4">
        <v>1</v>
      </c>
      <c r="AD4">
        <v>20</v>
      </c>
      <c r="AE4">
        <v>500</v>
      </c>
      <c r="AG4" s="39">
        <v>46225</v>
      </c>
      <c r="AH4">
        <v>2500</v>
      </c>
      <c r="AJ4" t="s">
        <v>3978</v>
      </c>
      <c r="AK4">
        <v>264000</v>
      </c>
      <c r="AL4">
        <v>522</v>
      </c>
    </row>
    <row r="5" spans="1:38" ht="20.25">
      <c r="A5" s="48" t="s">
        <v>3973</v>
      </c>
      <c r="B5" s="49"/>
      <c r="C5" s="40"/>
      <c r="D5" s="40"/>
      <c r="E5" s="40"/>
      <c r="I5" s="40"/>
      <c r="J5" s="40"/>
      <c r="AA5" t="s">
        <v>582</v>
      </c>
      <c r="AB5">
        <v>25</v>
      </c>
      <c r="AC5">
        <v>1</v>
      </c>
      <c r="AD5">
        <v>24</v>
      </c>
      <c r="AE5">
        <v>1000</v>
      </c>
      <c r="AG5" s="39">
        <v>46226</v>
      </c>
      <c r="AH5">
        <v>2000</v>
      </c>
    </row>
    <row r="6" spans="1:38" ht="20.25">
      <c r="A6" s="47">
        <f>COUNTIF('Raw Entries'!I:I, "NOT FOUND")</f>
        <v>68</v>
      </c>
      <c r="B6" s="49"/>
      <c r="C6" s="40"/>
      <c r="D6" s="48" t="s">
        <v>3965</v>
      </c>
      <c r="E6" s="49"/>
      <c r="F6" s="49"/>
      <c r="G6" s="40"/>
      <c r="H6" s="48" t="s">
        <v>3966</v>
      </c>
      <c r="I6" s="49"/>
      <c r="J6" s="49"/>
      <c r="AA6" t="s">
        <v>1887</v>
      </c>
      <c r="AB6">
        <v>12</v>
      </c>
      <c r="AC6">
        <v>0</v>
      </c>
      <c r="AD6">
        <v>12</v>
      </c>
      <c r="AE6">
        <v>0</v>
      </c>
      <c r="AG6" s="39">
        <v>46227</v>
      </c>
      <c r="AH6">
        <v>2000</v>
      </c>
    </row>
    <row r="7" spans="1:38" ht="20.25">
      <c r="A7" s="48" t="s">
        <v>3964</v>
      </c>
      <c r="B7" s="48"/>
      <c r="C7" s="40"/>
      <c r="D7" s="47">
        <f>COUNTA('Classwise Summary'!B:B)-1</f>
        <v>696</v>
      </c>
      <c r="E7" s="49"/>
      <c r="F7" s="49"/>
      <c r="G7" s="40"/>
      <c r="H7" s="47">
        <f>F4-B13</f>
        <v>1906</v>
      </c>
      <c r="I7" s="49"/>
      <c r="J7" s="49"/>
      <c r="AA7" t="s">
        <v>1888</v>
      </c>
      <c r="AB7">
        <v>6</v>
      </c>
      <c r="AC7">
        <v>0</v>
      </c>
      <c r="AD7">
        <v>6</v>
      </c>
      <c r="AE7">
        <v>0</v>
      </c>
      <c r="AG7" s="39">
        <v>46228</v>
      </c>
      <c r="AH7">
        <v>5500</v>
      </c>
    </row>
    <row r="8" spans="1:38" ht="20.25">
      <c r="A8" s="47">
        <f>COUNTA('Raw Entries'!G:G)-1</f>
        <v>1445</v>
      </c>
      <c r="B8" s="47"/>
      <c r="C8" s="40"/>
      <c r="D8" s="40"/>
      <c r="E8" s="40"/>
      <c r="F8" s="40"/>
      <c r="G8" s="40"/>
      <c r="H8" s="40"/>
      <c r="I8" s="40"/>
      <c r="J8" s="40"/>
      <c r="AA8" t="s">
        <v>68</v>
      </c>
      <c r="AB8">
        <v>36</v>
      </c>
      <c r="AC8">
        <v>13</v>
      </c>
      <c r="AD8">
        <v>23</v>
      </c>
      <c r="AE8">
        <v>13000</v>
      </c>
      <c r="AG8" s="39">
        <v>46229</v>
      </c>
      <c r="AH8">
        <v>4000</v>
      </c>
    </row>
    <row r="9" spans="1:38" ht="20.25">
      <c r="A9" s="67" t="s">
        <v>1898</v>
      </c>
      <c r="B9" s="67"/>
      <c r="D9" s="40"/>
      <c r="E9" s="40"/>
      <c r="F9" s="40"/>
      <c r="G9" s="40"/>
      <c r="H9" s="40"/>
      <c r="I9" s="40"/>
      <c r="J9" s="40"/>
      <c r="AA9" t="s">
        <v>80</v>
      </c>
      <c r="AB9">
        <v>38</v>
      </c>
      <c r="AC9">
        <v>7</v>
      </c>
      <c r="AD9">
        <v>31</v>
      </c>
      <c r="AE9">
        <v>7500</v>
      </c>
      <c r="AG9" s="39">
        <v>46230</v>
      </c>
      <c r="AH9">
        <v>5500</v>
      </c>
    </row>
    <row r="10" spans="1:38" ht="20.25">
      <c r="A10" s="47">
        <f>SUM('Classwise Summary'!E2:E894)</f>
        <v>661000</v>
      </c>
      <c r="B10" s="47"/>
      <c r="C10" s="65"/>
      <c r="D10" s="40"/>
      <c r="E10" s="40"/>
      <c r="F10" s="40"/>
      <c r="G10" s="40"/>
      <c r="H10" s="40"/>
      <c r="I10" s="40"/>
      <c r="J10" s="40"/>
      <c r="AA10" t="s">
        <v>87</v>
      </c>
      <c r="AB10">
        <v>38</v>
      </c>
      <c r="AC10">
        <v>14</v>
      </c>
      <c r="AD10">
        <v>24</v>
      </c>
      <c r="AE10">
        <v>15500</v>
      </c>
      <c r="AG10" s="39">
        <v>46231</v>
      </c>
      <c r="AH10">
        <v>5500</v>
      </c>
    </row>
    <row r="11" spans="1:38" ht="20.25">
      <c r="A11" s="40"/>
      <c r="B11" s="40"/>
      <c r="C11" s="40"/>
      <c r="J11" s="40"/>
      <c r="AA11" t="s">
        <v>102</v>
      </c>
      <c r="AB11">
        <v>38</v>
      </c>
      <c r="AC11">
        <v>12</v>
      </c>
      <c r="AD11">
        <v>26</v>
      </c>
      <c r="AE11">
        <v>9000</v>
      </c>
      <c r="AG11" s="39">
        <v>46232</v>
      </c>
      <c r="AH11">
        <v>7500</v>
      </c>
    </row>
    <row r="12" spans="1:38" ht="20.25">
      <c r="A12" s="40"/>
      <c r="B12" s="48" t="s">
        <v>3974</v>
      </c>
      <c r="C12" s="49"/>
      <c r="J12" s="40"/>
      <c r="AA12" t="s">
        <v>113</v>
      </c>
      <c r="AB12">
        <v>38</v>
      </c>
      <c r="AC12">
        <v>11</v>
      </c>
      <c r="AD12">
        <v>27</v>
      </c>
      <c r="AE12">
        <v>10000</v>
      </c>
      <c r="AG12" s="39">
        <v>46233</v>
      </c>
      <c r="AH12">
        <v>8000</v>
      </c>
    </row>
    <row r="13" spans="1:38" ht="20.25">
      <c r="B13" s="47">
        <f>'Classwise Summary'!G8</f>
        <v>695</v>
      </c>
      <c r="C13" s="49"/>
      <c r="E13" s="48" t="s">
        <v>3975</v>
      </c>
      <c r="F13" s="49"/>
      <c r="AA13" t="s">
        <v>119</v>
      </c>
      <c r="AB13">
        <v>39</v>
      </c>
      <c r="AC13">
        <v>10</v>
      </c>
      <c r="AD13">
        <v>29</v>
      </c>
      <c r="AE13">
        <v>10000</v>
      </c>
      <c r="AG13" s="39">
        <v>46234</v>
      </c>
      <c r="AH13">
        <v>8000</v>
      </c>
    </row>
    <row r="14" spans="1:38" ht="20.25">
      <c r="E14" s="47">
        <f>'Classwise Summary'!H8</f>
        <v>426</v>
      </c>
      <c r="F14" s="49"/>
      <c r="AA14" t="s">
        <v>128</v>
      </c>
      <c r="AB14">
        <v>39</v>
      </c>
      <c r="AC14">
        <v>13</v>
      </c>
      <c r="AD14">
        <v>26</v>
      </c>
      <c r="AE14">
        <v>13500</v>
      </c>
      <c r="AG14" s="39">
        <v>46235</v>
      </c>
      <c r="AH14">
        <v>59500</v>
      </c>
    </row>
    <row r="15" spans="1:38" ht="20.25">
      <c r="H15" s="48" t="s">
        <v>3976</v>
      </c>
      <c r="I15" s="49"/>
      <c r="AA15" t="s">
        <v>138</v>
      </c>
      <c r="AB15">
        <v>38</v>
      </c>
      <c r="AC15">
        <v>12</v>
      </c>
      <c r="AD15">
        <v>26</v>
      </c>
      <c r="AE15">
        <v>14000</v>
      </c>
      <c r="AG15" s="39">
        <v>46236</v>
      </c>
      <c r="AH15">
        <v>500</v>
      </c>
    </row>
    <row r="16" spans="1:38" ht="20.25">
      <c r="H16" s="47">
        <f>'Classwise Summary'!I8</f>
        <v>269</v>
      </c>
      <c r="I16" s="49"/>
      <c r="AA16" t="s">
        <v>149</v>
      </c>
      <c r="AB16">
        <v>37</v>
      </c>
      <c r="AC16">
        <v>10</v>
      </c>
      <c r="AD16">
        <v>27</v>
      </c>
      <c r="AE16">
        <v>9000</v>
      </c>
      <c r="AG16" s="39">
        <v>46237</v>
      </c>
      <c r="AH16">
        <v>27000</v>
      </c>
    </row>
    <row r="17" spans="1:34">
      <c r="E17" s="43"/>
      <c r="AA17" t="s">
        <v>159</v>
      </c>
      <c r="AB17">
        <v>40</v>
      </c>
      <c r="AC17">
        <v>12</v>
      </c>
      <c r="AD17">
        <v>28</v>
      </c>
      <c r="AE17">
        <v>14000</v>
      </c>
      <c r="AG17" s="39">
        <v>46238</v>
      </c>
      <c r="AH17">
        <v>14500</v>
      </c>
    </row>
    <row r="18" spans="1:34" ht="14.25" customHeight="1">
      <c r="A18" s="48" t="s">
        <v>1898</v>
      </c>
      <c r="B18" s="48"/>
      <c r="C18" s="48"/>
      <c r="D18" s="48"/>
      <c r="E18" s="48"/>
      <c r="F18" s="48"/>
      <c r="G18" s="48"/>
      <c r="H18" s="48"/>
      <c r="I18" s="48"/>
      <c r="J18" s="48"/>
      <c r="K18" t="s">
        <v>4149</v>
      </c>
      <c r="AA18" t="s">
        <v>171</v>
      </c>
      <c r="AB18">
        <v>40</v>
      </c>
      <c r="AC18">
        <v>5</v>
      </c>
      <c r="AD18">
        <v>35</v>
      </c>
      <c r="AE18">
        <v>4000</v>
      </c>
      <c r="AG18" s="39">
        <v>46239</v>
      </c>
      <c r="AH18">
        <v>24500</v>
      </c>
    </row>
    <row r="19" spans="1:34" ht="14.25" customHeight="1">
      <c r="A19" s="48"/>
      <c r="B19" s="48"/>
      <c r="C19" s="48"/>
      <c r="D19" s="48"/>
      <c r="E19" s="48"/>
      <c r="F19" s="48"/>
      <c r="G19" s="48"/>
      <c r="H19" s="48"/>
      <c r="I19" s="48"/>
      <c r="J19" s="48"/>
      <c r="AA19" t="s">
        <v>175</v>
      </c>
      <c r="AB19">
        <v>40</v>
      </c>
      <c r="AC19">
        <v>12</v>
      </c>
      <c r="AD19">
        <v>28</v>
      </c>
      <c r="AE19">
        <v>10500</v>
      </c>
      <c r="AG19" s="39">
        <v>46240</v>
      </c>
      <c r="AH19">
        <v>35000</v>
      </c>
    </row>
    <row r="20" spans="1:34" ht="14.25" customHeight="1">
      <c r="A20" s="66">
        <f>A10</f>
        <v>661000</v>
      </c>
      <c r="B20" s="66"/>
      <c r="C20" s="66"/>
      <c r="D20" s="66"/>
      <c r="E20" s="66"/>
      <c r="F20" s="66"/>
      <c r="G20" s="66"/>
      <c r="H20" s="66"/>
      <c r="I20" s="66"/>
      <c r="J20" s="66"/>
      <c r="AA20" t="s">
        <v>185</v>
      </c>
      <c r="AB20">
        <v>40</v>
      </c>
      <c r="AC20">
        <v>11</v>
      </c>
      <c r="AD20">
        <v>29</v>
      </c>
      <c r="AE20">
        <v>10000</v>
      </c>
      <c r="AG20" s="39">
        <v>46241</v>
      </c>
      <c r="AH20">
        <v>14000</v>
      </c>
    </row>
    <row r="21" spans="1:34">
      <c r="A21" s="66"/>
      <c r="B21" s="66"/>
      <c r="C21" s="66"/>
      <c r="D21" s="66"/>
      <c r="E21" s="66"/>
      <c r="F21" s="66"/>
      <c r="G21" s="66"/>
      <c r="H21" s="66"/>
      <c r="I21" s="66"/>
      <c r="J21" s="66"/>
      <c r="AA21" t="s">
        <v>195</v>
      </c>
      <c r="AB21">
        <v>40</v>
      </c>
      <c r="AC21">
        <v>10</v>
      </c>
      <c r="AD21">
        <v>30</v>
      </c>
      <c r="AE21">
        <v>8500</v>
      </c>
      <c r="AG21" s="39">
        <v>46242</v>
      </c>
      <c r="AH21">
        <v>4500</v>
      </c>
    </row>
    <row r="22" spans="1:34">
      <c r="AA22" t="s">
        <v>205</v>
      </c>
      <c r="AB22">
        <v>39</v>
      </c>
      <c r="AC22">
        <v>6</v>
      </c>
      <c r="AD22">
        <v>33</v>
      </c>
      <c r="AE22">
        <v>8000</v>
      </c>
      <c r="AG22" s="39">
        <v>46243</v>
      </c>
      <c r="AH22">
        <v>3500</v>
      </c>
    </row>
    <row r="23" spans="1:34">
      <c r="AA23" t="s">
        <v>211</v>
      </c>
      <c r="AB23">
        <v>38</v>
      </c>
      <c r="AC23">
        <v>11</v>
      </c>
      <c r="AD23">
        <v>27</v>
      </c>
      <c r="AE23">
        <v>10500</v>
      </c>
      <c r="AG23" s="39">
        <v>46244</v>
      </c>
      <c r="AH23">
        <v>1500</v>
      </c>
    </row>
    <row r="24" spans="1:34">
      <c r="AA24" t="s">
        <v>221</v>
      </c>
      <c r="AB24">
        <v>35</v>
      </c>
      <c r="AC24">
        <v>6</v>
      </c>
      <c r="AD24">
        <v>29</v>
      </c>
      <c r="AE24">
        <v>5000</v>
      </c>
      <c r="AG24" s="39">
        <v>46245</v>
      </c>
      <c r="AH24">
        <v>14000</v>
      </c>
    </row>
    <row r="25" spans="1:34">
      <c r="AA25" t="s">
        <v>227</v>
      </c>
      <c r="AB25">
        <v>35</v>
      </c>
      <c r="AC25">
        <v>7</v>
      </c>
      <c r="AD25">
        <v>28</v>
      </c>
      <c r="AE25">
        <v>6000</v>
      </c>
      <c r="AG25" s="39">
        <v>46246</v>
      </c>
      <c r="AH25">
        <v>17000</v>
      </c>
    </row>
    <row r="26" spans="1:34">
      <c r="AA26" t="s">
        <v>232</v>
      </c>
      <c r="AB26">
        <v>36</v>
      </c>
      <c r="AC26">
        <v>10</v>
      </c>
      <c r="AD26">
        <v>26</v>
      </c>
      <c r="AE26">
        <v>21000</v>
      </c>
      <c r="AG26" s="39">
        <v>46247</v>
      </c>
      <c r="AH26">
        <v>12000</v>
      </c>
    </row>
    <row r="27" spans="1:34">
      <c r="AA27" t="s">
        <v>252</v>
      </c>
      <c r="AB27">
        <v>39</v>
      </c>
      <c r="AC27">
        <v>15</v>
      </c>
      <c r="AD27">
        <v>24</v>
      </c>
      <c r="AE27">
        <v>19000</v>
      </c>
      <c r="AG27" s="39">
        <v>46248</v>
      </c>
      <c r="AH27">
        <v>8500</v>
      </c>
    </row>
    <row r="28" spans="1:34">
      <c r="AA28" t="s">
        <v>265</v>
      </c>
      <c r="AB28">
        <v>38</v>
      </c>
      <c r="AC28">
        <v>9</v>
      </c>
      <c r="AD28">
        <v>29</v>
      </c>
      <c r="AE28">
        <v>10500</v>
      </c>
      <c r="AG28" s="39">
        <v>46249</v>
      </c>
      <c r="AH28">
        <v>1000</v>
      </c>
    </row>
    <row r="29" spans="1:34">
      <c r="AA29" t="s">
        <v>273</v>
      </c>
      <c r="AB29">
        <v>38</v>
      </c>
      <c r="AC29">
        <v>9</v>
      </c>
      <c r="AD29">
        <v>29</v>
      </c>
      <c r="AE29">
        <v>11000</v>
      </c>
      <c r="AG29" s="39">
        <v>46251</v>
      </c>
      <c r="AH29">
        <v>8000</v>
      </c>
    </row>
    <row r="30" spans="1:34">
      <c r="AA30" t="s">
        <v>286</v>
      </c>
      <c r="AB30">
        <v>39</v>
      </c>
      <c r="AC30">
        <v>7</v>
      </c>
      <c r="AD30">
        <v>32</v>
      </c>
      <c r="AE30">
        <v>9500</v>
      </c>
      <c r="AG30" s="39">
        <v>46252</v>
      </c>
      <c r="AH30">
        <v>6500</v>
      </c>
    </row>
    <row r="31" spans="1:34">
      <c r="AA31" t="s">
        <v>294</v>
      </c>
      <c r="AB31">
        <v>36</v>
      </c>
      <c r="AC31">
        <v>10</v>
      </c>
      <c r="AD31">
        <v>26</v>
      </c>
      <c r="AE31">
        <v>14500</v>
      </c>
      <c r="AG31" s="39">
        <v>46253</v>
      </c>
      <c r="AH31">
        <v>7500</v>
      </c>
    </row>
    <row r="32" spans="1:34">
      <c r="AA32" t="s">
        <v>299</v>
      </c>
      <c r="AB32">
        <v>37</v>
      </c>
      <c r="AC32">
        <v>7</v>
      </c>
      <c r="AD32">
        <v>30</v>
      </c>
      <c r="AE32">
        <v>6000</v>
      </c>
      <c r="AG32" s="39">
        <v>46254</v>
      </c>
      <c r="AH32">
        <v>8500</v>
      </c>
    </row>
    <row r="33" spans="27:34">
      <c r="AA33" t="s">
        <v>303</v>
      </c>
      <c r="AB33">
        <v>31</v>
      </c>
      <c r="AC33">
        <v>1</v>
      </c>
      <c r="AD33">
        <v>30</v>
      </c>
      <c r="AE33">
        <v>2000</v>
      </c>
      <c r="AG33" s="39">
        <v>46255</v>
      </c>
      <c r="AH33">
        <v>13500</v>
      </c>
    </row>
    <row r="34" spans="27:34">
      <c r="AA34" t="s">
        <v>304</v>
      </c>
      <c r="AB34">
        <v>39</v>
      </c>
      <c r="AC34">
        <v>9</v>
      </c>
      <c r="AD34">
        <v>30</v>
      </c>
      <c r="AE34">
        <v>17500</v>
      </c>
      <c r="AG34" s="39">
        <v>46256</v>
      </c>
      <c r="AH34">
        <v>13000</v>
      </c>
    </row>
    <row r="35" spans="27:34">
      <c r="AA35" t="s">
        <v>320</v>
      </c>
      <c r="AB35">
        <v>40</v>
      </c>
      <c r="AC35">
        <v>7</v>
      </c>
      <c r="AD35">
        <v>33</v>
      </c>
      <c r="AE35">
        <v>5500</v>
      </c>
      <c r="AG35" s="39">
        <v>46257</v>
      </c>
      <c r="AH35">
        <v>4000</v>
      </c>
    </row>
    <row r="36" spans="27:34">
      <c r="AA36" t="s">
        <v>324</v>
      </c>
      <c r="AB36">
        <v>38</v>
      </c>
      <c r="AC36">
        <v>13</v>
      </c>
      <c r="AD36">
        <v>25</v>
      </c>
      <c r="AE36">
        <v>11500</v>
      </c>
      <c r="AG36" s="39">
        <v>46258</v>
      </c>
      <c r="AH36">
        <v>12500</v>
      </c>
    </row>
    <row r="37" spans="27:34">
      <c r="AA37" t="s">
        <v>334</v>
      </c>
      <c r="AB37">
        <v>26</v>
      </c>
      <c r="AC37">
        <v>4</v>
      </c>
      <c r="AD37">
        <v>22</v>
      </c>
      <c r="AE37">
        <v>6000</v>
      </c>
      <c r="AG37" s="39">
        <v>46259</v>
      </c>
      <c r="AH37">
        <v>7000</v>
      </c>
    </row>
    <row r="38" spans="27:34">
      <c r="AA38" t="s">
        <v>340</v>
      </c>
      <c r="AB38">
        <v>35</v>
      </c>
      <c r="AC38">
        <v>12</v>
      </c>
      <c r="AD38">
        <v>23</v>
      </c>
      <c r="AE38">
        <v>11500</v>
      </c>
      <c r="AG38" s="39">
        <v>46260</v>
      </c>
      <c r="AH38">
        <v>500</v>
      </c>
    </row>
    <row r="39" spans="27:34">
      <c r="AA39" t="s">
        <v>351</v>
      </c>
      <c r="AB39">
        <v>41</v>
      </c>
      <c r="AC39">
        <v>5</v>
      </c>
      <c r="AD39">
        <v>36</v>
      </c>
      <c r="AE39">
        <v>4500</v>
      </c>
      <c r="AG39" s="39">
        <v>46261</v>
      </c>
      <c r="AH39">
        <v>5000</v>
      </c>
    </row>
    <row r="40" spans="27:34">
      <c r="AA40" t="s">
        <v>581</v>
      </c>
      <c r="AB40">
        <v>38</v>
      </c>
      <c r="AC40">
        <v>2</v>
      </c>
      <c r="AD40">
        <v>36</v>
      </c>
      <c r="AE40">
        <v>2000</v>
      </c>
      <c r="AG40" s="39">
        <v>46263</v>
      </c>
      <c r="AH40">
        <v>4500</v>
      </c>
    </row>
    <row r="41" spans="27:34">
      <c r="AA41" t="s">
        <v>3846</v>
      </c>
      <c r="AB41">
        <v>22</v>
      </c>
      <c r="AC41">
        <v>0</v>
      </c>
      <c r="AD41">
        <v>22</v>
      </c>
      <c r="AE41">
        <v>0</v>
      </c>
      <c r="AG41" s="39">
        <v>46264</v>
      </c>
      <c r="AH41">
        <v>2000</v>
      </c>
    </row>
    <row r="42" spans="27:34">
      <c r="AA42" t="s">
        <v>356</v>
      </c>
      <c r="AB42">
        <v>43</v>
      </c>
      <c r="AC42">
        <v>13</v>
      </c>
      <c r="AD42">
        <v>30</v>
      </c>
      <c r="AE42">
        <v>12000</v>
      </c>
      <c r="AG42" s="39">
        <v>46265</v>
      </c>
      <c r="AH42">
        <v>10500</v>
      </c>
    </row>
    <row r="43" spans="27:34">
      <c r="AA43" t="s">
        <v>366</v>
      </c>
      <c r="AB43">
        <v>39</v>
      </c>
      <c r="AC43">
        <v>12</v>
      </c>
      <c r="AD43">
        <v>27</v>
      </c>
      <c r="AE43">
        <v>12000</v>
      </c>
      <c r="AG43" s="39">
        <v>46266</v>
      </c>
      <c r="AH43">
        <v>15000</v>
      </c>
    </row>
    <row r="44" spans="27:34">
      <c r="AA44" t="s">
        <v>374</v>
      </c>
      <c r="AB44">
        <v>38</v>
      </c>
      <c r="AC44">
        <v>13</v>
      </c>
      <c r="AD44">
        <v>25</v>
      </c>
      <c r="AE44">
        <v>11000</v>
      </c>
      <c r="AG44" s="39">
        <v>46267</v>
      </c>
      <c r="AH44">
        <v>20500</v>
      </c>
    </row>
    <row r="45" spans="27:34">
      <c r="AA45" t="s">
        <v>386</v>
      </c>
      <c r="AB45">
        <v>42</v>
      </c>
      <c r="AC45">
        <v>12</v>
      </c>
      <c r="AD45">
        <v>30</v>
      </c>
      <c r="AE45">
        <v>11500</v>
      </c>
      <c r="AG45" s="39">
        <v>46268</v>
      </c>
      <c r="AH45">
        <v>17500</v>
      </c>
    </row>
    <row r="46" spans="27:34">
      <c r="AA46" t="s">
        <v>397</v>
      </c>
      <c r="AB46">
        <v>39</v>
      </c>
      <c r="AC46">
        <v>17</v>
      </c>
      <c r="AD46">
        <v>22</v>
      </c>
      <c r="AE46">
        <v>15500</v>
      </c>
      <c r="AG46" s="39">
        <v>46269</v>
      </c>
      <c r="AH46">
        <v>10500</v>
      </c>
    </row>
    <row r="47" spans="27:34">
      <c r="AA47" t="s">
        <v>409</v>
      </c>
      <c r="AB47">
        <v>31</v>
      </c>
      <c r="AC47">
        <v>9</v>
      </c>
      <c r="AD47">
        <v>22</v>
      </c>
      <c r="AE47">
        <v>11000</v>
      </c>
      <c r="AG47" s="39">
        <v>46270</v>
      </c>
      <c r="AH47">
        <v>49500</v>
      </c>
    </row>
    <row r="48" spans="27:34">
      <c r="AA48" t="s">
        <v>415</v>
      </c>
      <c r="AB48">
        <v>41</v>
      </c>
      <c r="AC48">
        <v>9</v>
      </c>
      <c r="AD48">
        <v>32</v>
      </c>
      <c r="AE48">
        <v>8000</v>
      </c>
      <c r="AG48" s="39">
        <v>46271</v>
      </c>
      <c r="AH48">
        <v>4000</v>
      </c>
    </row>
    <row r="49" spans="27:34">
      <c r="AA49" t="s">
        <v>421</v>
      </c>
      <c r="AB49">
        <v>38</v>
      </c>
      <c r="AC49">
        <v>7</v>
      </c>
      <c r="AD49">
        <v>31</v>
      </c>
      <c r="AE49">
        <v>5000</v>
      </c>
      <c r="AG49" s="39">
        <v>46272</v>
      </c>
      <c r="AH49">
        <v>16500</v>
      </c>
    </row>
    <row r="50" spans="27:34">
      <c r="AA50" t="s">
        <v>429</v>
      </c>
      <c r="AB50">
        <v>39</v>
      </c>
      <c r="AC50">
        <v>9</v>
      </c>
      <c r="AD50">
        <v>30</v>
      </c>
      <c r="AE50">
        <v>10000</v>
      </c>
      <c r="AG50" s="39">
        <v>46273</v>
      </c>
      <c r="AH50">
        <v>12500</v>
      </c>
    </row>
    <row r="51" spans="27:34">
      <c r="AA51" t="s">
        <v>436</v>
      </c>
      <c r="AB51">
        <v>28</v>
      </c>
      <c r="AC51">
        <v>3</v>
      </c>
      <c r="AD51">
        <v>25</v>
      </c>
      <c r="AE51">
        <v>2500</v>
      </c>
      <c r="AG51" s="39">
        <v>46274</v>
      </c>
      <c r="AH51">
        <v>33000</v>
      </c>
    </row>
    <row r="52" spans="27:34">
      <c r="AA52" t="s">
        <v>440</v>
      </c>
      <c r="AB52">
        <v>35</v>
      </c>
      <c r="AC52">
        <v>7</v>
      </c>
      <c r="AD52">
        <v>28</v>
      </c>
      <c r="AE52">
        <v>6000</v>
      </c>
      <c r="AG52" s="39">
        <v>46275</v>
      </c>
      <c r="AH52">
        <v>18000</v>
      </c>
    </row>
    <row r="53" spans="27:34">
      <c r="AA53" t="s">
        <v>447</v>
      </c>
      <c r="AB53">
        <v>34</v>
      </c>
      <c r="AC53">
        <v>6</v>
      </c>
      <c r="AD53">
        <v>28</v>
      </c>
      <c r="AE53">
        <v>7500</v>
      </c>
      <c r="AG53" s="39">
        <v>46276</v>
      </c>
      <c r="AH53">
        <v>10000</v>
      </c>
    </row>
    <row r="54" spans="27:34">
      <c r="AA54" t="s">
        <v>453</v>
      </c>
      <c r="AB54">
        <v>36</v>
      </c>
      <c r="AC54">
        <v>12</v>
      </c>
      <c r="AD54">
        <v>24</v>
      </c>
      <c r="AE54">
        <v>13000</v>
      </c>
      <c r="AG54" s="39">
        <v>46277</v>
      </c>
      <c r="AH54">
        <v>5500</v>
      </c>
    </row>
    <row r="55" spans="27:34">
      <c r="AA55" t="s">
        <v>463</v>
      </c>
      <c r="AB55">
        <v>14</v>
      </c>
      <c r="AC55">
        <v>5</v>
      </c>
      <c r="AD55">
        <v>9</v>
      </c>
      <c r="AE55">
        <v>3500</v>
      </c>
      <c r="AG55" s="39">
        <v>46279</v>
      </c>
      <c r="AH55">
        <v>4500</v>
      </c>
    </row>
    <row r="56" spans="27:34">
      <c r="AA56" t="s">
        <v>467</v>
      </c>
      <c r="AB56">
        <v>31</v>
      </c>
      <c r="AC56">
        <v>15</v>
      </c>
      <c r="AD56">
        <v>16</v>
      </c>
      <c r="AE56">
        <v>13000</v>
      </c>
      <c r="AG56" s="39">
        <v>46280</v>
      </c>
      <c r="AH56">
        <v>11000</v>
      </c>
    </row>
    <row r="57" spans="27:34">
      <c r="AA57" t="s">
        <v>480</v>
      </c>
      <c r="AB57">
        <v>35</v>
      </c>
      <c r="AC57">
        <v>10</v>
      </c>
      <c r="AD57">
        <v>25</v>
      </c>
      <c r="AE57">
        <v>8500</v>
      </c>
      <c r="AG57" s="39">
        <v>46281</v>
      </c>
      <c r="AH57">
        <v>15000</v>
      </c>
    </row>
    <row r="58" spans="27:34">
      <c r="AA58" t="s">
        <v>488</v>
      </c>
      <c r="AB58">
        <v>42</v>
      </c>
      <c r="AC58">
        <v>9</v>
      </c>
      <c r="AD58">
        <v>33</v>
      </c>
      <c r="AE58">
        <v>8500</v>
      </c>
      <c r="AG58" s="39">
        <v>46282</v>
      </c>
      <c r="AH58">
        <v>5000</v>
      </c>
    </row>
    <row r="59" spans="27:34">
      <c r="AA59" t="s">
        <v>496</v>
      </c>
      <c r="AB59">
        <v>45</v>
      </c>
      <c r="AC59">
        <v>7</v>
      </c>
      <c r="AD59">
        <v>38</v>
      </c>
      <c r="AE59">
        <v>5000</v>
      </c>
      <c r="AG59" s="39">
        <v>46283</v>
      </c>
      <c r="AH59">
        <v>11000</v>
      </c>
    </row>
    <row r="60" spans="27:34">
      <c r="AA60" t="s">
        <v>499</v>
      </c>
      <c r="AB60">
        <v>47</v>
      </c>
      <c r="AC60">
        <v>4</v>
      </c>
      <c r="AD60">
        <v>43</v>
      </c>
      <c r="AE60">
        <v>5000</v>
      </c>
      <c r="AG60" s="39">
        <v>46286</v>
      </c>
      <c r="AH60">
        <v>5000</v>
      </c>
    </row>
    <row r="61" spans="27:34">
      <c r="AA61" t="s">
        <v>504</v>
      </c>
      <c r="AB61">
        <v>30</v>
      </c>
      <c r="AC61">
        <v>4</v>
      </c>
      <c r="AD61">
        <v>26</v>
      </c>
      <c r="AE61">
        <v>3000</v>
      </c>
    </row>
    <row r="62" spans="27:34">
      <c r="AA62" t="s">
        <v>509</v>
      </c>
      <c r="AB62">
        <v>16</v>
      </c>
      <c r="AC62">
        <v>5</v>
      </c>
      <c r="AD62">
        <v>11</v>
      </c>
      <c r="AE62">
        <v>4500</v>
      </c>
    </row>
    <row r="63" spans="27:34">
      <c r="AA63" t="s">
        <v>515</v>
      </c>
      <c r="AB63">
        <v>34</v>
      </c>
      <c r="AC63">
        <v>6</v>
      </c>
      <c r="AD63">
        <v>28</v>
      </c>
      <c r="AE63">
        <v>6000</v>
      </c>
    </row>
    <row r="64" spans="27:34">
      <c r="AA64" t="s">
        <v>520</v>
      </c>
      <c r="AB64">
        <v>34</v>
      </c>
      <c r="AC64">
        <v>6</v>
      </c>
      <c r="AD64">
        <v>28</v>
      </c>
      <c r="AE64">
        <v>5500</v>
      </c>
    </row>
    <row r="65" spans="27:31">
      <c r="AA65" t="s">
        <v>526</v>
      </c>
      <c r="AB65">
        <v>34</v>
      </c>
      <c r="AC65">
        <v>13</v>
      </c>
      <c r="AD65">
        <v>21</v>
      </c>
      <c r="AE65">
        <v>10500</v>
      </c>
    </row>
    <row r="66" spans="27:31">
      <c r="AA66" t="s">
        <v>538</v>
      </c>
      <c r="AB66">
        <v>31</v>
      </c>
      <c r="AC66">
        <v>6</v>
      </c>
      <c r="AD66">
        <v>25</v>
      </c>
      <c r="AE66">
        <v>4500</v>
      </c>
    </row>
    <row r="67" spans="27:31">
      <c r="AA67" t="s">
        <v>543</v>
      </c>
      <c r="AB67">
        <v>32</v>
      </c>
      <c r="AC67">
        <v>4</v>
      </c>
      <c r="AD67">
        <v>28</v>
      </c>
      <c r="AE67">
        <v>3000</v>
      </c>
    </row>
    <row r="68" spans="27:31">
      <c r="AA68" t="s">
        <v>548</v>
      </c>
      <c r="AB68">
        <v>36</v>
      </c>
      <c r="AC68">
        <v>10</v>
      </c>
      <c r="AD68">
        <v>26</v>
      </c>
      <c r="AE68">
        <v>9000</v>
      </c>
    </row>
    <row r="69" spans="27:31">
      <c r="AA69" t="s">
        <v>556</v>
      </c>
      <c r="AB69">
        <v>34</v>
      </c>
      <c r="AC69">
        <v>9</v>
      </c>
      <c r="AD69">
        <v>25</v>
      </c>
      <c r="AE69">
        <v>9000</v>
      </c>
    </row>
    <row r="70" spans="27:31">
      <c r="AA70" t="s">
        <v>565</v>
      </c>
      <c r="AB70">
        <v>4</v>
      </c>
      <c r="AC70">
        <v>0</v>
      </c>
      <c r="AD70">
        <v>4</v>
      </c>
      <c r="AE70">
        <v>2500</v>
      </c>
    </row>
    <row r="71" spans="27:31">
      <c r="AA71" t="s">
        <v>569</v>
      </c>
      <c r="AB71">
        <v>9</v>
      </c>
      <c r="AC71">
        <v>2</v>
      </c>
      <c r="AD71">
        <v>7</v>
      </c>
      <c r="AE71">
        <v>1000</v>
      </c>
    </row>
    <row r="72" spans="27:31">
      <c r="AA72" t="s">
        <v>572</v>
      </c>
      <c r="AB72">
        <v>7</v>
      </c>
      <c r="AC72">
        <v>1</v>
      </c>
      <c r="AD72">
        <v>6</v>
      </c>
      <c r="AE72">
        <v>1500</v>
      </c>
    </row>
    <row r="73" spans="27:31">
      <c r="AA73" t="s">
        <v>1884</v>
      </c>
      <c r="AB73">
        <v>9</v>
      </c>
      <c r="AC73">
        <v>1</v>
      </c>
      <c r="AD73">
        <v>8</v>
      </c>
      <c r="AE73">
        <v>1500</v>
      </c>
    </row>
    <row r="74" spans="27:31">
      <c r="AA74" t="s">
        <v>574</v>
      </c>
      <c r="AB74">
        <v>13</v>
      </c>
      <c r="AC74">
        <v>4</v>
      </c>
      <c r="AD74">
        <v>9</v>
      </c>
      <c r="AE74">
        <v>4000</v>
      </c>
    </row>
    <row r="75" spans="27:31">
      <c r="AA75" t="s">
        <v>1851</v>
      </c>
      <c r="AB75">
        <v>9</v>
      </c>
      <c r="AC75">
        <v>1</v>
      </c>
      <c r="AD75">
        <v>8</v>
      </c>
      <c r="AE75">
        <v>1500</v>
      </c>
    </row>
    <row r="76" spans="27:31">
      <c r="AA76" t="s">
        <v>4</v>
      </c>
      <c r="AB76">
        <v>33</v>
      </c>
      <c r="AC76">
        <v>17</v>
      </c>
      <c r="AD76">
        <v>16</v>
      </c>
      <c r="AE76">
        <v>19000</v>
      </c>
    </row>
    <row r="77" spans="27:31">
      <c r="AA77" t="s">
        <v>20</v>
      </c>
      <c r="AB77">
        <v>33</v>
      </c>
      <c r="AC77">
        <v>13</v>
      </c>
      <c r="AD77">
        <v>20</v>
      </c>
      <c r="AE77">
        <v>15000</v>
      </c>
    </row>
    <row r="78" spans="27:31">
      <c r="AA78" t="s">
        <v>32</v>
      </c>
      <c r="AB78">
        <v>31</v>
      </c>
      <c r="AC78">
        <v>16</v>
      </c>
      <c r="AD78">
        <v>15</v>
      </c>
      <c r="AE78">
        <v>26000</v>
      </c>
    </row>
    <row r="79" spans="27:31">
      <c r="AA79" t="s">
        <v>51</v>
      </c>
      <c r="AB79">
        <v>34</v>
      </c>
      <c r="AC79">
        <v>9</v>
      </c>
      <c r="AD79">
        <v>25</v>
      </c>
      <c r="AE79">
        <v>10000</v>
      </c>
    </row>
    <row r="80" spans="27:31">
      <c r="AA80" t="s">
        <v>58</v>
      </c>
      <c r="AB80">
        <v>34</v>
      </c>
      <c r="AC80">
        <v>2</v>
      </c>
      <c r="AD80">
        <v>32</v>
      </c>
      <c r="AE80">
        <v>4000</v>
      </c>
    </row>
    <row r="81" spans="27:31">
      <c r="AA81" t="s">
        <v>62</v>
      </c>
      <c r="AB81">
        <v>35</v>
      </c>
      <c r="AC81">
        <v>11</v>
      </c>
      <c r="AD81">
        <v>24</v>
      </c>
      <c r="AE81">
        <v>13500</v>
      </c>
    </row>
  </sheetData>
  <sortState xmlns:xlrd2="http://schemas.microsoft.com/office/spreadsheetml/2017/richdata2" ref="AG2:AH60">
    <sortCondition ref="AG2"/>
  </sortState>
  <mergeCells count="23">
    <mergeCell ref="A9:B9"/>
    <mergeCell ref="A10:B10"/>
    <mergeCell ref="A18:J19"/>
    <mergeCell ref="A20:J21"/>
    <mergeCell ref="A1:S2"/>
    <mergeCell ref="F3:H3"/>
    <mergeCell ref="H16:I16"/>
    <mergeCell ref="F4:H4"/>
    <mergeCell ref="D6:F6"/>
    <mergeCell ref="H6:J6"/>
    <mergeCell ref="D7:F7"/>
    <mergeCell ref="H7:J7"/>
    <mergeCell ref="B12:C12"/>
    <mergeCell ref="E13:F13"/>
    <mergeCell ref="H15:I15"/>
    <mergeCell ref="B13:C13"/>
    <mergeCell ref="E14:F14"/>
    <mergeCell ref="A7:B7"/>
    <mergeCell ref="A8:B8"/>
    <mergeCell ref="A3:B3"/>
    <mergeCell ref="A5:B5"/>
    <mergeCell ref="A4:B4"/>
    <mergeCell ref="A6:B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895"/>
  <sheetViews>
    <sheetView topLeftCell="A685" workbookViewId="0">
      <selection activeCell="C703" sqref="C703"/>
    </sheetView>
  </sheetViews>
  <sheetFormatPr defaultRowHeight="14.25"/>
  <cols>
    <col min="1" max="1" width="7.875" customWidth="1"/>
    <col min="2" max="2" width="12" customWidth="1"/>
    <col min="3" max="3" width="32" customWidth="1"/>
    <col min="4" max="4" width="12" customWidth="1"/>
    <col min="7" max="7" width="14.25" bestFit="1" customWidth="1"/>
    <col min="8" max="8" width="14.875" bestFit="1" customWidth="1"/>
    <col min="9" max="9" width="14.5" bestFit="1" customWidth="1"/>
    <col min="10" max="10" width="18.625" bestFit="1" customWidth="1"/>
  </cols>
  <sheetData>
    <row r="1" spans="1:11" ht="15">
      <c r="A1" s="14" t="s">
        <v>0</v>
      </c>
      <c r="B1" s="14" t="s">
        <v>1</v>
      </c>
      <c r="C1" s="14" t="s">
        <v>2</v>
      </c>
      <c r="D1" s="14" t="s">
        <v>3</v>
      </c>
      <c r="E1" s="14" t="s">
        <v>1882</v>
      </c>
    </row>
    <row r="2" spans="1:11">
      <c r="A2" s="5">
        <v>1</v>
      </c>
      <c r="B2" s="5" t="s">
        <v>4</v>
      </c>
      <c r="C2" s="15" t="s">
        <v>1889</v>
      </c>
      <c r="D2" s="5">
        <f>COUNTIFS('Raw Entries'!B:B,ClasswiseUniqueStudents7[[#This Row],[Unique Student Name]],'Raw Entries'!C:C,ClasswiseUniqueStudents7[[#This Row],[Class]])</f>
        <v>2</v>
      </c>
      <c r="E2" s="15">
        <f>ClasswiseUniqueStudents7[[#This Row],[Total Count]]*500</f>
        <v>1000</v>
      </c>
      <c r="F2" s="15"/>
    </row>
    <row r="3" spans="1:11">
      <c r="A3" s="5">
        <v>2</v>
      </c>
      <c r="B3" s="5" t="s">
        <v>4</v>
      </c>
      <c r="C3" s="15" t="s">
        <v>6</v>
      </c>
      <c r="D3" s="5">
        <f>COUNTIFS('Raw Entries'!B:B,ClasswiseUniqueStudents7[[#This Row],[Unique Student Name]],'Raw Entries'!C:C,ClasswiseUniqueStudents7[[#This Row],[Class]])</f>
        <v>1</v>
      </c>
      <c r="E3" s="15">
        <f>ClasswiseUniqueStudents7[[#This Row],[Total Count]]*500</f>
        <v>500</v>
      </c>
      <c r="F3" s="15"/>
      <c r="G3" s="51" t="s">
        <v>1898</v>
      </c>
      <c r="H3" s="52"/>
      <c r="I3" s="52"/>
      <c r="J3" s="57">
        <f>SUM(E:E)</f>
        <v>661000</v>
      </c>
    </row>
    <row r="4" spans="1:11">
      <c r="A4" s="5">
        <v>3</v>
      </c>
      <c r="B4" s="5" t="s">
        <v>4</v>
      </c>
      <c r="C4" s="15" t="s">
        <v>7</v>
      </c>
      <c r="D4" s="5">
        <f>COUNTIFS('Raw Entries'!B:B,ClasswiseUniqueStudents7[[#This Row],[Unique Student Name]],'Raw Entries'!C:C,ClasswiseUniqueStudents7[[#This Row],[Class]])</f>
        <v>3</v>
      </c>
      <c r="E4" s="15">
        <f>ClasswiseUniqueStudents7[[#This Row],[Total Count]]*500</f>
        <v>1500</v>
      </c>
      <c r="F4" s="15"/>
      <c r="G4" s="53"/>
      <c r="H4" s="54"/>
      <c r="I4" s="54"/>
      <c r="J4" s="58"/>
    </row>
    <row r="5" spans="1:11" ht="27">
      <c r="A5" s="5">
        <v>4</v>
      </c>
      <c r="B5" s="5" t="s">
        <v>4</v>
      </c>
      <c r="C5" s="15" t="s">
        <v>8</v>
      </c>
      <c r="D5" s="5">
        <f>COUNTIFS('Raw Entries'!B:B,ClasswiseUniqueStudents7[[#This Row],[Unique Student Name]],'Raw Entries'!C:C,ClasswiseUniqueStudents7[[#This Row],[Class]])</f>
        <v>1</v>
      </c>
      <c r="E5" s="15">
        <f>ClasswiseUniqueStudents7[[#This Row],[Total Count]]*500</f>
        <v>500</v>
      </c>
      <c r="F5" s="15"/>
      <c r="G5" s="55"/>
      <c r="H5" s="56"/>
      <c r="I5" s="56"/>
      <c r="J5" s="59"/>
      <c r="K5" s="25"/>
    </row>
    <row r="6" spans="1:11">
      <c r="A6" s="5">
        <v>5</v>
      </c>
      <c r="B6" s="5" t="s">
        <v>4</v>
      </c>
      <c r="C6" s="15" t="s">
        <v>9</v>
      </c>
      <c r="D6" s="5">
        <f>COUNTIFS('Raw Entries'!B:B,ClasswiseUniqueStudents7[[#This Row],[Unique Student Name]],'Raw Entries'!C:C,ClasswiseUniqueStudents7[[#This Row],[Class]])</f>
        <v>3</v>
      </c>
      <c r="E6" s="15">
        <f>ClasswiseUniqueStudents7[[#This Row],[Total Count]]*500</f>
        <v>1500</v>
      </c>
      <c r="F6" s="15"/>
      <c r="G6" s="60" t="s">
        <v>1950</v>
      </c>
      <c r="H6" s="60" t="s">
        <v>1951</v>
      </c>
      <c r="I6" s="60" t="s">
        <v>1952</v>
      </c>
    </row>
    <row r="7" spans="1:11">
      <c r="A7" s="5">
        <v>6</v>
      </c>
      <c r="B7" s="5" t="s">
        <v>4</v>
      </c>
      <c r="C7" s="15" t="s">
        <v>10</v>
      </c>
      <c r="D7" s="5">
        <f>COUNTIFS('Raw Entries'!B:B,ClasswiseUniqueStudents7[[#This Row],[Unique Student Name]],'Raw Entries'!C:C,ClasswiseUniqueStudents7[[#This Row],[Class]])</f>
        <v>3</v>
      </c>
      <c r="E7" s="15">
        <f>ClasswiseUniqueStudents7[[#This Row],[Total Count]]*500</f>
        <v>1500</v>
      </c>
      <c r="F7" s="15"/>
      <c r="G7" s="61"/>
      <c r="H7" s="61"/>
      <c r="I7" s="61"/>
    </row>
    <row r="8" spans="1:11" ht="15">
      <c r="A8" s="5">
        <v>7</v>
      </c>
      <c r="B8" s="5" t="s">
        <v>4</v>
      </c>
      <c r="C8" s="15" t="s">
        <v>11</v>
      </c>
      <c r="D8" s="5">
        <f>COUNTIFS('Raw Entries'!B:B,ClasswiseUniqueStudents7[[#This Row],[Unique Student Name]],'Raw Entries'!C:C,ClasswiseUniqueStudents7[[#This Row],[Class]])</f>
        <v>2</v>
      </c>
      <c r="E8" s="15">
        <f>ClasswiseUniqueStudents7[[#This Row],[Total Count]]*500</f>
        <v>1000</v>
      </c>
      <c r="F8" s="15"/>
      <c r="G8" s="32">
        <f>COUNTIF(D:D,1)+COUNTIF(D:D,2)+COUNTIF(D:D,3)</f>
        <v>695</v>
      </c>
      <c r="H8" s="32">
        <f>COUNTIF(D:D,1)+COUNTIF(D:D,2)</f>
        <v>426</v>
      </c>
      <c r="I8" s="32">
        <f>COUNTIF(D:D,3)</f>
        <v>269</v>
      </c>
    </row>
    <row r="9" spans="1:11">
      <c r="A9" s="5">
        <v>8</v>
      </c>
      <c r="B9" s="5" t="s">
        <v>4</v>
      </c>
      <c r="C9" s="15" t="s">
        <v>12</v>
      </c>
      <c r="D9" s="5">
        <f>COUNTIFS('Raw Entries'!B:B,ClasswiseUniqueStudents7[[#This Row],[Unique Student Name]],'Raw Entries'!C:C,ClasswiseUniqueStudents7[[#This Row],[Class]])</f>
        <v>1</v>
      </c>
      <c r="E9" s="15">
        <f>ClasswiseUniqueStudents7[[#This Row],[Total Count]]*500</f>
        <v>500</v>
      </c>
      <c r="F9" s="15"/>
      <c r="G9" s="2"/>
      <c r="H9" s="2"/>
      <c r="I9" s="2"/>
    </row>
    <row r="10" spans="1:11">
      <c r="A10" s="5">
        <v>9</v>
      </c>
      <c r="B10" s="5" t="s">
        <v>4</v>
      </c>
      <c r="C10" s="15" t="s">
        <v>13</v>
      </c>
      <c r="D10" s="5">
        <f>COUNTIFS('Raw Entries'!B:B,ClasswiseUniqueStudents7[[#This Row],[Unique Student Name]],'Raw Entries'!C:C,ClasswiseUniqueStudents7[[#This Row],[Class]])</f>
        <v>3</v>
      </c>
      <c r="E10" s="15">
        <f>ClasswiseUniqueStudents7[[#This Row],[Total Count]]*500</f>
        <v>1500</v>
      </c>
      <c r="F10" s="15"/>
    </row>
    <row r="11" spans="1:11">
      <c r="A11" s="5">
        <v>10</v>
      </c>
      <c r="B11" s="5" t="s">
        <v>4</v>
      </c>
      <c r="C11" s="15" t="s">
        <v>14</v>
      </c>
      <c r="D11" s="5">
        <f>COUNTIFS('Raw Entries'!B:B,ClasswiseUniqueStudents7[[#This Row],[Unique Student Name]],'Raw Entries'!C:C,ClasswiseUniqueStudents7[[#This Row],[Class]])</f>
        <v>1</v>
      </c>
      <c r="E11" s="15">
        <f>ClasswiseUniqueStudents7[[#This Row],[Total Count]]*500</f>
        <v>500</v>
      </c>
      <c r="F11" s="15"/>
    </row>
    <row r="12" spans="1:11">
      <c r="A12" s="5">
        <v>11</v>
      </c>
      <c r="B12" s="5" t="s">
        <v>4</v>
      </c>
      <c r="C12" s="15" t="s">
        <v>15</v>
      </c>
      <c r="D12" s="5">
        <f>COUNTIFS('Raw Entries'!B:B,ClasswiseUniqueStudents7[[#This Row],[Unique Student Name]],'Raw Entries'!C:C,ClasswiseUniqueStudents7[[#This Row],[Class]])</f>
        <v>3</v>
      </c>
      <c r="E12" s="15">
        <f>ClasswiseUniqueStudents7[[#This Row],[Total Count]]*500</f>
        <v>1500</v>
      </c>
      <c r="F12" s="15"/>
    </row>
    <row r="13" spans="1:11">
      <c r="A13" s="5">
        <v>12</v>
      </c>
      <c r="B13" s="5" t="s">
        <v>4</v>
      </c>
      <c r="C13" s="15" t="s">
        <v>16</v>
      </c>
      <c r="D13" s="5">
        <f>COUNTIFS('Raw Entries'!B:B,ClasswiseUniqueStudents7[[#This Row],[Unique Student Name]],'Raw Entries'!C:C,ClasswiseUniqueStudents7[[#This Row],[Class]])</f>
        <v>1</v>
      </c>
      <c r="E13" s="15">
        <f>ClasswiseUniqueStudents7[[#This Row],[Total Count]]*500</f>
        <v>500</v>
      </c>
      <c r="F13" s="15"/>
    </row>
    <row r="14" spans="1:11">
      <c r="A14" s="5">
        <v>13</v>
      </c>
      <c r="B14" s="5" t="s">
        <v>4</v>
      </c>
      <c r="C14" s="15" t="s">
        <v>17</v>
      </c>
      <c r="D14" s="5">
        <f>COUNTIFS('Raw Entries'!B:B,ClasswiseUniqueStudents7[[#This Row],[Unique Student Name]],'Raw Entries'!C:C,ClasswiseUniqueStudents7[[#This Row],[Class]])</f>
        <v>3</v>
      </c>
      <c r="E14" s="15">
        <f>ClasswiseUniqueStudents7[[#This Row],[Total Count]]*500</f>
        <v>1500</v>
      </c>
      <c r="F14" s="15"/>
    </row>
    <row r="15" spans="1:11">
      <c r="A15" s="5">
        <v>14</v>
      </c>
      <c r="B15" s="5" t="s">
        <v>4</v>
      </c>
      <c r="C15" s="15" t="s">
        <v>18</v>
      </c>
      <c r="D15" s="5">
        <f>COUNTIFS('Raw Entries'!B:B,ClasswiseUniqueStudents7[[#This Row],[Unique Student Name]],'Raw Entries'!C:C,ClasswiseUniqueStudents7[[#This Row],[Class]])</f>
        <v>1</v>
      </c>
      <c r="E15" s="15">
        <f>ClasswiseUniqueStudents7[[#This Row],[Total Count]]*500</f>
        <v>500</v>
      </c>
      <c r="F15" s="15"/>
    </row>
    <row r="16" spans="1:11">
      <c r="A16" s="5">
        <v>15</v>
      </c>
      <c r="B16" s="5" t="s">
        <v>4</v>
      </c>
      <c r="C16" s="15" t="s">
        <v>19</v>
      </c>
      <c r="D16" s="5">
        <f>COUNTIFS('Raw Entries'!B:B,ClasswiseUniqueStudents7[[#This Row],[Unique Student Name]],'Raw Entries'!C:C,ClasswiseUniqueStudents7[[#This Row],[Class]])</f>
        <v>1</v>
      </c>
      <c r="E16" s="15">
        <f>ClasswiseUniqueStudents7[[#This Row],[Total Count]]*500</f>
        <v>500</v>
      </c>
      <c r="F16" s="15"/>
    </row>
    <row r="17" spans="1:6">
      <c r="A17" s="5">
        <v>16</v>
      </c>
      <c r="B17" s="5" t="s">
        <v>20</v>
      </c>
      <c r="C17" s="15" t="s">
        <v>21</v>
      </c>
      <c r="D17" s="5">
        <f>COUNTIFS('Raw Entries'!B:B,ClasswiseUniqueStudents7[[#This Row],[Unique Student Name]],'Raw Entries'!C:C,ClasswiseUniqueStudents7[[#This Row],[Class]])</f>
        <v>3</v>
      </c>
      <c r="E17" s="15">
        <f>ClasswiseUniqueStudents7[[#This Row],[Total Count]]*500</f>
        <v>1500</v>
      </c>
      <c r="F17" s="15"/>
    </row>
    <row r="18" spans="1:6">
      <c r="A18" s="5">
        <v>17</v>
      </c>
      <c r="B18" s="5" t="s">
        <v>20</v>
      </c>
      <c r="C18" s="15" t="s">
        <v>22</v>
      </c>
      <c r="D18" s="5">
        <f>COUNTIFS('Raw Entries'!B:B,ClasswiseUniqueStudents7[[#This Row],[Unique Student Name]],'Raw Entries'!C:C,ClasswiseUniqueStudents7[[#This Row],[Class]])</f>
        <v>1</v>
      </c>
      <c r="E18" s="15">
        <f>ClasswiseUniqueStudents7[[#This Row],[Total Count]]*500</f>
        <v>500</v>
      </c>
      <c r="F18" s="15"/>
    </row>
    <row r="19" spans="1:6">
      <c r="A19" s="5">
        <v>18</v>
      </c>
      <c r="B19" s="5" t="s">
        <v>20</v>
      </c>
      <c r="C19" s="15" t="s">
        <v>23</v>
      </c>
      <c r="D19" s="5">
        <f>COUNTIFS('Raw Entries'!B:B,ClasswiseUniqueStudents7[[#This Row],[Unique Student Name]],'Raw Entries'!C:C,ClasswiseUniqueStudents7[[#This Row],[Class]])</f>
        <v>2</v>
      </c>
      <c r="E19" s="15">
        <f>ClasswiseUniqueStudents7[[#This Row],[Total Count]]*500</f>
        <v>1000</v>
      </c>
      <c r="F19" s="15"/>
    </row>
    <row r="20" spans="1:6">
      <c r="A20" s="5">
        <v>19</v>
      </c>
      <c r="B20" s="5" t="s">
        <v>20</v>
      </c>
      <c r="C20" s="15" t="s">
        <v>24</v>
      </c>
      <c r="D20" s="5">
        <f>COUNTIFS('Raw Entries'!B:B,ClasswiseUniqueStudents7[[#This Row],[Unique Student Name]],'Raw Entries'!C:C,ClasswiseUniqueStudents7[[#This Row],[Class]])</f>
        <v>3</v>
      </c>
      <c r="E20" s="15">
        <f>ClasswiseUniqueStudents7[[#This Row],[Total Count]]*500</f>
        <v>1500</v>
      </c>
      <c r="F20" s="15"/>
    </row>
    <row r="21" spans="1:6">
      <c r="A21" s="5">
        <v>20</v>
      </c>
      <c r="B21" s="5" t="s">
        <v>20</v>
      </c>
      <c r="C21" s="15" t="s">
        <v>25</v>
      </c>
      <c r="D21" s="5">
        <f>COUNTIFS('Raw Entries'!B:B,ClasswiseUniqueStudents7[[#This Row],[Unique Student Name]],'Raw Entries'!C:C,ClasswiseUniqueStudents7[[#This Row],[Class]])</f>
        <v>3</v>
      </c>
      <c r="E21" s="15">
        <f>ClasswiseUniqueStudents7[[#This Row],[Total Count]]*500</f>
        <v>1500</v>
      </c>
      <c r="F21" s="15"/>
    </row>
    <row r="22" spans="1:6">
      <c r="A22" s="5">
        <v>21</v>
      </c>
      <c r="B22" s="5" t="s">
        <v>20</v>
      </c>
      <c r="C22" s="15" t="s">
        <v>26</v>
      </c>
      <c r="D22" s="5">
        <f>COUNTIFS('Raw Entries'!B:B,ClasswiseUniqueStudents7[[#This Row],[Unique Student Name]],'Raw Entries'!C:C,ClasswiseUniqueStudents7[[#This Row],[Class]])</f>
        <v>3</v>
      </c>
      <c r="E22" s="15">
        <f>ClasswiseUniqueStudents7[[#This Row],[Total Count]]*500</f>
        <v>1500</v>
      </c>
      <c r="F22" s="15"/>
    </row>
    <row r="23" spans="1:6">
      <c r="A23" s="5">
        <v>22</v>
      </c>
      <c r="B23" s="5" t="s">
        <v>20</v>
      </c>
      <c r="C23" s="15" t="s">
        <v>27</v>
      </c>
      <c r="D23" s="5">
        <f>COUNTIFS('Raw Entries'!B:B,ClasswiseUniqueStudents7[[#This Row],[Unique Student Name]],'Raw Entries'!C:C,ClasswiseUniqueStudents7[[#This Row],[Class]])</f>
        <v>1</v>
      </c>
      <c r="E23" s="15">
        <f>ClasswiseUniqueStudents7[[#This Row],[Total Count]]*500</f>
        <v>500</v>
      </c>
      <c r="F23" s="15"/>
    </row>
    <row r="24" spans="1:6">
      <c r="A24" s="5">
        <v>23</v>
      </c>
      <c r="B24" s="5" t="s">
        <v>20</v>
      </c>
      <c r="C24" s="15" t="s">
        <v>28</v>
      </c>
      <c r="D24" s="5">
        <f>COUNTIFS('Raw Entries'!B:B,ClasswiseUniqueStudents7[[#This Row],[Unique Student Name]],'Raw Entries'!C:C,ClasswiseUniqueStudents7[[#This Row],[Class]])</f>
        <v>1</v>
      </c>
      <c r="E24" s="15">
        <f>ClasswiseUniqueStudents7[[#This Row],[Total Count]]*500</f>
        <v>500</v>
      </c>
      <c r="F24" s="15"/>
    </row>
    <row r="25" spans="1:6">
      <c r="A25" s="5">
        <v>24</v>
      </c>
      <c r="B25" s="5" t="s">
        <v>20</v>
      </c>
      <c r="C25" s="15" t="s">
        <v>29</v>
      </c>
      <c r="D25" s="5">
        <f>COUNTIFS('Raw Entries'!B:B,ClasswiseUniqueStudents7[[#This Row],[Unique Student Name]],'Raw Entries'!C:C,ClasswiseUniqueStudents7[[#This Row],[Class]])</f>
        <v>3</v>
      </c>
      <c r="E25" s="15">
        <f>ClasswiseUniqueStudents7[[#This Row],[Total Count]]*500</f>
        <v>1500</v>
      </c>
      <c r="F25" s="15"/>
    </row>
    <row r="26" spans="1:6">
      <c r="A26" s="5">
        <v>25</v>
      </c>
      <c r="B26" s="5" t="s">
        <v>20</v>
      </c>
      <c r="C26" s="15" t="s">
        <v>30</v>
      </c>
      <c r="D26" s="5">
        <f>COUNTIFS('Raw Entries'!B:B,ClasswiseUniqueStudents7[[#This Row],[Unique Student Name]],'Raw Entries'!C:C,ClasswiseUniqueStudents7[[#This Row],[Class]])</f>
        <v>1</v>
      </c>
      <c r="E26" s="15">
        <f>ClasswiseUniqueStudents7[[#This Row],[Total Count]]*500</f>
        <v>500</v>
      </c>
      <c r="F26" s="15"/>
    </row>
    <row r="27" spans="1:6">
      <c r="A27" s="5">
        <v>26</v>
      </c>
      <c r="B27" s="5" t="s">
        <v>20</v>
      </c>
      <c r="C27" s="15" t="s">
        <v>31</v>
      </c>
      <c r="D27" s="5">
        <f>COUNTIFS('Raw Entries'!B:B,ClasswiseUniqueStudents7[[#This Row],[Unique Student Name]],'Raw Entries'!C:C,ClasswiseUniqueStudents7[[#This Row],[Class]])</f>
        <v>3</v>
      </c>
      <c r="E27" s="15">
        <f>ClasswiseUniqueStudents7[[#This Row],[Total Count]]*500</f>
        <v>1500</v>
      </c>
      <c r="F27" s="15"/>
    </row>
    <row r="28" spans="1:6">
      <c r="A28" s="5">
        <v>27</v>
      </c>
      <c r="B28" s="5" t="s">
        <v>32</v>
      </c>
      <c r="C28" s="15" t="s">
        <v>33</v>
      </c>
      <c r="D28" s="5">
        <f>COUNTIFS('Raw Entries'!B:B,ClasswiseUniqueStudents7[[#This Row],[Unique Student Name]],'Raw Entries'!C:C,ClasswiseUniqueStudents7[[#This Row],[Class]])</f>
        <v>3</v>
      </c>
      <c r="E28" s="15">
        <f>ClasswiseUniqueStudents7[[#This Row],[Total Count]]*500</f>
        <v>1500</v>
      </c>
      <c r="F28" s="15"/>
    </row>
    <row r="29" spans="1:6">
      <c r="A29" s="5">
        <v>28</v>
      </c>
      <c r="B29" s="5" t="s">
        <v>32</v>
      </c>
      <c r="C29" s="15" t="s">
        <v>34</v>
      </c>
      <c r="D29" s="5">
        <f>COUNTIFS('Raw Entries'!B:B,ClasswiseUniqueStudents7[[#This Row],[Unique Student Name]],'Raw Entries'!C:C,ClasswiseUniqueStudents7[[#This Row],[Class]])</f>
        <v>3</v>
      </c>
      <c r="E29" s="15">
        <f>ClasswiseUniqueStudents7[[#This Row],[Total Count]]*500</f>
        <v>1500</v>
      </c>
      <c r="F29" s="15"/>
    </row>
    <row r="30" spans="1:6">
      <c r="A30" s="5">
        <v>29</v>
      </c>
      <c r="B30" s="5" t="s">
        <v>32</v>
      </c>
      <c r="C30" s="15" t="s">
        <v>35</v>
      </c>
      <c r="D30" s="5">
        <f>COUNTIFS('Raw Entries'!B:B,ClasswiseUniqueStudents7[[#This Row],[Unique Student Name]],'Raw Entries'!C:C,ClasswiseUniqueStudents7[[#This Row],[Class]])</f>
        <v>1</v>
      </c>
      <c r="E30" s="15">
        <f>ClasswiseUniqueStudents7[[#This Row],[Total Count]]*500</f>
        <v>500</v>
      </c>
      <c r="F30" s="15"/>
    </row>
    <row r="31" spans="1:6">
      <c r="A31" s="5">
        <v>30</v>
      </c>
      <c r="B31" s="5" t="s">
        <v>32</v>
      </c>
      <c r="C31" s="15" t="s">
        <v>36</v>
      </c>
      <c r="D31" s="5">
        <f>COUNTIFS('Raw Entries'!B:B,ClasswiseUniqueStudents7[[#This Row],[Unique Student Name]],'Raw Entries'!C:C,ClasswiseUniqueStudents7[[#This Row],[Class]])</f>
        <v>2</v>
      </c>
      <c r="E31" s="15">
        <f>ClasswiseUniqueStudents7[[#This Row],[Total Count]]*500</f>
        <v>1000</v>
      </c>
      <c r="F31" s="15"/>
    </row>
    <row r="32" spans="1:6">
      <c r="A32" s="5">
        <v>31</v>
      </c>
      <c r="B32" s="5" t="s">
        <v>32</v>
      </c>
      <c r="C32" s="15" t="s">
        <v>37</v>
      </c>
      <c r="D32" s="5">
        <f>COUNTIFS('Raw Entries'!B:B,ClasswiseUniqueStudents7[[#This Row],[Unique Student Name]],'Raw Entries'!C:C,ClasswiseUniqueStudents7[[#This Row],[Class]])</f>
        <v>3</v>
      </c>
      <c r="E32" s="15">
        <f>ClasswiseUniqueStudents7[[#This Row],[Total Count]]*500</f>
        <v>1500</v>
      </c>
      <c r="F32" s="15"/>
    </row>
    <row r="33" spans="1:6">
      <c r="A33" s="5">
        <v>32</v>
      </c>
      <c r="B33" s="5" t="s">
        <v>32</v>
      </c>
      <c r="C33" s="15" t="s">
        <v>38</v>
      </c>
      <c r="D33" s="5">
        <f>COUNTIFS('Raw Entries'!B:B,ClasswiseUniqueStudents7[[#This Row],[Unique Student Name]],'Raw Entries'!C:C,ClasswiseUniqueStudents7[[#This Row],[Class]])</f>
        <v>3</v>
      </c>
      <c r="E33" s="15">
        <f>ClasswiseUniqueStudents7[[#This Row],[Total Count]]*500</f>
        <v>1500</v>
      </c>
      <c r="F33" s="15"/>
    </row>
    <row r="34" spans="1:6">
      <c r="A34" s="5">
        <v>33</v>
      </c>
      <c r="B34" s="5" t="s">
        <v>32</v>
      </c>
      <c r="C34" s="15" t="s">
        <v>39</v>
      </c>
      <c r="D34" s="5">
        <f>COUNTIFS('Raw Entries'!B:B,ClasswiseUniqueStudents7[[#This Row],[Unique Student Name]],'Raw Entries'!C:C,ClasswiseUniqueStudents7[[#This Row],[Class]])</f>
        <v>2</v>
      </c>
      <c r="E34" s="15">
        <f>ClasswiseUniqueStudents7[[#This Row],[Total Count]]*500</f>
        <v>1000</v>
      </c>
      <c r="F34" s="15"/>
    </row>
    <row r="35" spans="1:6">
      <c r="A35" s="5">
        <v>34</v>
      </c>
      <c r="B35" s="5" t="s">
        <v>32</v>
      </c>
      <c r="C35" s="15" t="s">
        <v>40</v>
      </c>
      <c r="D35" s="5">
        <f>COUNTIFS('Raw Entries'!B:B,ClasswiseUniqueStudents7[[#This Row],[Unique Student Name]],'Raw Entries'!C:C,ClasswiseUniqueStudents7[[#This Row],[Class]])</f>
        <v>2</v>
      </c>
      <c r="E35" s="15">
        <f>ClasswiseUniqueStudents7[[#This Row],[Total Count]]*500</f>
        <v>1000</v>
      </c>
      <c r="F35" s="15"/>
    </row>
    <row r="36" spans="1:6">
      <c r="A36" s="5">
        <v>35</v>
      </c>
      <c r="B36" s="5" t="s">
        <v>32</v>
      </c>
      <c r="C36" s="15" t="s">
        <v>41</v>
      </c>
      <c r="D36" s="5">
        <f>COUNTIFS('Raw Entries'!B:B,ClasswiseUniqueStudents7[[#This Row],[Unique Student Name]],'Raw Entries'!C:C,ClasswiseUniqueStudents7[[#This Row],[Class]])</f>
        <v>3</v>
      </c>
      <c r="E36" s="15">
        <f>ClasswiseUniqueStudents7[[#This Row],[Total Count]]*500</f>
        <v>1500</v>
      </c>
      <c r="F36" s="15"/>
    </row>
    <row r="37" spans="1:6">
      <c r="A37" s="5">
        <v>36</v>
      </c>
      <c r="B37" s="5" t="s">
        <v>32</v>
      </c>
      <c r="C37" s="15" t="s">
        <v>42</v>
      </c>
      <c r="D37" s="5">
        <f>COUNTIFS('Raw Entries'!B:B,ClasswiseUniqueStudents7[[#This Row],[Unique Student Name]],'Raw Entries'!C:C,ClasswiseUniqueStudents7[[#This Row],[Class]])</f>
        <v>2</v>
      </c>
      <c r="E37" s="15">
        <f>ClasswiseUniqueStudents7[[#This Row],[Total Count]]*500</f>
        <v>1000</v>
      </c>
      <c r="F37" s="15"/>
    </row>
    <row r="38" spans="1:6">
      <c r="A38" s="5">
        <v>37</v>
      </c>
      <c r="B38" s="5" t="s">
        <v>32</v>
      </c>
      <c r="C38" s="15" t="s">
        <v>43</v>
      </c>
      <c r="D38" s="5">
        <f>COUNTIFS('Raw Entries'!B:B,ClasswiseUniqueStudents7[[#This Row],[Unique Student Name]],'Raw Entries'!C:C,ClasswiseUniqueStudents7[[#This Row],[Class]])</f>
        <v>1</v>
      </c>
      <c r="E38" s="15">
        <f>ClasswiseUniqueStudents7[[#This Row],[Total Count]]*500</f>
        <v>500</v>
      </c>
      <c r="F38" s="15"/>
    </row>
    <row r="39" spans="1:6">
      <c r="A39" s="5">
        <v>38</v>
      </c>
      <c r="B39" s="5" t="s">
        <v>32</v>
      </c>
      <c r="C39" s="15" t="s">
        <v>44</v>
      </c>
      <c r="D39" s="5">
        <f>COUNTIFS('Raw Entries'!B:B,ClasswiseUniqueStudents7[[#This Row],[Unique Student Name]],'Raw Entries'!C:C,ClasswiseUniqueStudents7[[#This Row],[Class]])</f>
        <v>3</v>
      </c>
      <c r="E39" s="15">
        <f>ClasswiseUniqueStudents7[[#This Row],[Total Count]]*500</f>
        <v>1500</v>
      </c>
      <c r="F39" s="15"/>
    </row>
    <row r="40" spans="1:6">
      <c r="A40" s="5">
        <v>39</v>
      </c>
      <c r="B40" s="5" t="s">
        <v>32</v>
      </c>
      <c r="C40" s="15" t="s">
        <v>45</v>
      </c>
      <c r="D40" s="5">
        <f>COUNTIFS('Raw Entries'!B:B,ClasswiseUniqueStudents7[[#This Row],[Unique Student Name]],'Raw Entries'!C:C,ClasswiseUniqueStudents7[[#This Row],[Class]])</f>
        <v>2</v>
      </c>
      <c r="E40" s="15">
        <f>ClasswiseUniqueStudents7[[#This Row],[Total Count]]*500</f>
        <v>1000</v>
      </c>
      <c r="F40" s="15"/>
    </row>
    <row r="41" spans="1:6">
      <c r="A41" s="5">
        <v>40</v>
      </c>
      <c r="B41" s="5" t="s">
        <v>32</v>
      </c>
      <c r="C41" s="15" t="s">
        <v>46</v>
      </c>
      <c r="D41" s="5">
        <f>COUNTIFS('Raw Entries'!B:B,ClasswiseUniqueStudents7[[#This Row],[Unique Student Name]],'Raw Entries'!C:C,ClasswiseUniqueStudents7[[#This Row],[Class]])</f>
        <v>1</v>
      </c>
      <c r="E41" s="15">
        <f>ClasswiseUniqueStudents7[[#This Row],[Total Count]]*500</f>
        <v>500</v>
      </c>
      <c r="F41" s="15"/>
    </row>
    <row r="42" spans="1:6">
      <c r="A42" s="5">
        <v>41</v>
      </c>
      <c r="B42" s="5" t="s">
        <v>32</v>
      </c>
      <c r="C42" s="15" t="s">
        <v>47</v>
      </c>
      <c r="D42" s="5">
        <f>COUNTIFS('Raw Entries'!B:B,ClasswiseUniqueStudents7[[#This Row],[Unique Student Name]],'Raw Entries'!C:C,ClasswiseUniqueStudents7[[#This Row],[Class]])</f>
        <v>3</v>
      </c>
      <c r="E42" s="15">
        <f>ClasswiseUniqueStudents7[[#This Row],[Total Count]]*500</f>
        <v>1500</v>
      </c>
      <c r="F42" s="15"/>
    </row>
    <row r="43" spans="1:6">
      <c r="A43" s="5">
        <v>42</v>
      </c>
      <c r="B43" s="5" t="s">
        <v>32</v>
      </c>
      <c r="C43" s="15" t="s">
        <v>48</v>
      </c>
      <c r="D43" s="5">
        <f>COUNTIFS('Raw Entries'!B:B,ClasswiseUniqueStudents7[[#This Row],[Unique Student Name]],'Raw Entries'!C:C,ClasswiseUniqueStudents7[[#This Row],[Class]])</f>
        <v>2</v>
      </c>
      <c r="E43" s="15">
        <f>ClasswiseUniqueStudents7[[#This Row],[Total Count]]*500</f>
        <v>1000</v>
      </c>
      <c r="F43" s="15"/>
    </row>
    <row r="44" spans="1:6">
      <c r="A44" s="5">
        <v>43</v>
      </c>
      <c r="B44" s="5" t="s">
        <v>32</v>
      </c>
      <c r="C44" s="15" t="s">
        <v>49</v>
      </c>
      <c r="D44" s="5">
        <f>COUNTIFS('Raw Entries'!B:B,ClasswiseUniqueStudents7[[#This Row],[Unique Student Name]],'Raw Entries'!C:C,ClasswiseUniqueStudents7[[#This Row],[Class]])</f>
        <v>3</v>
      </c>
      <c r="E44" s="15">
        <f>ClasswiseUniqueStudents7[[#This Row],[Total Count]]*500</f>
        <v>1500</v>
      </c>
      <c r="F44" s="15"/>
    </row>
    <row r="45" spans="1:6">
      <c r="A45" s="5">
        <v>44</v>
      </c>
      <c r="B45" s="5" t="s">
        <v>32</v>
      </c>
      <c r="C45" s="15" t="s">
        <v>50</v>
      </c>
      <c r="D45" s="5">
        <f>COUNTIFS('Raw Entries'!B:B,ClasswiseUniqueStudents7[[#This Row],[Unique Student Name]],'Raw Entries'!C:C,ClasswiseUniqueStudents7[[#This Row],[Class]])</f>
        <v>2</v>
      </c>
      <c r="E45" s="15">
        <f>ClasswiseUniqueStudents7[[#This Row],[Total Count]]*500</f>
        <v>1000</v>
      </c>
      <c r="F45" s="15"/>
    </row>
    <row r="46" spans="1:6">
      <c r="A46" s="5">
        <v>45</v>
      </c>
      <c r="B46" s="5" t="s">
        <v>51</v>
      </c>
      <c r="C46" s="15" t="s">
        <v>52</v>
      </c>
      <c r="D46" s="5">
        <f>COUNTIFS('Raw Entries'!B:B,ClasswiseUniqueStudents7[[#This Row],[Unique Student Name]],'Raw Entries'!C:C,ClasswiseUniqueStudents7[[#This Row],[Class]])</f>
        <v>2</v>
      </c>
      <c r="E46" s="15">
        <f>ClasswiseUniqueStudents7[[#This Row],[Total Count]]*500</f>
        <v>1000</v>
      </c>
      <c r="F46" s="15"/>
    </row>
    <row r="47" spans="1:6">
      <c r="A47" s="5">
        <v>46</v>
      </c>
      <c r="B47" s="5" t="s">
        <v>51</v>
      </c>
      <c r="C47" s="15" t="s">
        <v>53</v>
      </c>
      <c r="D47" s="5">
        <f>COUNTIFS('Raw Entries'!B:B,ClasswiseUniqueStudents7[[#This Row],[Unique Student Name]],'Raw Entries'!C:C,ClasswiseUniqueStudents7[[#This Row],[Class]])</f>
        <v>3</v>
      </c>
      <c r="E47" s="15">
        <f>ClasswiseUniqueStudents7[[#This Row],[Total Count]]*500</f>
        <v>1500</v>
      </c>
      <c r="F47" s="15"/>
    </row>
    <row r="48" spans="1:6">
      <c r="A48" s="5">
        <v>47</v>
      </c>
      <c r="B48" s="5" t="s">
        <v>51</v>
      </c>
      <c r="C48" s="15" t="s">
        <v>54</v>
      </c>
      <c r="D48" s="5">
        <f>COUNTIFS('Raw Entries'!B:B,ClasswiseUniqueStudents7[[#This Row],[Unique Student Name]],'Raw Entries'!C:C,ClasswiseUniqueStudents7[[#This Row],[Class]])</f>
        <v>2</v>
      </c>
      <c r="E48" s="15">
        <f>ClasswiseUniqueStudents7[[#This Row],[Total Count]]*500</f>
        <v>1000</v>
      </c>
      <c r="F48" s="15"/>
    </row>
    <row r="49" spans="1:6">
      <c r="A49" s="5">
        <v>48</v>
      </c>
      <c r="B49" s="5" t="s">
        <v>51</v>
      </c>
      <c r="C49" s="15" t="s">
        <v>55</v>
      </c>
      <c r="D49" s="5">
        <f>COUNTIFS('Raw Entries'!B:B,ClasswiseUniqueStudents7[[#This Row],[Unique Student Name]],'Raw Entries'!C:C,ClasswiseUniqueStudents7[[#This Row],[Class]])</f>
        <v>1</v>
      </c>
      <c r="E49" s="15">
        <f>ClasswiseUniqueStudents7[[#This Row],[Total Count]]*500</f>
        <v>500</v>
      </c>
      <c r="F49" s="15"/>
    </row>
    <row r="50" spans="1:6">
      <c r="A50" s="5">
        <v>49</v>
      </c>
      <c r="B50" s="5" t="s">
        <v>51</v>
      </c>
      <c r="C50" s="15" t="s">
        <v>56</v>
      </c>
      <c r="D50" s="5">
        <f>COUNTIFS('Raw Entries'!B:B,ClasswiseUniqueStudents7[[#This Row],[Unique Student Name]],'Raw Entries'!C:C,ClasswiseUniqueStudents7[[#This Row],[Class]])</f>
        <v>1</v>
      </c>
      <c r="E50" s="15">
        <f>ClasswiseUniqueStudents7[[#This Row],[Total Count]]*500</f>
        <v>500</v>
      </c>
      <c r="F50" s="15"/>
    </row>
    <row r="51" spans="1:6">
      <c r="A51" s="5">
        <v>50</v>
      </c>
      <c r="B51" s="5" t="s">
        <v>51</v>
      </c>
      <c r="C51" s="15" t="s">
        <v>57</v>
      </c>
      <c r="D51" s="5">
        <f>COUNTIFS('Raw Entries'!B:B,ClasswiseUniqueStudents7[[#This Row],[Unique Student Name]],'Raw Entries'!C:C,ClasswiseUniqueStudents7[[#This Row],[Class]])</f>
        <v>1</v>
      </c>
      <c r="E51" s="15">
        <f>ClasswiseUniqueStudents7[[#This Row],[Total Count]]*500</f>
        <v>500</v>
      </c>
      <c r="F51" s="15"/>
    </row>
    <row r="52" spans="1:6">
      <c r="A52" s="5">
        <v>51</v>
      </c>
      <c r="B52" s="5" t="s">
        <v>58</v>
      </c>
      <c r="C52" s="15" t="s">
        <v>59</v>
      </c>
      <c r="D52" s="5">
        <f>COUNTIFS('Raw Entries'!B:B,ClasswiseUniqueStudents7[[#This Row],[Unique Student Name]],'Raw Entries'!C:C,ClasswiseUniqueStudents7[[#This Row],[Class]])</f>
        <v>1</v>
      </c>
      <c r="E52" s="15">
        <f>ClasswiseUniqueStudents7[[#This Row],[Total Count]]*500</f>
        <v>500</v>
      </c>
      <c r="F52" s="15"/>
    </row>
    <row r="53" spans="1:6">
      <c r="A53" s="5">
        <v>52</v>
      </c>
      <c r="B53" s="5" t="s">
        <v>58</v>
      </c>
      <c r="C53" s="15" t="s">
        <v>60</v>
      </c>
      <c r="D53" s="5">
        <f>COUNTIFS('Raw Entries'!B:B,ClasswiseUniqueStudents7[[#This Row],[Unique Student Name]],'Raw Entries'!C:C,ClasswiseUniqueStudents7[[#This Row],[Class]])</f>
        <v>3</v>
      </c>
      <c r="E53" s="15">
        <f>ClasswiseUniqueStudents7[[#This Row],[Total Count]]*500</f>
        <v>1500</v>
      </c>
      <c r="F53" s="15"/>
    </row>
    <row r="54" spans="1:6">
      <c r="A54" s="5">
        <v>53</v>
      </c>
      <c r="B54" s="5" t="s">
        <v>58</v>
      </c>
      <c r="C54" s="15" t="s">
        <v>61</v>
      </c>
      <c r="D54" s="5">
        <f>COUNTIFS('Raw Entries'!B:B,ClasswiseUniqueStudents7[[#This Row],[Unique Student Name]],'Raw Entries'!C:C,ClasswiseUniqueStudents7[[#This Row],[Class]])</f>
        <v>3</v>
      </c>
      <c r="E54" s="15">
        <f>ClasswiseUniqueStudents7[[#This Row],[Total Count]]*500</f>
        <v>1500</v>
      </c>
      <c r="F54" s="15"/>
    </row>
    <row r="55" spans="1:6">
      <c r="A55" s="5">
        <v>54</v>
      </c>
      <c r="B55" s="5" t="s">
        <v>62</v>
      </c>
      <c r="C55" s="15" t="s">
        <v>63</v>
      </c>
      <c r="D55" s="5">
        <f>COUNTIFS('Raw Entries'!B:B,ClasswiseUniqueStudents7[[#This Row],[Unique Student Name]],'Raw Entries'!C:C,ClasswiseUniqueStudents7[[#This Row],[Class]])</f>
        <v>3</v>
      </c>
      <c r="E55" s="15">
        <f>ClasswiseUniqueStudents7[[#This Row],[Total Count]]*500</f>
        <v>1500</v>
      </c>
      <c r="F55" s="15"/>
    </row>
    <row r="56" spans="1:6">
      <c r="A56" s="5">
        <v>55</v>
      </c>
      <c r="B56" s="5" t="s">
        <v>62</v>
      </c>
      <c r="C56" s="15" t="s">
        <v>64</v>
      </c>
      <c r="D56" s="5">
        <f>COUNTIFS('Raw Entries'!B:B,ClasswiseUniqueStudents7[[#This Row],[Unique Student Name]],'Raw Entries'!C:C,ClasswiseUniqueStudents7[[#This Row],[Class]])</f>
        <v>3</v>
      </c>
      <c r="E56" s="15">
        <f>ClasswiseUniqueStudents7[[#This Row],[Total Count]]*500</f>
        <v>1500</v>
      </c>
      <c r="F56" s="15"/>
    </row>
    <row r="57" spans="1:6">
      <c r="A57" s="5">
        <v>56</v>
      </c>
      <c r="B57" s="5" t="s">
        <v>62</v>
      </c>
      <c r="C57" s="15" t="s">
        <v>65</v>
      </c>
      <c r="D57" s="5">
        <f>COUNTIFS('Raw Entries'!B:B,ClasswiseUniqueStudents7[[#This Row],[Unique Student Name]],'Raw Entries'!C:C,ClasswiseUniqueStudents7[[#This Row],[Class]])</f>
        <v>2</v>
      </c>
      <c r="E57" s="15">
        <f>ClasswiseUniqueStudents7[[#This Row],[Total Count]]*500</f>
        <v>1000</v>
      </c>
      <c r="F57" s="15"/>
    </row>
    <row r="58" spans="1:6">
      <c r="A58" s="5">
        <v>57</v>
      </c>
      <c r="B58" s="5" t="s">
        <v>62</v>
      </c>
      <c r="C58" s="15" t="s">
        <v>66</v>
      </c>
      <c r="D58" s="5">
        <f>COUNTIFS('Raw Entries'!B:B,ClasswiseUniqueStudents7[[#This Row],[Unique Student Name]],'Raw Entries'!C:C,ClasswiseUniqueStudents7[[#This Row],[Class]])</f>
        <v>1</v>
      </c>
      <c r="E58" s="15">
        <f>ClasswiseUniqueStudents7[[#This Row],[Total Count]]*500</f>
        <v>500</v>
      </c>
      <c r="F58" s="15"/>
    </row>
    <row r="59" spans="1:6">
      <c r="A59" s="5">
        <v>58</v>
      </c>
      <c r="B59" s="5" t="s">
        <v>62</v>
      </c>
      <c r="C59" s="15" t="s">
        <v>67</v>
      </c>
      <c r="D59" s="5">
        <f>COUNTIFS('Raw Entries'!B:B,ClasswiseUniqueStudents7[[#This Row],[Unique Student Name]],'Raw Entries'!C:C,ClasswiseUniqueStudents7[[#This Row],[Class]])</f>
        <v>3</v>
      </c>
      <c r="E59" s="15">
        <f>ClasswiseUniqueStudents7[[#This Row],[Total Count]]*500</f>
        <v>1500</v>
      </c>
      <c r="F59" s="15"/>
    </row>
    <row r="60" spans="1:6">
      <c r="A60" s="5">
        <v>59</v>
      </c>
      <c r="B60" s="5" t="s">
        <v>68</v>
      </c>
      <c r="C60" s="15" t="s">
        <v>69</v>
      </c>
      <c r="D60" s="5">
        <f>COUNTIFS('Raw Entries'!B:B,ClasswiseUniqueStudents7[[#This Row],[Unique Student Name]],'Raw Entries'!C:C,ClasswiseUniqueStudents7[[#This Row],[Class]])</f>
        <v>1</v>
      </c>
      <c r="E60" s="15">
        <f>ClasswiseUniqueStudents7[[#This Row],[Total Count]]*500</f>
        <v>500</v>
      </c>
      <c r="F60" s="15"/>
    </row>
    <row r="61" spans="1:6">
      <c r="A61" s="5">
        <v>60</v>
      </c>
      <c r="B61" s="5" t="s">
        <v>68</v>
      </c>
      <c r="C61" s="15" t="s">
        <v>70</v>
      </c>
      <c r="D61" s="5">
        <f>COUNTIFS('Raw Entries'!B:B,ClasswiseUniqueStudents7[[#This Row],[Unique Student Name]],'Raw Entries'!C:C,ClasswiseUniqueStudents7[[#This Row],[Class]])</f>
        <v>1</v>
      </c>
      <c r="E61" s="15">
        <f>ClasswiseUniqueStudents7[[#This Row],[Total Count]]*500</f>
        <v>500</v>
      </c>
      <c r="F61" s="15"/>
    </row>
    <row r="62" spans="1:6">
      <c r="A62" s="5">
        <v>61</v>
      </c>
      <c r="B62" s="5" t="s">
        <v>68</v>
      </c>
      <c r="C62" s="15" t="s">
        <v>71</v>
      </c>
      <c r="D62" s="5">
        <f>COUNTIFS('Raw Entries'!B:B,ClasswiseUniqueStudents7[[#This Row],[Unique Student Name]],'Raw Entries'!C:C,ClasswiseUniqueStudents7[[#This Row],[Class]])</f>
        <v>3</v>
      </c>
      <c r="E62" s="15">
        <f>ClasswiseUniqueStudents7[[#This Row],[Total Count]]*500</f>
        <v>1500</v>
      </c>
      <c r="F62" s="15"/>
    </row>
    <row r="63" spans="1:6">
      <c r="A63" s="5">
        <v>62</v>
      </c>
      <c r="B63" s="5" t="s">
        <v>68</v>
      </c>
      <c r="C63" s="15" t="s">
        <v>3645</v>
      </c>
      <c r="D63" s="5">
        <f>COUNTIFS('Raw Entries'!B:B,ClasswiseUniqueStudents7[[#This Row],[Unique Student Name]],'Raw Entries'!C:C,ClasswiseUniqueStudents7[[#This Row],[Class]])</f>
        <v>3</v>
      </c>
      <c r="E63" s="15">
        <f>ClasswiseUniqueStudents7[[#This Row],[Total Count]]*500</f>
        <v>1500</v>
      </c>
      <c r="F63" s="15"/>
    </row>
    <row r="64" spans="1:6">
      <c r="A64" s="5">
        <v>63</v>
      </c>
      <c r="B64" s="5" t="s">
        <v>68</v>
      </c>
      <c r="C64" s="15" t="s">
        <v>72</v>
      </c>
      <c r="D64" s="5">
        <f>COUNTIFS('Raw Entries'!B:B,ClasswiseUniqueStudents7[[#This Row],[Unique Student Name]],'Raw Entries'!C:C,ClasswiseUniqueStudents7[[#This Row],[Class]])</f>
        <v>3</v>
      </c>
      <c r="E64" s="15">
        <f>ClasswiseUniqueStudents7[[#This Row],[Total Count]]*500</f>
        <v>1500</v>
      </c>
      <c r="F64" s="15"/>
    </row>
    <row r="65" spans="1:6">
      <c r="A65" s="5">
        <v>64</v>
      </c>
      <c r="B65" s="5" t="s">
        <v>68</v>
      </c>
      <c r="C65" s="15" t="s">
        <v>73</v>
      </c>
      <c r="D65" s="5">
        <f>COUNTIFS('Raw Entries'!B:B,ClasswiseUniqueStudents7[[#This Row],[Unique Student Name]],'Raw Entries'!C:C,ClasswiseUniqueStudents7[[#This Row],[Class]])</f>
        <v>1</v>
      </c>
      <c r="E65" s="15">
        <f>ClasswiseUniqueStudents7[[#This Row],[Total Count]]*500</f>
        <v>500</v>
      </c>
      <c r="F65" s="15"/>
    </row>
    <row r="66" spans="1:6">
      <c r="A66" s="5">
        <v>65</v>
      </c>
      <c r="B66" s="5" t="s">
        <v>68</v>
      </c>
      <c r="C66" s="15" t="s">
        <v>74</v>
      </c>
      <c r="D66" s="5">
        <f>COUNTIFS('Raw Entries'!B:B,ClasswiseUniqueStudents7[[#This Row],[Unique Student Name]],'Raw Entries'!C:C,ClasswiseUniqueStudents7[[#This Row],[Class]])</f>
        <v>1</v>
      </c>
      <c r="E66" s="15">
        <f>ClasswiseUniqueStudents7[[#This Row],[Total Count]]*500</f>
        <v>500</v>
      </c>
      <c r="F66" s="15"/>
    </row>
    <row r="67" spans="1:6">
      <c r="A67" s="5">
        <v>66</v>
      </c>
      <c r="B67" s="5" t="s">
        <v>68</v>
      </c>
      <c r="C67" s="15" t="s">
        <v>75</v>
      </c>
      <c r="D67" s="5">
        <f>COUNTIFS('Raw Entries'!B:B,ClasswiseUniqueStudents7[[#This Row],[Unique Student Name]],'Raw Entries'!C:C,ClasswiseUniqueStudents7[[#This Row],[Class]])</f>
        <v>3</v>
      </c>
      <c r="E67" s="15">
        <f>ClasswiseUniqueStudents7[[#This Row],[Total Count]]*500</f>
        <v>1500</v>
      </c>
      <c r="F67" s="15"/>
    </row>
    <row r="68" spans="1:6">
      <c r="A68" s="5">
        <v>67</v>
      </c>
      <c r="B68" s="5" t="s">
        <v>68</v>
      </c>
      <c r="C68" s="15" t="s">
        <v>76</v>
      </c>
      <c r="D68" s="5">
        <f>COUNTIFS('Raw Entries'!B:B,ClasswiseUniqueStudents7[[#This Row],[Unique Student Name]],'Raw Entries'!C:C,ClasswiseUniqueStudents7[[#This Row],[Class]])</f>
        <v>1</v>
      </c>
      <c r="E68" s="15">
        <f>ClasswiseUniqueStudents7[[#This Row],[Total Count]]*500</f>
        <v>500</v>
      </c>
      <c r="F68" s="15"/>
    </row>
    <row r="69" spans="1:6">
      <c r="A69" s="5">
        <v>68</v>
      </c>
      <c r="B69" s="5" t="s">
        <v>68</v>
      </c>
      <c r="C69" s="15" t="s">
        <v>77</v>
      </c>
      <c r="D69" s="5">
        <f>COUNTIFS('Raw Entries'!B:B,ClasswiseUniqueStudents7[[#This Row],[Unique Student Name]],'Raw Entries'!C:C,ClasswiseUniqueStudents7[[#This Row],[Class]])</f>
        <v>1</v>
      </c>
      <c r="E69" s="15">
        <f>ClasswiseUniqueStudents7[[#This Row],[Total Count]]*500</f>
        <v>500</v>
      </c>
      <c r="F69" s="15"/>
    </row>
    <row r="70" spans="1:6">
      <c r="A70" s="5">
        <v>69</v>
      </c>
      <c r="B70" s="5" t="s">
        <v>68</v>
      </c>
      <c r="C70" s="15" t="s">
        <v>78</v>
      </c>
      <c r="D70" s="5">
        <f>COUNTIFS('Raw Entries'!B:B,ClasswiseUniqueStudents7[[#This Row],[Unique Student Name]],'Raw Entries'!C:C,ClasswiseUniqueStudents7[[#This Row],[Class]])</f>
        <v>2</v>
      </c>
      <c r="E70" s="15">
        <f>ClasswiseUniqueStudents7[[#This Row],[Total Count]]*500</f>
        <v>1000</v>
      </c>
      <c r="F70" s="15"/>
    </row>
    <row r="71" spans="1:6">
      <c r="A71" s="5">
        <v>70</v>
      </c>
      <c r="B71" s="5" t="s">
        <v>68</v>
      </c>
      <c r="C71" s="15" t="s">
        <v>79</v>
      </c>
      <c r="D71" s="5">
        <f>COUNTIFS('Raw Entries'!B:B,ClasswiseUniqueStudents7[[#This Row],[Unique Student Name]],'Raw Entries'!C:C,ClasswiseUniqueStudents7[[#This Row],[Class]])</f>
        <v>3</v>
      </c>
      <c r="E71" s="15">
        <f>ClasswiseUniqueStudents7[[#This Row],[Total Count]]*500</f>
        <v>1500</v>
      </c>
      <c r="F71" s="15"/>
    </row>
    <row r="72" spans="1:6">
      <c r="A72" s="5">
        <v>71</v>
      </c>
      <c r="B72" s="5" t="s">
        <v>80</v>
      </c>
      <c r="C72" s="15" t="s">
        <v>81</v>
      </c>
      <c r="D72" s="5">
        <f>COUNTIFS('Raw Entries'!B:B,ClasswiseUniqueStudents7[[#This Row],[Unique Student Name]],'Raw Entries'!C:C,ClasswiseUniqueStudents7[[#This Row],[Class]])</f>
        <v>3</v>
      </c>
      <c r="E72" s="15">
        <f>ClasswiseUniqueStudents7[[#This Row],[Total Count]]*500</f>
        <v>1500</v>
      </c>
      <c r="F72" s="15"/>
    </row>
    <row r="73" spans="1:6">
      <c r="A73" s="5">
        <v>72</v>
      </c>
      <c r="B73" s="5" t="s">
        <v>80</v>
      </c>
      <c r="C73" s="15" t="s">
        <v>82</v>
      </c>
      <c r="D73" s="5">
        <f>COUNTIFS('Raw Entries'!B:B,ClasswiseUniqueStudents7[[#This Row],[Unique Student Name]],'Raw Entries'!C:C,ClasswiseUniqueStudents7[[#This Row],[Class]])</f>
        <v>2</v>
      </c>
      <c r="E73" s="15">
        <f>ClasswiseUniqueStudents7[[#This Row],[Total Count]]*500</f>
        <v>1000</v>
      </c>
      <c r="F73" s="15"/>
    </row>
    <row r="74" spans="1:6">
      <c r="A74" s="5">
        <v>73</v>
      </c>
      <c r="B74" s="5" t="s">
        <v>80</v>
      </c>
      <c r="C74" s="15" t="s">
        <v>83</v>
      </c>
      <c r="D74" s="5">
        <f>COUNTIFS('Raw Entries'!B:B,ClasswiseUniqueStudents7[[#This Row],[Unique Student Name]],'Raw Entries'!C:C,ClasswiseUniqueStudents7[[#This Row],[Class]])</f>
        <v>2</v>
      </c>
      <c r="E74" s="15">
        <f>ClasswiseUniqueStudents7[[#This Row],[Total Count]]*500</f>
        <v>1000</v>
      </c>
      <c r="F74" s="15"/>
    </row>
    <row r="75" spans="1:6">
      <c r="A75" s="5">
        <v>74</v>
      </c>
      <c r="B75" s="5" t="s">
        <v>80</v>
      </c>
      <c r="C75" s="15" t="s">
        <v>84</v>
      </c>
      <c r="D75" s="5">
        <f>COUNTIFS('Raw Entries'!B:B,ClasswiseUniqueStudents7[[#This Row],[Unique Student Name]],'Raw Entries'!C:C,ClasswiseUniqueStudents7[[#This Row],[Class]])</f>
        <v>3</v>
      </c>
      <c r="E75" s="15">
        <f>ClasswiseUniqueStudents7[[#This Row],[Total Count]]*500</f>
        <v>1500</v>
      </c>
      <c r="F75" s="15"/>
    </row>
    <row r="76" spans="1:6">
      <c r="A76" s="5">
        <v>75</v>
      </c>
      <c r="B76" s="5" t="s">
        <v>80</v>
      </c>
      <c r="C76" s="15" t="s">
        <v>85</v>
      </c>
      <c r="D76" s="5">
        <f>COUNTIFS('Raw Entries'!B:B,ClasswiseUniqueStudents7[[#This Row],[Unique Student Name]],'Raw Entries'!C:C,ClasswiseUniqueStudents7[[#This Row],[Class]])</f>
        <v>1</v>
      </c>
      <c r="E76" s="15">
        <f>ClasswiseUniqueStudents7[[#This Row],[Total Count]]*500</f>
        <v>500</v>
      </c>
      <c r="F76" s="15"/>
    </row>
    <row r="77" spans="1:6">
      <c r="A77" s="5">
        <v>76</v>
      </c>
      <c r="B77" s="5" t="s">
        <v>80</v>
      </c>
      <c r="C77" s="15" t="s">
        <v>86</v>
      </c>
      <c r="D77" s="5">
        <f>COUNTIFS('Raw Entries'!B:B,ClasswiseUniqueStudents7[[#This Row],[Unique Student Name]],'Raw Entries'!C:C,ClasswiseUniqueStudents7[[#This Row],[Class]])</f>
        <v>1</v>
      </c>
      <c r="E77" s="15">
        <f>ClasswiseUniqueStudents7[[#This Row],[Total Count]]*500</f>
        <v>500</v>
      </c>
      <c r="F77" s="15"/>
    </row>
    <row r="78" spans="1:6">
      <c r="A78" s="5">
        <v>77</v>
      </c>
      <c r="B78" s="5" t="s">
        <v>87</v>
      </c>
      <c r="C78" s="15" t="s">
        <v>88</v>
      </c>
      <c r="D78" s="5">
        <f>COUNTIFS('Raw Entries'!B:B,ClasswiseUniqueStudents7[[#This Row],[Unique Student Name]],'Raw Entries'!C:C,ClasswiseUniqueStudents7[[#This Row],[Class]])</f>
        <v>1</v>
      </c>
      <c r="E78" s="15">
        <f>ClasswiseUniqueStudents7[[#This Row],[Total Count]]*500</f>
        <v>500</v>
      </c>
      <c r="F78" s="15"/>
    </row>
    <row r="79" spans="1:6">
      <c r="A79" s="5">
        <v>78</v>
      </c>
      <c r="B79" s="5" t="s">
        <v>87</v>
      </c>
      <c r="C79" s="15" t="s">
        <v>89</v>
      </c>
      <c r="D79" s="5">
        <f>COUNTIFS('Raw Entries'!B:B,ClasswiseUniqueStudents7[[#This Row],[Unique Student Name]],'Raw Entries'!C:C,ClasswiseUniqueStudents7[[#This Row],[Class]])</f>
        <v>3</v>
      </c>
      <c r="E79" s="15">
        <f>ClasswiseUniqueStudents7[[#This Row],[Total Count]]*500</f>
        <v>1500</v>
      </c>
      <c r="F79" s="15"/>
    </row>
    <row r="80" spans="1:6">
      <c r="A80" s="5">
        <v>79</v>
      </c>
      <c r="B80" s="5" t="s">
        <v>87</v>
      </c>
      <c r="C80" s="15" t="s">
        <v>90</v>
      </c>
      <c r="D80" s="5">
        <f>COUNTIFS('Raw Entries'!B:B,ClasswiseUniqueStudents7[[#This Row],[Unique Student Name]],'Raw Entries'!C:C,ClasswiseUniqueStudents7[[#This Row],[Class]])</f>
        <v>3</v>
      </c>
      <c r="E80" s="15">
        <f>ClasswiseUniqueStudents7[[#This Row],[Total Count]]*500</f>
        <v>1500</v>
      </c>
      <c r="F80" s="15"/>
    </row>
    <row r="81" spans="1:6">
      <c r="A81" s="5">
        <v>80</v>
      </c>
      <c r="B81" s="5" t="s">
        <v>87</v>
      </c>
      <c r="C81" s="15" t="s">
        <v>91</v>
      </c>
      <c r="D81" s="5">
        <f>COUNTIFS('Raw Entries'!B:B,ClasswiseUniqueStudents7[[#This Row],[Unique Student Name]],'Raw Entries'!C:C,ClasswiseUniqueStudents7[[#This Row],[Class]])</f>
        <v>3</v>
      </c>
      <c r="E81" s="15">
        <f>ClasswiseUniqueStudents7[[#This Row],[Total Count]]*500</f>
        <v>1500</v>
      </c>
      <c r="F81" s="15"/>
    </row>
    <row r="82" spans="1:6">
      <c r="A82" s="5">
        <v>81</v>
      </c>
      <c r="B82" s="5" t="s">
        <v>87</v>
      </c>
      <c r="C82" s="15" t="s">
        <v>92</v>
      </c>
      <c r="D82" s="5">
        <f>COUNTIFS('Raw Entries'!B:B,ClasswiseUniqueStudents7[[#This Row],[Unique Student Name]],'Raw Entries'!C:C,ClasswiseUniqueStudents7[[#This Row],[Class]])</f>
        <v>1</v>
      </c>
      <c r="E82" s="15">
        <f>ClasswiseUniqueStudents7[[#This Row],[Total Count]]*500</f>
        <v>500</v>
      </c>
      <c r="F82" s="15"/>
    </row>
    <row r="83" spans="1:6">
      <c r="A83" s="5">
        <v>82</v>
      </c>
      <c r="B83" s="5" t="s">
        <v>87</v>
      </c>
      <c r="C83" s="15" t="s">
        <v>93</v>
      </c>
      <c r="D83" s="5">
        <f>COUNTIFS('Raw Entries'!B:B,ClasswiseUniqueStudents7[[#This Row],[Unique Student Name]],'Raw Entries'!C:C,ClasswiseUniqueStudents7[[#This Row],[Class]])</f>
        <v>3</v>
      </c>
      <c r="E83" s="15">
        <f>ClasswiseUniqueStudents7[[#This Row],[Total Count]]*500</f>
        <v>1500</v>
      </c>
      <c r="F83" s="15"/>
    </row>
    <row r="84" spans="1:6">
      <c r="A84" s="5">
        <v>83</v>
      </c>
      <c r="B84" s="5" t="s">
        <v>87</v>
      </c>
      <c r="C84" s="15" t="s">
        <v>94</v>
      </c>
      <c r="D84" s="5">
        <f>COUNTIFS('Raw Entries'!B:B,ClasswiseUniqueStudents7[[#This Row],[Unique Student Name]],'Raw Entries'!C:C,ClasswiseUniqueStudents7[[#This Row],[Class]])</f>
        <v>3</v>
      </c>
      <c r="E84" s="15">
        <f>ClasswiseUniqueStudents7[[#This Row],[Total Count]]*500</f>
        <v>1500</v>
      </c>
      <c r="F84" s="15"/>
    </row>
    <row r="85" spans="1:6">
      <c r="A85" s="5">
        <v>84</v>
      </c>
      <c r="B85" s="5" t="s">
        <v>87</v>
      </c>
      <c r="C85" s="15" t="s">
        <v>95</v>
      </c>
      <c r="D85" s="5">
        <f>COUNTIFS('Raw Entries'!B:B,ClasswiseUniqueStudents7[[#This Row],[Unique Student Name]],'Raw Entries'!C:C,ClasswiseUniqueStudents7[[#This Row],[Class]])</f>
        <v>3</v>
      </c>
      <c r="E85" s="15">
        <f>ClasswiseUniqueStudents7[[#This Row],[Total Count]]*500</f>
        <v>1500</v>
      </c>
      <c r="F85" s="15"/>
    </row>
    <row r="86" spans="1:6">
      <c r="A86" s="5">
        <v>85</v>
      </c>
      <c r="B86" s="5" t="s">
        <v>87</v>
      </c>
      <c r="C86" s="15" t="s">
        <v>96</v>
      </c>
      <c r="D86" s="5">
        <f>COUNTIFS('Raw Entries'!B:B,ClasswiseUniqueStudents7[[#This Row],[Unique Student Name]],'Raw Entries'!C:C,ClasswiseUniqueStudents7[[#This Row],[Class]])</f>
        <v>3</v>
      </c>
      <c r="E86" s="15">
        <f>ClasswiseUniqueStudents7[[#This Row],[Total Count]]*500</f>
        <v>1500</v>
      </c>
      <c r="F86" s="15"/>
    </row>
    <row r="87" spans="1:6">
      <c r="A87" s="5">
        <v>86</v>
      </c>
      <c r="B87" s="5" t="s">
        <v>87</v>
      </c>
      <c r="C87" s="15" t="s">
        <v>97</v>
      </c>
      <c r="D87" s="5">
        <f>COUNTIFS('Raw Entries'!B:B,ClasswiseUniqueStudents7[[#This Row],[Unique Student Name]],'Raw Entries'!C:C,ClasswiseUniqueStudents7[[#This Row],[Class]])</f>
        <v>1</v>
      </c>
      <c r="E87" s="15">
        <f>ClasswiseUniqueStudents7[[#This Row],[Total Count]]*500</f>
        <v>500</v>
      </c>
      <c r="F87" s="15"/>
    </row>
    <row r="88" spans="1:6">
      <c r="A88" s="5">
        <v>87</v>
      </c>
      <c r="B88" s="5" t="s">
        <v>87</v>
      </c>
      <c r="C88" s="15" t="s">
        <v>98</v>
      </c>
      <c r="D88" s="5">
        <f>COUNTIFS('Raw Entries'!B:B,ClasswiseUniqueStudents7[[#This Row],[Unique Student Name]],'Raw Entries'!C:C,ClasswiseUniqueStudents7[[#This Row],[Class]])</f>
        <v>3</v>
      </c>
      <c r="E88" s="15">
        <f>ClasswiseUniqueStudents7[[#This Row],[Total Count]]*500</f>
        <v>1500</v>
      </c>
      <c r="F88" s="15"/>
    </row>
    <row r="89" spans="1:6">
      <c r="A89" s="5">
        <v>88</v>
      </c>
      <c r="B89" s="5" t="s">
        <v>87</v>
      </c>
      <c r="C89" s="15" t="s">
        <v>99</v>
      </c>
      <c r="D89" s="5">
        <f>COUNTIFS('Raw Entries'!B:B,ClasswiseUniqueStudents7[[#This Row],[Unique Student Name]],'Raw Entries'!C:C,ClasswiseUniqueStudents7[[#This Row],[Class]])</f>
        <v>1</v>
      </c>
      <c r="E89" s="15">
        <f>ClasswiseUniqueStudents7[[#This Row],[Total Count]]*500</f>
        <v>500</v>
      </c>
      <c r="F89" s="15"/>
    </row>
    <row r="90" spans="1:6">
      <c r="A90" s="5">
        <v>89</v>
      </c>
      <c r="B90" s="5" t="s">
        <v>87</v>
      </c>
      <c r="C90" s="15" t="s">
        <v>100</v>
      </c>
      <c r="D90" s="5">
        <f>COUNTIFS('Raw Entries'!B:B,ClasswiseUniqueStudents7[[#This Row],[Unique Student Name]],'Raw Entries'!C:C,ClasswiseUniqueStudents7[[#This Row],[Class]])</f>
        <v>3</v>
      </c>
      <c r="E90" s="15">
        <f>ClasswiseUniqueStudents7[[#This Row],[Total Count]]*500</f>
        <v>1500</v>
      </c>
      <c r="F90" s="15"/>
    </row>
    <row r="91" spans="1:6">
      <c r="A91" s="5">
        <v>90</v>
      </c>
      <c r="B91" s="5" t="s">
        <v>87</v>
      </c>
      <c r="C91" s="15" t="s">
        <v>101</v>
      </c>
      <c r="D91" s="5">
        <f>COUNTIFS('Raw Entries'!B:B,ClasswiseUniqueStudents7[[#This Row],[Unique Student Name]],'Raw Entries'!C:C,ClasswiseUniqueStudents7[[#This Row],[Class]])</f>
        <v>1</v>
      </c>
      <c r="E91" s="15">
        <f>ClasswiseUniqueStudents7[[#This Row],[Total Count]]*500</f>
        <v>500</v>
      </c>
      <c r="F91" s="15"/>
    </row>
    <row r="92" spans="1:6">
      <c r="A92" s="5">
        <v>91</v>
      </c>
      <c r="B92" s="5" t="s">
        <v>102</v>
      </c>
      <c r="C92" s="15" t="s">
        <v>103</v>
      </c>
      <c r="D92" s="5">
        <f>COUNTIFS('Raw Entries'!B:B,ClasswiseUniqueStudents7[[#This Row],[Unique Student Name]],'Raw Entries'!C:C,ClasswiseUniqueStudents7[[#This Row],[Class]])</f>
        <v>1</v>
      </c>
      <c r="E92" s="15">
        <f>ClasswiseUniqueStudents7[[#This Row],[Total Count]]*500</f>
        <v>500</v>
      </c>
      <c r="F92" s="15"/>
    </row>
    <row r="93" spans="1:6">
      <c r="A93" s="5">
        <v>92</v>
      </c>
      <c r="B93" s="5" t="s">
        <v>102</v>
      </c>
      <c r="C93" s="15" t="s">
        <v>104</v>
      </c>
      <c r="D93" s="5">
        <f>COUNTIFS('Raw Entries'!B:B,ClasswiseUniqueStudents7[[#This Row],[Unique Student Name]],'Raw Entries'!C:C,ClasswiseUniqueStudents7[[#This Row],[Class]])</f>
        <v>3</v>
      </c>
      <c r="E93" s="15">
        <f>ClasswiseUniqueStudents7[[#This Row],[Total Count]]*500</f>
        <v>1500</v>
      </c>
      <c r="F93" s="15"/>
    </row>
    <row r="94" spans="1:6">
      <c r="A94" s="5">
        <v>93</v>
      </c>
      <c r="B94" s="5" t="s">
        <v>102</v>
      </c>
      <c r="C94" s="15" t="s">
        <v>105</v>
      </c>
      <c r="D94" s="5">
        <f>COUNTIFS('Raw Entries'!B:B,ClasswiseUniqueStudents7[[#This Row],[Unique Student Name]],'Raw Entries'!C:C,ClasswiseUniqueStudents7[[#This Row],[Class]])</f>
        <v>1</v>
      </c>
      <c r="E94" s="15">
        <f>ClasswiseUniqueStudents7[[#This Row],[Total Count]]*500</f>
        <v>500</v>
      </c>
      <c r="F94" s="15"/>
    </row>
    <row r="95" spans="1:6">
      <c r="A95" s="5">
        <v>94</v>
      </c>
      <c r="B95" s="5" t="s">
        <v>102</v>
      </c>
      <c r="C95" s="15" t="s">
        <v>106</v>
      </c>
      <c r="D95" s="5">
        <f>COUNTIFS('Raw Entries'!B:B,ClasswiseUniqueStudents7[[#This Row],[Unique Student Name]],'Raw Entries'!C:C,ClasswiseUniqueStudents7[[#This Row],[Class]])</f>
        <v>1</v>
      </c>
      <c r="E95" s="15">
        <f>ClasswiseUniqueStudents7[[#This Row],[Total Count]]*500</f>
        <v>500</v>
      </c>
      <c r="F95" s="15"/>
    </row>
    <row r="96" spans="1:6">
      <c r="A96" s="5">
        <v>95</v>
      </c>
      <c r="B96" s="5" t="s">
        <v>102</v>
      </c>
      <c r="C96" s="15" t="s">
        <v>107</v>
      </c>
      <c r="D96" s="5">
        <f>COUNTIFS('Raw Entries'!B:B,ClasswiseUniqueStudents7[[#This Row],[Unique Student Name]],'Raw Entries'!C:C,ClasswiseUniqueStudents7[[#This Row],[Class]])</f>
        <v>1</v>
      </c>
      <c r="E96" s="15">
        <f>ClasswiseUniqueStudents7[[#This Row],[Total Count]]*500</f>
        <v>500</v>
      </c>
      <c r="F96" s="15"/>
    </row>
    <row r="97" spans="1:6">
      <c r="A97" s="5">
        <v>96</v>
      </c>
      <c r="B97" s="5" t="s">
        <v>102</v>
      </c>
      <c r="C97" s="15" t="s">
        <v>108</v>
      </c>
      <c r="D97" s="5">
        <f>COUNTIFS('Raw Entries'!B:B,ClasswiseUniqueStudents7[[#This Row],[Unique Student Name]],'Raw Entries'!C:C,ClasswiseUniqueStudents7[[#This Row],[Class]])</f>
        <v>2</v>
      </c>
      <c r="E97" s="15">
        <f>ClasswiseUniqueStudents7[[#This Row],[Total Count]]*500</f>
        <v>1000</v>
      </c>
      <c r="F97" s="15"/>
    </row>
    <row r="98" spans="1:6">
      <c r="A98" s="5">
        <v>97</v>
      </c>
      <c r="B98" s="5" t="s">
        <v>102</v>
      </c>
      <c r="C98" s="15" t="s">
        <v>109</v>
      </c>
      <c r="D98" s="5">
        <f>COUNTIFS('Raw Entries'!B:B,ClasswiseUniqueStudents7[[#This Row],[Unique Student Name]],'Raw Entries'!C:C,ClasswiseUniqueStudents7[[#This Row],[Class]])</f>
        <v>1</v>
      </c>
      <c r="E98" s="15">
        <f>ClasswiseUniqueStudents7[[#This Row],[Total Count]]*500</f>
        <v>500</v>
      </c>
      <c r="F98" s="15"/>
    </row>
    <row r="99" spans="1:6">
      <c r="A99" s="5">
        <v>98</v>
      </c>
      <c r="B99" s="5" t="s">
        <v>102</v>
      </c>
      <c r="C99" s="15" t="s">
        <v>110</v>
      </c>
      <c r="D99" s="5">
        <f>COUNTIFS('Raw Entries'!B:B,ClasswiseUniqueStudents7[[#This Row],[Unique Student Name]],'Raw Entries'!C:C,ClasswiseUniqueStudents7[[#This Row],[Class]])</f>
        <v>2</v>
      </c>
      <c r="E99" s="15">
        <f>ClasswiseUniqueStudents7[[#This Row],[Total Count]]*500</f>
        <v>1000</v>
      </c>
      <c r="F99" s="15"/>
    </row>
    <row r="100" spans="1:6">
      <c r="A100" s="5">
        <v>99</v>
      </c>
      <c r="B100" s="5" t="s">
        <v>102</v>
      </c>
      <c r="C100" s="15" t="s">
        <v>111</v>
      </c>
      <c r="D100" s="5">
        <f>COUNTIFS('Raw Entries'!B:B,ClasswiseUniqueStudents7[[#This Row],[Unique Student Name]],'Raw Entries'!C:C,ClasswiseUniqueStudents7[[#This Row],[Class]])</f>
        <v>2</v>
      </c>
      <c r="E100" s="15">
        <f>ClasswiseUniqueStudents7[[#This Row],[Total Count]]*500</f>
        <v>1000</v>
      </c>
      <c r="F100" s="15"/>
    </row>
    <row r="101" spans="1:6">
      <c r="A101" s="5">
        <v>100</v>
      </c>
      <c r="B101" s="5" t="s">
        <v>102</v>
      </c>
      <c r="C101" s="15" t="s">
        <v>112</v>
      </c>
      <c r="D101" s="5">
        <f>COUNTIFS('Raw Entries'!B:B,ClasswiseUniqueStudents7[[#This Row],[Unique Student Name]],'Raw Entries'!C:C,ClasswiseUniqueStudents7[[#This Row],[Class]])</f>
        <v>3</v>
      </c>
      <c r="E101" s="15">
        <f>ClasswiseUniqueStudents7[[#This Row],[Total Count]]*500</f>
        <v>1500</v>
      </c>
      <c r="F101" s="15"/>
    </row>
    <row r="102" spans="1:6">
      <c r="A102" s="5">
        <v>101</v>
      </c>
      <c r="B102" s="5" t="s">
        <v>113</v>
      </c>
      <c r="C102" s="15" t="s">
        <v>114</v>
      </c>
      <c r="D102" s="5">
        <f>COUNTIFS('Raw Entries'!B:B,ClasswiseUniqueStudents7[[#This Row],[Unique Student Name]],'Raw Entries'!C:C,ClasswiseUniqueStudents7[[#This Row],[Class]])</f>
        <v>3</v>
      </c>
      <c r="E102" s="15">
        <f>ClasswiseUniqueStudents7[[#This Row],[Total Count]]*500</f>
        <v>1500</v>
      </c>
      <c r="F102" s="15"/>
    </row>
    <row r="103" spans="1:6">
      <c r="A103" s="5">
        <v>102</v>
      </c>
      <c r="B103" s="5" t="s">
        <v>113</v>
      </c>
      <c r="C103" s="15" t="s">
        <v>115</v>
      </c>
      <c r="D103" s="5">
        <f>COUNTIFS('Raw Entries'!B:B,ClasswiseUniqueStudents7[[#This Row],[Unique Student Name]],'Raw Entries'!C:C,ClasswiseUniqueStudents7[[#This Row],[Class]])</f>
        <v>2</v>
      </c>
      <c r="E103" s="15">
        <f>ClasswiseUniqueStudents7[[#This Row],[Total Count]]*500</f>
        <v>1000</v>
      </c>
      <c r="F103" s="15"/>
    </row>
    <row r="104" spans="1:6">
      <c r="A104" s="5">
        <v>103</v>
      </c>
      <c r="B104" s="5" t="s">
        <v>113</v>
      </c>
      <c r="C104" s="15" t="s">
        <v>116</v>
      </c>
      <c r="D104" s="5">
        <f>COUNTIFS('Raw Entries'!B:B,ClasswiseUniqueStudents7[[#This Row],[Unique Student Name]],'Raw Entries'!C:C,ClasswiseUniqueStudents7[[#This Row],[Class]])</f>
        <v>3</v>
      </c>
      <c r="E104" s="15">
        <f>ClasswiseUniqueStudents7[[#This Row],[Total Count]]*500</f>
        <v>1500</v>
      </c>
      <c r="F104" s="15"/>
    </row>
    <row r="105" spans="1:6">
      <c r="A105" s="5">
        <v>104</v>
      </c>
      <c r="B105" s="5" t="s">
        <v>113</v>
      </c>
      <c r="C105" s="15" t="s">
        <v>117</v>
      </c>
      <c r="D105" s="5">
        <f>COUNTIFS('Raw Entries'!B:B,ClasswiseUniqueStudents7[[#This Row],[Unique Student Name]],'Raw Entries'!C:C,ClasswiseUniqueStudents7[[#This Row],[Class]])</f>
        <v>1</v>
      </c>
      <c r="E105" s="15">
        <f>ClasswiseUniqueStudents7[[#This Row],[Total Count]]*500</f>
        <v>500</v>
      </c>
      <c r="F105" s="15"/>
    </row>
    <row r="106" spans="1:6">
      <c r="A106" s="5">
        <v>105</v>
      </c>
      <c r="B106" s="5" t="s">
        <v>113</v>
      </c>
      <c r="C106" s="15" t="s">
        <v>118</v>
      </c>
      <c r="D106" s="5">
        <f>COUNTIFS('Raw Entries'!B:B,ClasswiseUniqueStudents7[[#This Row],[Unique Student Name]],'Raw Entries'!C:C,ClasswiseUniqueStudents7[[#This Row],[Class]])</f>
        <v>3</v>
      </c>
      <c r="E106" s="15">
        <f>ClasswiseUniqueStudents7[[#This Row],[Total Count]]*500</f>
        <v>1500</v>
      </c>
      <c r="F106" s="15"/>
    </row>
    <row r="107" spans="1:6">
      <c r="A107" s="5">
        <v>106</v>
      </c>
      <c r="B107" s="5" t="s">
        <v>119</v>
      </c>
      <c r="C107" s="15" t="s">
        <v>120</v>
      </c>
      <c r="D107" s="5">
        <f>COUNTIFS('Raw Entries'!B:B,ClasswiseUniqueStudents7[[#This Row],[Unique Student Name]],'Raw Entries'!C:C,ClasswiseUniqueStudents7[[#This Row],[Class]])</f>
        <v>1</v>
      </c>
      <c r="E107" s="15">
        <f>ClasswiseUniqueStudents7[[#This Row],[Total Count]]*500</f>
        <v>500</v>
      </c>
      <c r="F107" s="15"/>
    </row>
    <row r="108" spans="1:6">
      <c r="A108" s="5">
        <v>107</v>
      </c>
      <c r="B108" s="5" t="s">
        <v>119</v>
      </c>
      <c r="C108" s="15" t="s">
        <v>121</v>
      </c>
      <c r="D108" s="5">
        <f>COUNTIFS('Raw Entries'!B:B,ClasswiseUniqueStudents7[[#This Row],[Unique Student Name]],'Raw Entries'!C:C,ClasswiseUniqueStudents7[[#This Row],[Class]])</f>
        <v>3</v>
      </c>
      <c r="E108" s="15">
        <f>ClasswiseUniqueStudents7[[#This Row],[Total Count]]*500</f>
        <v>1500</v>
      </c>
      <c r="F108" s="15"/>
    </row>
    <row r="109" spans="1:6">
      <c r="A109" s="5">
        <v>108</v>
      </c>
      <c r="B109" s="5" t="s">
        <v>119</v>
      </c>
      <c r="C109" s="15" t="s">
        <v>122</v>
      </c>
      <c r="D109" s="5">
        <f>COUNTIFS('Raw Entries'!B:B,ClasswiseUniqueStudents7[[#This Row],[Unique Student Name]],'Raw Entries'!C:C,ClasswiseUniqueStudents7[[#This Row],[Class]])</f>
        <v>2</v>
      </c>
      <c r="E109" s="15">
        <f>ClasswiseUniqueStudents7[[#This Row],[Total Count]]*500</f>
        <v>1000</v>
      </c>
      <c r="F109" s="15"/>
    </row>
    <row r="110" spans="1:6">
      <c r="A110" s="5">
        <v>109</v>
      </c>
      <c r="B110" s="5" t="s">
        <v>119</v>
      </c>
      <c r="C110" s="15" t="s">
        <v>123</v>
      </c>
      <c r="D110" s="5">
        <f>COUNTIFS('Raw Entries'!B:B,ClasswiseUniqueStudents7[[#This Row],[Unique Student Name]],'Raw Entries'!C:C,ClasswiseUniqueStudents7[[#This Row],[Class]])</f>
        <v>1</v>
      </c>
      <c r="E110" s="15">
        <f>ClasswiseUniqueStudents7[[#This Row],[Total Count]]*500</f>
        <v>500</v>
      </c>
      <c r="F110" s="15"/>
    </row>
    <row r="111" spans="1:6">
      <c r="A111" s="5">
        <v>110</v>
      </c>
      <c r="B111" s="5" t="s">
        <v>119</v>
      </c>
      <c r="C111" s="15" t="s">
        <v>124</v>
      </c>
      <c r="D111" s="5">
        <f>COUNTIFS('Raw Entries'!B:B,ClasswiseUniqueStudents7[[#This Row],[Unique Student Name]],'Raw Entries'!C:C,ClasswiseUniqueStudents7[[#This Row],[Class]])</f>
        <v>3</v>
      </c>
      <c r="E111" s="15">
        <f>ClasswiseUniqueStudents7[[#This Row],[Total Count]]*500</f>
        <v>1500</v>
      </c>
      <c r="F111" s="15"/>
    </row>
    <row r="112" spans="1:6">
      <c r="A112" s="5">
        <v>111</v>
      </c>
      <c r="B112" s="5" t="s">
        <v>119</v>
      </c>
      <c r="C112" s="15" t="s">
        <v>125</v>
      </c>
      <c r="D112" s="5">
        <f>COUNTIFS('Raw Entries'!B:B,ClasswiseUniqueStudents7[[#This Row],[Unique Student Name]],'Raw Entries'!C:C,ClasswiseUniqueStudents7[[#This Row],[Class]])</f>
        <v>2</v>
      </c>
      <c r="E112" s="15">
        <f>ClasswiseUniqueStudents7[[#This Row],[Total Count]]*500</f>
        <v>1000</v>
      </c>
      <c r="F112" s="15"/>
    </row>
    <row r="113" spans="1:6">
      <c r="A113" s="5">
        <v>112</v>
      </c>
      <c r="B113" s="5" t="s">
        <v>119</v>
      </c>
      <c r="C113" s="15" t="s">
        <v>126</v>
      </c>
      <c r="D113" s="5">
        <f>COUNTIFS('Raw Entries'!B:B,ClasswiseUniqueStudents7[[#This Row],[Unique Student Name]],'Raw Entries'!C:C,ClasswiseUniqueStudents7[[#This Row],[Class]])</f>
        <v>1</v>
      </c>
      <c r="E113" s="15">
        <f>ClasswiseUniqueStudents7[[#This Row],[Total Count]]*500</f>
        <v>500</v>
      </c>
      <c r="F113" s="15"/>
    </row>
    <row r="114" spans="1:6">
      <c r="A114" s="5">
        <v>113</v>
      </c>
      <c r="B114" s="5" t="s">
        <v>119</v>
      </c>
      <c r="C114" s="15" t="s">
        <v>127</v>
      </c>
      <c r="D114" s="5">
        <f>COUNTIFS('Raw Entries'!B:B,ClasswiseUniqueStudents7[[#This Row],[Unique Student Name]],'Raw Entries'!C:C,ClasswiseUniqueStudents7[[#This Row],[Class]])</f>
        <v>2</v>
      </c>
      <c r="E114" s="15">
        <f>ClasswiseUniqueStudents7[[#This Row],[Total Count]]*500</f>
        <v>1000</v>
      </c>
      <c r="F114" s="15"/>
    </row>
    <row r="115" spans="1:6">
      <c r="A115" s="5">
        <v>114</v>
      </c>
      <c r="B115" s="5" t="s">
        <v>128</v>
      </c>
      <c r="C115" s="15" t="s">
        <v>129</v>
      </c>
      <c r="D115" s="5">
        <f>COUNTIFS('Raw Entries'!B:B,ClasswiseUniqueStudents7[[#This Row],[Unique Student Name]],'Raw Entries'!C:C,ClasswiseUniqueStudents7[[#This Row],[Class]])</f>
        <v>3</v>
      </c>
      <c r="E115" s="15">
        <f>ClasswiseUniqueStudents7[[#This Row],[Total Count]]*500</f>
        <v>1500</v>
      </c>
      <c r="F115" s="15"/>
    </row>
    <row r="116" spans="1:6">
      <c r="A116" s="5">
        <v>115</v>
      </c>
      <c r="B116" s="5" t="s">
        <v>128</v>
      </c>
      <c r="C116" s="15" t="s">
        <v>130</v>
      </c>
      <c r="D116" s="5">
        <f>COUNTIFS('Raw Entries'!B:B,ClasswiseUniqueStudents7[[#This Row],[Unique Student Name]],'Raw Entries'!C:C,ClasswiseUniqueStudents7[[#This Row],[Class]])</f>
        <v>3</v>
      </c>
      <c r="E116" s="15">
        <f>ClasswiseUniqueStudents7[[#This Row],[Total Count]]*500</f>
        <v>1500</v>
      </c>
      <c r="F116" s="15"/>
    </row>
    <row r="117" spans="1:6">
      <c r="A117" s="5">
        <v>116</v>
      </c>
      <c r="B117" s="5" t="s">
        <v>128</v>
      </c>
      <c r="C117" s="15" t="s">
        <v>131</v>
      </c>
      <c r="D117" s="5">
        <f>COUNTIFS('Raw Entries'!B:B,ClasswiseUniqueStudents7[[#This Row],[Unique Student Name]],'Raw Entries'!C:C,ClasswiseUniqueStudents7[[#This Row],[Class]])</f>
        <v>3</v>
      </c>
      <c r="E117" s="15">
        <f>ClasswiseUniqueStudents7[[#This Row],[Total Count]]*500</f>
        <v>1500</v>
      </c>
      <c r="F117" s="15"/>
    </row>
    <row r="118" spans="1:6">
      <c r="A118" s="5">
        <v>117</v>
      </c>
      <c r="B118" s="5" t="s">
        <v>128</v>
      </c>
      <c r="C118" s="15" t="s">
        <v>132</v>
      </c>
      <c r="D118" s="5">
        <f>COUNTIFS('Raw Entries'!B:B,ClasswiseUniqueStudents7[[#This Row],[Unique Student Name]],'Raw Entries'!C:C,ClasswiseUniqueStudents7[[#This Row],[Class]])</f>
        <v>1</v>
      </c>
      <c r="E118" s="15">
        <f>ClasswiseUniqueStudents7[[#This Row],[Total Count]]*500</f>
        <v>500</v>
      </c>
      <c r="F118" s="15"/>
    </row>
    <row r="119" spans="1:6">
      <c r="A119" s="5">
        <v>118</v>
      </c>
      <c r="B119" s="5" t="s">
        <v>128</v>
      </c>
      <c r="C119" s="15" t="s">
        <v>133</v>
      </c>
      <c r="D119" s="5">
        <f>COUNTIFS('Raw Entries'!B:B,ClasswiseUniqueStudents7[[#This Row],[Unique Student Name]],'Raw Entries'!C:C,ClasswiseUniqueStudents7[[#This Row],[Class]])</f>
        <v>1</v>
      </c>
      <c r="E119" s="15">
        <f>ClasswiseUniqueStudents7[[#This Row],[Total Count]]*500</f>
        <v>500</v>
      </c>
      <c r="F119" s="15"/>
    </row>
    <row r="120" spans="1:6">
      <c r="A120" s="5">
        <v>119</v>
      </c>
      <c r="B120" s="5" t="s">
        <v>128</v>
      </c>
      <c r="C120" s="15" t="s">
        <v>134</v>
      </c>
      <c r="D120" s="5">
        <f>COUNTIFS('Raw Entries'!B:B,ClasswiseUniqueStudents7[[#This Row],[Unique Student Name]],'Raw Entries'!C:C,ClasswiseUniqueStudents7[[#This Row],[Class]])</f>
        <v>1</v>
      </c>
      <c r="E120" s="15">
        <f>ClasswiseUniqueStudents7[[#This Row],[Total Count]]*500</f>
        <v>500</v>
      </c>
      <c r="F120" s="15"/>
    </row>
    <row r="121" spans="1:6">
      <c r="A121" s="5">
        <v>120</v>
      </c>
      <c r="B121" s="5" t="s">
        <v>128</v>
      </c>
      <c r="C121" s="15" t="s">
        <v>135</v>
      </c>
      <c r="D121" s="5">
        <f>COUNTIFS('Raw Entries'!B:B,ClasswiseUniqueStudents7[[#This Row],[Unique Student Name]],'Raw Entries'!C:C,ClasswiseUniqueStudents7[[#This Row],[Class]])</f>
        <v>3</v>
      </c>
      <c r="E121" s="15">
        <f>ClasswiseUniqueStudents7[[#This Row],[Total Count]]*500</f>
        <v>1500</v>
      </c>
      <c r="F121" s="15"/>
    </row>
    <row r="122" spans="1:6">
      <c r="A122" s="5">
        <v>121</v>
      </c>
      <c r="B122" s="5" t="s">
        <v>128</v>
      </c>
      <c r="C122" s="15" t="s">
        <v>136</v>
      </c>
      <c r="D122" s="5">
        <f>COUNTIFS('Raw Entries'!B:B,ClasswiseUniqueStudents7[[#This Row],[Unique Student Name]],'Raw Entries'!C:C,ClasswiseUniqueStudents7[[#This Row],[Class]])</f>
        <v>1</v>
      </c>
      <c r="E122" s="15">
        <f>ClasswiseUniqueStudents7[[#This Row],[Total Count]]*500</f>
        <v>500</v>
      </c>
      <c r="F122" s="15"/>
    </row>
    <row r="123" spans="1:6">
      <c r="A123" s="5">
        <v>122</v>
      </c>
      <c r="B123" s="5" t="s">
        <v>128</v>
      </c>
      <c r="C123" s="15" t="s">
        <v>137</v>
      </c>
      <c r="D123" s="5">
        <f>COUNTIFS('Raw Entries'!B:B,ClasswiseUniqueStudents7[[#This Row],[Unique Student Name]],'Raw Entries'!C:C,ClasswiseUniqueStudents7[[#This Row],[Class]])</f>
        <v>1</v>
      </c>
      <c r="E123" s="15">
        <f>ClasswiseUniqueStudents7[[#This Row],[Total Count]]*500</f>
        <v>500</v>
      </c>
      <c r="F123" s="15"/>
    </row>
    <row r="124" spans="1:6">
      <c r="A124" s="5">
        <v>123</v>
      </c>
      <c r="B124" s="5" t="s">
        <v>138</v>
      </c>
      <c r="C124" s="15" t="s">
        <v>139</v>
      </c>
      <c r="D124" s="5">
        <f>COUNTIFS('Raw Entries'!B:B,ClasswiseUniqueStudents7[[#This Row],[Unique Student Name]],'Raw Entries'!C:C,ClasswiseUniqueStudents7[[#This Row],[Class]])</f>
        <v>3</v>
      </c>
      <c r="E124" s="15">
        <f>ClasswiseUniqueStudents7[[#This Row],[Total Count]]*500</f>
        <v>1500</v>
      </c>
      <c r="F124" s="15"/>
    </row>
    <row r="125" spans="1:6">
      <c r="A125" s="5">
        <v>124</v>
      </c>
      <c r="B125" s="5" t="s">
        <v>138</v>
      </c>
      <c r="C125" s="15" t="s">
        <v>140</v>
      </c>
      <c r="D125" s="5">
        <f>COUNTIFS('Raw Entries'!B:B,ClasswiseUniqueStudents7[[#This Row],[Unique Student Name]],'Raw Entries'!C:C,ClasswiseUniqueStudents7[[#This Row],[Class]])</f>
        <v>2</v>
      </c>
      <c r="E125" s="15">
        <f>ClasswiseUniqueStudents7[[#This Row],[Total Count]]*500</f>
        <v>1000</v>
      </c>
      <c r="F125" s="15"/>
    </row>
    <row r="126" spans="1:6">
      <c r="A126" s="5">
        <v>125</v>
      </c>
      <c r="B126" s="5" t="s">
        <v>138</v>
      </c>
      <c r="C126" s="15" t="s">
        <v>141</v>
      </c>
      <c r="D126" s="5">
        <f>COUNTIFS('Raw Entries'!B:B,ClasswiseUniqueStudents7[[#This Row],[Unique Student Name]],'Raw Entries'!C:C,ClasswiseUniqueStudents7[[#This Row],[Class]])</f>
        <v>3</v>
      </c>
      <c r="E126" s="15">
        <f>ClasswiseUniqueStudents7[[#This Row],[Total Count]]*500</f>
        <v>1500</v>
      </c>
      <c r="F126" s="15"/>
    </row>
    <row r="127" spans="1:6">
      <c r="A127" s="5">
        <v>126</v>
      </c>
      <c r="B127" s="5" t="s">
        <v>138</v>
      </c>
      <c r="C127" s="15" t="s">
        <v>142</v>
      </c>
      <c r="D127" s="5">
        <f>COUNTIFS('Raw Entries'!B:B,ClasswiseUniqueStudents7[[#This Row],[Unique Student Name]],'Raw Entries'!C:C,ClasswiseUniqueStudents7[[#This Row],[Class]])</f>
        <v>3</v>
      </c>
      <c r="E127" s="15">
        <f>ClasswiseUniqueStudents7[[#This Row],[Total Count]]*500</f>
        <v>1500</v>
      </c>
      <c r="F127" s="15"/>
    </row>
    <row r="128" spans="1:6">
      <c r="A128" s="5">
        <v>127</v>
      </c>
      <c r="B128" s="5" t="s">
        <v>138</v>
      </c>
      <c r="C128" s="15" t="s">
        <v>143</v>
      </c>
      <c r="D128" s="5">
        <f>COUNTIFS('Raw Entries'!B:B,ClasswiseUniqueStudents7[[#This Row],[Unique Student Name]],'Raw Entries'!C:C,ClasswiseUniqueStudents7[[#This Row],[Class]])</f>
        <v>3</v>
      </c>
      <c r="E128" s="15">
        <f>ClasswiseUniqueStudents7[[#This Row],[Total Count]]*500</f>
        <v>1500</v>
      </c>
      <c r="F128" s="15"/>
    </row>
    <row r="129" spans="1:6">
      <c r="A129" s="5">
        <v>128</v>
      </c>
      <c r="B129" s="5" t="s">
        <v>138</v>
      </c>
      <c r="C129" s="15" t="s">
        <v>144</v>
      </c>
      <c r="D129" s="5">
        <f>COUNTIFS('Raw Entries'!B:B,ClasswiseUniqueStudents7[[#This Row],[Unique Student Name]],'Raw Entries'!C:C,ClasswiseUniqueStudents7[[#This Row],[Class]])</f>
        <v>3</v>
      </c>
      <c r="E129" s="15">
        <f>ClasswiseUniqueStudents7[[#This Row],[Total Count]]*500</f>
        <v>1500</v>
      </c>
      <c r="F129" s="15"/>
    </row>
    <row r="130" spans="1:6">
      <c r="A130" s="5">
        <v>129</v>
      </c>
      <c r="B130" s="5" t="s">
        <v>138</v>
      </c>
      <c r="C130" s="15" t="s">
        <v>145</v>
      </c>
      <c r="D130" s="5">
        <f>COUNTIFS('Raw Entries'!B:B,ClasswiseUniqueStudents7[[#This Row],[Unique Student Name]],'Raw Entries'!C:C,ClasswiseUniqueStudents7[[#This Row],[Class]])</f>
        <v>2</v>
      </c>
      <c r="E130" s="15">
        <f>ClasswiseUniqueStudents7[[#This Row],[Total Count]]*500</f>
        <v>1000</v>
      </c>
      <c r="F130" s="15"/>
    </row>
    <row r="131" spans="1:6">
      <c r="A131" s="5">
        <v>130</v>
      </c>
      <c r="B131" s="5" t="s">
        <v>138</v>
      </c>
      <c r="C131" s="15" t="s">
        <v>146</v>
      </c>
      <c r="D131" s="5">
        <f>COUNTIFS('Raw Entries'!B:B,ClasswiseUniqueStudents7[[#This Row],[Unique Student Name]],'Raw Entries'!C:C,ClasswiseUniqueStudents7[[#This Row],[Class]])</f>
        <v>2</v>
      </c>
      <c r="E131" s="15">
        <f>ClasswiseUniqueStudents7[[#This Row],[Total Count]]*500</f>
        <v>1000</v>
      </c>
      <c r="F131" s="15"/>
    </row>
    <row r="132" spans="1:6">
      <c r="A132" s="5">
        <v>131</v>
      </c>
      <c r="B132" s="5" t="s">
        <v>138</v>
      </c>
      <c r="C132" s="15" t="s">
        <v>147</v>
      </c>
      <c r="D132" s="5">
        <f>COUNTIFS('Raw Entries'!B:B,ClasswiseUniqueStudents7[[#This Row],[Unique Student Name]],'Raw Entries'!C:C,ClasswiseUniqueStudents7[[#This Row],[Class]])</f>
        <v>1</v>
      </c>
      <c r="E132" s="15">
        <f>ClasswiseUniqueStudents7[[#This Row],[Total Count]]*500</f>
        <v>500</v>
      </c>
      <c r="F132" s="15"/>
    </row>
    <row r="133" spans="1:6">
      <c r="A133" s="5">
        <v>132</v>
      </c>
      <c r="B133" s="5" t="s">
        <v>138</v>
      </c>
      <c r="C133" s="15" t="s">
        <v>148</v>
      </c>
      <c r="D133" s="5">
        <f>COUNTIFS('Raw Entries'!B:B,ClasswiseUniqueStudents7[[#This Row],[Unique Student Name]],'Raw Entries'!C:C,ClasswiseUniqueStudents7[[#This Row],[Class]])</f>
        <v>3</v>
      </c>
      <c r="E133" s="15">
        <f>ClasswiseUniqueStudents7[[#This Row],[Total Count]]*500</f>
        <v>1500</v>
      </c>
      <c r="F133" s="15"/>
    </row>
    <row r="134" spans="1:6">
      <c r="A134" s="5">
        <v>133</v>
      </c>
      <c r="B134" s="5" t="s">
        <v>149</v>
      </c>
      <c r="C134" s="15" t="s">
        <v>150</v>
      </c>
      <c r="D134" s="5">
        <f>COUNTIFS('Raw Entries'!B:B,ClasswiseUniqueStudents7[[#This Row],[Unique Student Name]],'Raw Entries'!C:C,ClasswiseUniqueStudents7[[#This Row],[Class]])</f>
        <v>3</v>
      </c>
      <c r="E134" s="15">
        <f>ClasswiseUniqueStudents7[[#This Row],[Total Count]]*500</f>
        <v>1500</v>
      </c>
      <c r="F134" s="15"/>
    </row>
    <row r="135" spans="1:6">
      <c r="A135" s="5">
        <v>134</v>
      </c>
      <c r="B135" s="5" t="s">
        <v>149</v>
      </c>
      <c r="C135" s="15" t="s">
        <v>151</v>
      </c>
      <c r="D135" s="5">
        <f>COUNTIFS('Raw Entries'!B:B,ClasswiseUniqueStudents7[[#This Row],[Unique Student Name]],'Raw Entries'!C:C,ClasswiseUniqueStudents7[[#This Row],[Class]])</f>
        <v>3</v>
      </c>
      <c r="E135" s="15">
        <f>ClasswiseUniqueStudents7[[#This Row],[Total Count]]*500</f>
        <v>1500</v>
      </c>
      <c r="F135" s="15"/>
    </row>
    <row r="136" spans="1:6">
      <c r="A136" s="5">
        <v>135</v>
      </c>
      <c r="B136" s="5" t="s">
        <v>149</v>
      </c>
      <c r="C136" s="15" t="s">
        <v>152</v>
      </c>
      <c r="D136" s="5">
        <f>COUNTIFS('Raw Entries'!B:B,ClasswiseUniqueStudents7[[#This Row],[Unique Student Name]],'Raw Entries'!C:C,ClasswiseUniqueStudents7[[#This Row],[Class]])</f>
        <v>2</v>
      </c>
      <c r="E136" s="15">
        <f>ClasswiseUniqueStudents7[[#This Row],[Total Count]]*500</f>
        <v>1000</v>
      </c>
      <c r="F136" s="15"/>
    </row>
    <row r="137" spans="1:6">
      <c r="A137" s="5">
        <v>136</v>
      </c>
      <c r="B137" s="5" t="s">
        <v>149</v>
      </c>
      <c r="C137" s="15" t="s">
        <v>153</v>
      </c>
      <c r="D137" s="5">
        <f>COUNTIFS('Raw Entries'!B:B,ClasswiseUniqueStudents7[[#This Row],[Unique Student Name]],'Raw Entries'!C:C,ClasswiseUniqueStudents7[[#This Row],[Class]])</f>
        <v>2</v>
      </c>
      <c r="E137" s="15">
        <f>ClasswiseUniqueStudents7[[#This Row],[Total Count]]*500</f>
        <v>1000</v>
      </c>
      <c r="F137" s="15"/>
    </row>
    <row r="138" spans="1:6">
      <c r="A138" s="5">
        <v>137</v>
      </c>
      <c r="B138" s="5" t="s">
        <v>149</v>
      </c>
      <c r="C138" s="15" t="s">
        <v>154</v>
      </c>
      <c r="D138" s="5">
        <f>COUNTIFS('Raw Entries'!B:B,ClasswiseUniqueStudents7[[#This Row],[Unique Student Name]],'Raw Entries'!C:C,ClasswiseUniqueStudents7[[#This Row],[Class]])</f>
        <v>1</v>
      </c>
      <c r="E138" s="15">
        <f>ClasswiseUniqueStudents7[[#This Row],[Total Count]]*500</f>
        <v>500</v>
      </c>
      <c r="F138" s="15"/>
    </row>
    <row r="139" spans="1:6">
      <c r="A139" s="5">
        <v>138</v>
      </c>
      <c r="B139" s="5" t="s">
        <v>149</v>
      </c>
      <c r="C139" s="15" t="s">
        <v>155</v>
      </c>
      <c r="D139" s="5">
        <f>COUNTIFS('Raw Entries'!B:B,ClasswiseUniqueStudents7[[#This Row],[Unique Student Name]],'Raw Entries'!C:C,ClasswiseUniqueStudents7[[#This Row],[Class]])</f>
        <v>1</v>
      </c>
      <c r="E139" s="15">
        <f>ClasswiseUniqueStudents7[[#This Row],[Total Count]]*500</f>
        <v>500</v>
      </c>
      <c r="F139" s="15"/>
    </row>
    <row r="140" spans="1:6">
      <c r="A140" s="5">
        <v>139</v>
      </c>
      <c r="B140" s="5" t="s">
        <v>149</v>
      </c>
      <c r="C140" s="15" t="s">
        <v>156</v>
      </c>
      <c r="D140" s="5">
        <f>COUNTIFS('Raw Entries'!B:B,ClasswiseUniqueStudents7[[#This Row],[Unique Student Name]],'Raw Entries'!C:C,ClasswiseUniqueStudents7[[#This Row],[Class]])</f>
        <v>3</v>
      </c>
      <c r="E140" s="15">
        <f>ClasswiseUniqueStudents7[[#This Row],[Total Count]]*500</f>
        <v>1500</v>
      </c>
      <c r="F140" s="15"/>
    </row>
    <row r="141" spans="1:6">
      <c r="A141" s="5">
        <v>140</v>
      </c>
      <c r="B141" s="5" t="s">
        <v>149</v>
      </c>
      <c r="C141" s="15" t="s">
        <v>157</v>
      </c>
      <c r="D141" s="5">
        <f>COUNTIFS('Raw Entries'!B:B,ClasswiseUniqueStudents7[[#This Row],[Unique Student Name]],'Raw Entries'!C:C,ClasswiseUniqueStudents7[[#This Row],[Class]])</f>
        <v>1</v>
      </c>
      <c r="E141" s="15">
        <f>ClasswiseUniqueStudents7[[#This Row],[Total Count]]*500</f>
        <v>500</v>
      </c>
      <c r="F141" s="15"/>
    </row>
    <row r="142" spans="1:6">
      <c r="A142" s="5">
        <v>141</v>
      </c>
      <c r="B142" s="5" t="s">
        <v>149</v>
      </c>
      <c r="C142" s="15" t="s">
        <v>158</v>
      </c>
      <c r="D142" s="5">
        <f>COUNTIFS('Raw Entries'!B:B,ClasswiseUniqueStudents7[[#This Row],[Unique Student Name]],'Raw Entries'!C:C,ClasswiseUniqueStudents7[[#This Row],[Class]])</f>
        <v>1</v>
      </c>
      <c r="E142" s="15">
        <f>ClasswiseUniqueStudents7[[#This Row],[Total Count]]*500</f>
        <v>500</v>
      </c>
      <c r="F142" s="15"/>
    </row>
    <row r="143" spans="1:6">
      <c r="A143" s="5">
        <v>142</v>
      </c>
      <c r="B143" s="5" t="s">
        <v>159</v>
      </c>
      <c r="C143" s="15" t="s">
        <v>160</v>
      </c>
      <c r="D143" s="5">
        <f>COUNTIFS('Raw Entries'!B:B,ClasswiseUniqueStudents7[[#This Row],[Unique Student Name]],'Raw Entries'!C:C,ClasswiseUniqueStudents7[[#This Row],[Class]])</f>
        <v>3</v>
      </c>
      <c r="E143" s="15">
        <f>ClasswiseUniqueStudents7[[#This Row],[Total Count]]*500</f>
        <v>1500</v>
      </c>
      <c r="F143" s="15"/>
    </row>
    <row r="144" spans="1:6">
      <c r="A144" s="5">
        <v>143</v>
      </c>
      <c r="B144" s="5" t="s">
        <v>159</v>
      </c>
      <c r="C144" s="15" t="s">
        <v>161</v>
      </c>
      <c r="D144" s="5">
        <f>COUNTIFS('Raw Entries'!B:B,ClasswiseUniqueStudents7[[#This Row],[Unique Student Name]],'Raw Entries'!C:C,ClasswiseUniqueStudents7[[#This Row],[Class]])</f>
        <v>1</v>
      </c>
      <c r="E144" s="15">
        <f>ClasswiseUniqueStudents7[[#This Row],[Total Count]]*500</f>
        <v>500</v>
      </c>
      <c r="F144" s="15"/>
    </row>
    <row r="145" spans="1:6">
      <c r="A145" s="5">
        <v>144</v>
      </c>
      <c r="B145" s="5" t="s">
        <v>159</v>
      </c>
      <c r="C145" s="15" t="s">
        <v>162</v>
      </c>
      <c r="D145" s="5">
        <f>COUNTIFS('Raw Entries'!B:B,ClasswiseUniqueStudents7[[#This Row],[Unique Student Name]],'Raw Entries'!C:C,ClasswiseUniqueStudents7[[#This Row],[Class]])</f>
        <v>3</v>
      </c>
      <c r="E145" s="15">
        <f>ClasswiseUniqueStudents7[[#This Row],[Total Count]]*500</f>
        <v>1500</v>
      </c>
      <c r="F145" s="15"/>
    </row>
    <row r="146" spans="1:6">
      <c r="A146" s="5">
        <v>145</v>
      </c>
      <c r="B146" s="5" t="s">
        <v>159</v>
      </c>
      <c r="C146" s="15" t="s">
        <v>163</v>
      </c>
      <c r="D146" s="5">
        <f>COUNTIFS('Raw Entries'!B:B,ClasswiseUniqueStudents7[[#This Row],[Unique Student Name]],'Raw Entries'!C:C,ClasswiseUniqueStudents7[[#This Row],[Class]])</f>
        <v>3</v>
      </c>
      <c r="E146" s="15">
        <f>ClasswiseUniqueStudents7[[#This Row],[Total Count]]*500</f>
        <v>1500</v>
      </c>
      <c r="F146" s="15"/>
    </row>
    <row r="147" spans="1:6">
      <c r="A147" s="5">
        <v>146</v>
      </c>
      <c r="B147" s="5" t="s">
        <v>159</v>
      </c>
      <c r="C147" s="15" t="s">
        <v>164</v>
      </c>
      <c r="D147" s="5">
        <f>COUNTIFS('Raw Entries'!B:B,ClasswiseUniqueStudents7[[#This Row],[Unique Student Name]],'Raw Entries'!C:C,ClasswiseUniqueStudents7[[#This Row],[Class]])</f>
        <v>2</v>
      </c>
      <c r="E147" s="15">
        <f>ClasswiseUniqueStudents7[[#This Row],[Total Count]]*500</f>
        <v>1000</v>
      </c>
      <c r="F147" s="15"/>
    </row>
    <row r="148" spans="1:6">
      <c r="A148" s="5">
        <v>147</v>
      </c>
      <c r="B148" s="5" t="s">
        <v>159</v>
      </c>
      <c r="C148" s="15" t="s">
        <v>165</v>
      </c>
      <c r="D148" s="5">
        <f>COUNTIFS('Raw Entries'!B:B,ClasswiseUniqueStudents7[[#This Row],[Unique Student Name]],'Raw Entries'!C:C,ClasswiseUniqueStudents7[[#This Row],[Class]])</f>
        <v>3</v>
      </c>
      <c r="E148" s="15">
        <f>ClasswiseUniqueStudents7[[#This Row],[Total Count]]*500</f>
        <v>1500</v>
      </c>
      <c r="F148" s="15"/>
    </row>
    <row r="149" spans="1:6">
      <c r="A149" s="5">
        <v>148</v>
      </c>
      <c r="B149" s="5" t="s">
        <v>159</v>
      </c>
      <c r="C149" s="15" t="s">
        <v>166</v>
      </c>
      <c r="D149" s="5">
        <f>COUNTIFS('Raw Entries'!B:B,ClasswiseUniqueStudents7[[#This Row],[Unique Student Name]],'Raw Entries'!C:C,ClasswiseUniqueStudents7[[#This Row],[Class]])</f>
        <v>1</v>
      </c>
      <c r="E149" s="15">
        <f>ClasswiseUniqueStudents7[[#This Row],[Total Count]]*500</f>
        <v>500</v>
      </c>
      <c r="F149" s="15"/>
    </row>
    <row r="150" spans="1:6">
      <c r="A150" s="5">
        <v>149</v>
      </c>
      <c r="B150" s="5" t="s">
        <v>159</v>
      </c>
      <c r="C150" s="15" t="s">
        <v>167</v>
      </c>
      <c r="D150" s="5">
        <f>COUNTIFS('Raw Entries'!B:B,ClasswiseUniqueStudents7[[#This Row],[Unique Student Name]],'Raw Entries'!C:C,ClasswiseUniqueStudents7[[#This Row],[Class]])</f>
        <v>3</v>
      </c>
      <c r="E150" s="15">
        <f>ClasswiseUniqueStudents7[[#This Row],[Total Count]]*500</f>
        <v>1500</v>
      </c>
      <c r="F150" s="15"/>
    </row>
    <row r="151" spans="1:6">
      <c r="A151" s="5">
        <v>150</v>
      </c>
      <c r="B151" s="5" t="s">
        <v>159</v>
      </c>
      <c r="C151" s="15" t="s">
        <v>168</v>
      </c>
      <c r="D151" s="5">
        <f>COUNTIFS('Raw Entries'!B:B,ClasswiseUniqueStudents7[[#This Row],[Unique Student Name]],'Raw Entries'!C:C,ClasswiseUniqueStudents7[[#This Row],[Class]])</f>
        <v>3</v>
      </c>
      <c r="E151" s="15">
        <f>ClasswiseUniqueStudents7[[#This Row],[Total Count]]*500</f>
        <v>1500</v>
      </c>
      <c r="F151" s="15"/>
    </row>
    <row r="152" spans="1:6">
      <c r="A152" s="5">
        <v>151</v>
      </c>
      <c r="B152" s="5" t="s">
        <v>159</v>
      </c>
      <c r="C152" s="15" t="s">
        <v>169</v>
      </c>
      <c r="D152" s="5">
        <f>COUNTIFS('Raw Entries'!B:B,ClasswiseUniqueStudents7[[#This Row],[Unique Student Name]],'Raw Entries'!C:C,ClasswiseUniqueStudents7[[#This Row],[Class]])</f>
        <v>1</v>
      </c>
      <c r="E152" s="15">
        <f>ClasswiseUniqueStudents7[[#This Row],[Total Count]]*500</f>
        <v>500</v>
      </c>
      <c r="F152" s="15"/>
    </row>
    <row r="153" spans="1:6">
      <c r="A153" s="5">
        <v>152</v>
      </c>
      <c r="B153" s="5" t="s">
        <v>159</v>
      </c>
      <c r="C153" s="15" t="s">
        <v>170</v>
      </c>
      <c r="D153" s="5">
        <f>COUNTIFS('Raw Entries'!B:B,ClasswiseUniqueStudents7[[#This Row],[Unique Student Name]],'Raw Entries'!C:C,ClasswiseUniqueStudents7[[#This Row],[Class]])</f>
        <v>1</v>
      </c>
      <c r="E153" s="15">
        <f>ClasswiseUniqueStudents7[[#This Row],[Total Count]]*500</f>
        <v>500</v>
      </c>
      <c r="F153" s="15"/>
    </row>
    <row r="154" spans="1:6">
      <c r="A154" s="5">
        <v>153</v>
      </c>
      <c r="B154" s="5" t="s">
        <v>171</v>
      </c>
      <c r="C154" s="15" t="s">
        <v>172</v>
      </c>
      <c r="D154" s="5">
        <f>COUNTIFS('Raw Entries'!B:B,ClasswiseUniqueStudents7[[#This Row],[Unique Student Name]],'Raw Entries'!C:C,ClasswiseUniqueStudents7[[#This Row],[Class]])</f>
        <v>1</v>
      </c>
      <c r="E154" s="15">
        <f>ClasswiseUniqueStudents7[[#This Row],[Total Count]]*500</f>
        <v>500</v>
      </c>
      <c r="F154" s="15"/>
    </row>
    <row r="155" spans="1:6">
      <c r="A155" s="5">
        <v>154</v>
      </c>
      <c r="B155" s="5" t="s">
        <v>171</v>
      </c>
      <c r="C155" s="15" t="s">
        <v>173</v>
      </c>
      <c r="D155" s="5">
        <f>COUNTIFS('Raw Entries'!B:B,ClasswiseUniqueStudents7[[#This Row],[Unique Student Name]],'Raw Entries'!C:C,ClasswiseUniqueStudents7[[#This Row],[Class]])</f>
        <v>2</v>
      </c>
      <c r="E155" s="15">
        <f>ClasswiseUniqueStudents7[[#This Row],[Total Count]]*500</f>
        <v>1000</v>
      </c>
      <c r="F155" s="15"/>
    </row>
    <row r="156" spans="1:6">
      <c r="A156" s="5">
        <v>155</v>
      </c>
      <c r="B156" s="5" t="s">
        <v>171</v>
      </c>
      <c r="C156" s="15" t="s">
        <v>174</v>
      </c>
      <c r="D156" s="5">
        <f>COUNTIFS('Raw Entries'!B:B,ClasswiseUniqueStudents7[[#This Row],[Unique Student Name]],'Raw Entries'!C:C,ClasswiseUniqueStudents7[[#This Row],[Class]])</f>
        <v>3</v>
      </c>
      <c r="E156" s="15">
        <f>ClasswiseUniqueStudents7[[#This Row],[Total Count]]*500</f>
        <v>1500</v>
      </c>
      <c r="F156" s="15"/>
    </row>
    <row r="157" spans="1:6">
      <c r="A157" s="5">
        <v>156</v>
      </c>
      <c r="B157" s="5" t="s">
        <v>175</v>
      </c>
      <c r="C157" s="15" t="s">
        <v>176</v>
      </c>
      <c r="D157" s="5">
        <f>COUNTIFS('Raw Entries'!B:B,ClasswiseUniqueStudents7[[#This Row],[Unique Student Name]],'Raw Entries'!C:C,ClasswiseUniqueStudents7[[#This Row],[Class]])</f>
        <v>3</v>
      </c>
      <c r="E157" s="15">
        <f>ClasswiseUniqueStudents7[[#This Row],[Total Count]]*500</f>
        <v>1500</v>
      </c>
      <c r="F157" s="15"/>
    </row>
    <row r="158" spans="1:6">
      <c r="A158" s="5">
        <v>157</v>
      </c>
      <c r="B158" s="5" t="s">
        <v>175</v>
      </c>
      <c r="C158" s="15" t="s">
        <v>177</v>
      </c>
      <c r="D158" s="5">
        <f>COUNTIFS('Raw Entries'!B:B,ClasswiseUniqueStudents7[[#This Row],[Unique Student Name]],'Raw Entries'!C:C,ClasswiseUniqueStudents7[[#This Row],[Class]])</f>
        <v>1</v>
      </c>
      <c r="E158" s="15">
        <f>ClasswiseUniqueStudents7[[#This Row],[Total Count]]*500</f>
        <v>500</v>
      </c>
      <c r="F158" s="15"/>
    </row>
    <row r="159" spans="1:6">
      <c r="A159" s="5">
        <v>158</v>
      </c>
      <c r="B159" s="5" t="s">
        <v>175</v>
      </c>
      <c r="C159" s="15" t="s">
        <v>178</v>
      </c>
      <c r="D159" s="5">
        <f>COUNTIFS('Raw Entries'!B:B,ClasswiseUniqueStudents7[[#This Row],[Unique Student Name]],'Raw Entries'!C:C,ClasswiseUniqueStudents7[[#This Row],[Class]])</f>
        <v>3</v>
      </c>
      <c r="E159" s="15">
        <f>ClasswiseUniqueStudents7[[#This Row],[Total Count]]*500</f>
        <v>1500</v>
      </c>
      <c r="F159" s="15"/>
    </row>
    <row r="160" spans="1:6">
      <c r="A160" s="5">
        <v>159</v>
      </c>
      <c r="B160" s="5" t="s">
        <v>175</v>
      </c>
      <c r="C160" s="15" t="s">
        <v>179</v>
      </c>
      <c r="D160" s="5">
        <f>COUNTIFS('Raw Entries'!B:B,ClasswiseUniqueStudents7[[#This Row],[Unique Student Name]],'Raw Entries'!C:C,ClasswiseUniqueStudents7[[#This Row],[Class]])</f>
        <v>1</v>
      </c>
      <c r="E160" s="15">
        <f>ClasswiseUniqueStudents7[[#This Row],[Total Count]]*500</f>
        <v>500</v>
      </c>
      <c r="F160" s="15"/>
    </row>
    <row r="161" spans="1:6">
      <c r="A161" s="5">
        <v>160</v>
      </c>
      <c r="B161" s="5" t="s">
        <v>175</v>
      </c>
      <c r="C161" s="15" t="s">
        <v>180</v>
      </c>
      <c r="D161" s="5">
        <f>COUNTIFS('Raw Entries'!B:B,ClasswiseUniqueStudents7[[#This Row],[Unique Student Name]],'Raw Entries'!C:C,ClasswiseUniqueStudents7[[#This Row],[Class]])</f>
        <v>3</v>
      </c>
      <c r="E161" s="15">
        <f>ClasswiseUniqueStudents7[[#This Row],[Total Count]]*500</f>
        <v>1500</v>
      </c>
      <c r="F161" s="15"/>
    </row>
    <row r="162" spans="1:6">
      <c r="A162" s="5">
        <v>161</v>
      </c>
      <c r="B162" s="5" t="s">
        <v>175</v>
      </c>
      <c r="C162" s="15" t="s">
        <v>181</v>
      </c>
      <c r="D162" s="5">
        <f>COUNTIFS('Raw Entries'!B:B,ClasswiseUniqueStudents7[[#This Row],[Unique Student Name]],'Raw Entries'!C:C,ClasswiseUniqueStudents7[[#This Row],[Class]])</f>
        <v>1</v>
      </c>
      <c r="E162" s="15">
        <f>ClasswiseUniqueStudents7[[#This Row],[Total Count]]*500</f>
        <v>500</v>
      </c>
      <c r="F162" s="15"/>
    </row>
    <row r="163" spans="1:6">
      <c r="A163" s="5">
        <v>162</v>
      </c>
      <c r="B163" s="5" t="s">
        <v>175</v>
      </c>
      <c r="C163" s="15" t="s">
        <v>182</v>
      </c>
      <c r="D163" s="5">
        <f>COUNTIFS('Raw Entries'!B:B,ClasswiseUniqueStudents7[[#This Row],[Unique Student Name]],'Raw Entries'!C:C,ClasswiseUniqueStudents7[[#This Row],[Class]])</f>
        <v>1</v>
      </c>
      <c r="E163" s="15">
        <f>ClasswiseUniqueStudents7[[#This Row],[Total Count]]*500</f>
        <v>500</v>
      </c>
      <c r="F163" s="15"/>
    </row>
    <row r="164" spans="1:6">
      <c r="A164" s="5">
        <v>163</v>
      </c>
      <c r="B164" s="5" t="s">
        <v>175</v>
      </c>
      <c r="C164" s="15" t="s">
        <v>183</v>
      </c>
      <c r="D164" s="5">
        <f>COUNTIFS('Raw Entries'!B:B,ClasswiseUniqueStudents7[[#This Row],[Unique Student Name]],'Raw Entries'!C:C,ClasswiseUniqueStudents7[[#This Row],[Class]])</f>
        <v>2</v>
      </c>
      <c r="E164" s="15">
        <f>ClasswiseUniqueStudents7[[#This Row],[Total Count]]*500</f>
        <v>1000</v>
      </c>
      <c r="F164" s="15"/>
    </row>
    <row r="165" spans="1:6">
      <c r="A165" s="5">
        <v>164</v>
      </c>
      <c r="B165" s="5" t="s">
        <v>175</v>
      </c>
      <c r="C165" s="15" t="s">
        <v>184</v>
      </c>
      <c r="D165" s="5">
        <f>COUNTIFS('Raw Entries'!B:B,ClasswiseUniqueStudents7[[#This Row],[Unique Student Name]],'Raw Entries'!C:C,ClasswiseUniqueStudents7[[#This Row],[Class]])</f>
        <v>1</v>
      </c>
      <c r="E165" s="15">
        <f>ClasswiseUniqueStudents7[[#This Row],[Total Count]]*500</f>
        <v>500</v>
      </c>
      <c r="F165" s="15"/>
    </row>
    <row r="166" spans="1:6">
      <c r="A166" s="5">
        <v>165</v>
      </c>
      <c r="B166" s="5" t="s">
        <v>185</v>
      </c>
      <c r="C166" s="15" t="s">
        <v>186</v>
      </c>
      <c r="D166" s="5">
        <f>COUNTIFS('Raw Entries'!B:B,ClasswiseUniqueStudents7[[#This Row],[Unique Student Name]],'Raw Entries'!C:C,ClasswiseUniqueStudents7[[#This Row],[Class]])</f>
        <v>1</v>
      </c>
      <c r="E166" s="15">
        <f>ClasswiseUniqueStudents7[[#This Row],[Total Count]]*500</f>
        <v>500</v>
      </c>
      <c r="F166" s="15"/>
    </row>
    <row r="167" spans="1:6">
      <c r="A167" s="5">
        <v>166</v>
      </c>
      <c r="B167" s="5" t="s">
        <v>185</v>
      </c>
      <c r="C167" s="15" t="s">
        <v>187</v>
      </c>
      <c r="D167" s="5">
        <f>COUNTIFS('Raw Entries'!B:B,ClasswiseUniqueStudents7[[#This Row],[Unique Student Name]],'Raw Entries'!C:C,ClasswiseUniqueStudents7[[#This Row],[Class]])</f>
        <v>1</v>
      </c>
      <c r="E167" s="15">
        <f>ClasswiseUniqueStudents7[[#This Row],[Total Count]]*500</f>
        <v>500</v>
      </c>
      <c r="F167" s="15"/>
    </row>
    <row r="168" spans="1:6">
      <c r="A168" s="5">
        <v>167</v>
      </c>
      <c r="B168" s="5" t="s">
        <v>185</v>
      </c>
      <c r="C168" s="15" t="s">
        <v>188</v>
      </c>
      <c r="D168" s="5">
        <f>COUNTIFS('Raw Entries'!B:B,ClasswiseUniqueStudents7[[#This Row],[Unique Student Name]],'Raw Entries'!C:C,ClasswiseUniqueStudents7[[#This Row],[Class]])</f>
        <v>3</v>
      </c>
      <c r="E168" s="15">
        <f>ClasswiseUniqueStudents7[[#This Row],[Total Count]]*500</f>
        <v>1500</v>
      </c>
      <c r="F168" s="15"/>
    </row>
    <row r="169" spans="1:6">
      <c r="A169" s="5">
        <v>168</v>
      </c>
      <c r="B169" s="5" t="s">
        <v>185</v>
      </c>
      <c r="C169" s="15" t="s">
        <v>189</v>
      </c>
      <c r="D169" s="5">
        <f>COUNTIFS('Raw Entries'!B:B,ClasswiseUniqueStudents7[[#This Row],[Unique Student Name]],'Raw Entries'!C:C,ClasswiseUniqueStudents7[[#This Row],[Class]])</f>
        <v>1</v>
      </c>
      <c r="E169" s="15">
        <f>ClasswiseUniqueStudents7[[#This Row],[Total Count]]*500</f>
        <v>500</v>
      </c>
      <c r="F169" s="15"/>
    </row>
    <row r="170" spans="1:6">
      <c r="A170" s="5">
        <v>169</v>
      </c>
      <c r="B170" s="5" t="s">
        <v>185</v>
      </c>
      <c r="C170" s="15" t="s">
        <v>190</v>
      </c>
      <c r="D170" s="5">
        <f>COUNTIFS('Raw Entries'!B:B,ClasswiseUniqueStudents7[[#This Row],[Unique Student Name]],'Raw Entries'!C:C,ClasswiseUniqueStudents7[[#This Row],[Class]])</f>
        <v>3</v>
      </c>
      <c r="E170" s="15">
        <f>ClasswiseUniqueStudents7[[#This Row],[Total Count]]*500</f>
        <v>1500</v>
      </c>
      <c r="F170" s="15"/>
    </row>
    <row r="171" spans="1:6">
      <c r="A171" s="5">
        <v>170</v>
      </c>
      <c r="B171" s="5" t="s">
        <v>185</v>
      </c>
      <c r="C171" s="15" t="s">
        <v>191</v>
      </c>
      <c r="D171" s="5">
        <f>COUNTIFS('Raw Entries'!B:B,ClasswiseUniqueStudents7[[#This Row],[Unique Student Name]],'Raw Entries'!C:C,ClasswiseUniqueStudents7[[#This Row],[Class]])</f>
        <v>3</v>
      </c>
      <c r="E171" s="15">
        <f>ClasswiseUniqueStudents7[[#This Row],[Total Count]]*500</f>
        <v>1500</v>
      </c>
      <c r="F171" s="15"/>
    </row>
    <row r="172" spans="1:6">
      <c r="A172" s="5">
        <v>171</v>
      </c>
      <c r="B172" s="5" t="s">
        <v>185</v>
      </c>
      <c r="C172" s="15" t="s">
        <v>192</v>
      </c>
      <c r="D172" s="5">
        <f>COUNTIFS('Raw Entries'!B:B,ClasswiseUniqueStudents7[[#This Row],[Unique Student Name]],'Raw Entries'!C:C,ClasswiseUniqueStudents7[[#This Row],[Class]])</f>
        <v>1</v>
      </c>
      <c r="E172" s="15">
        <f>ClasswiseUniqueStudents7[[#This Row],[Total Count]]*500</f>
        <v>500</v>
      </c>
      <c r="F172" s="15"/>
    </row>
    <row r="173" spans="1:6">
      <c r="A173" s="5">
        <v>172</v>
      </c>
      <c r="B173" s="5" t="s">
        <v>185</v>
      </c>
      <c r="C173" s="15" t="s">
        <v>193</v>
      </c>
      <c r="D173" s="5">
        <f>COUNTIFS('Raw Entries'!B:B,ClasswiseUniqueStudents7[[#This Row],[Unique Student Name]],'Raw Entries'!C:C,ClasswiseUniqueStudents7[[#This Row],[Class]])</f>
        <v>3</v>
      </c>
      <c r="E173" s="15">
        <f>ClasswiseUniqueStudents7[[#This Row],[Total Count]]*500</f>
        <v>1500</v>
      </c>
      <c r="F173" s="15"/>
    </row>
    <row r="174" spans="1:6">
      <c r="A174" s="5">
        <v>173</v>
      </c>
      <c r="B174" s="5" t="s">
        <v>185</v>
      </c>
      <c r="C174" s="15" t="s">
        <v>47</v>
      </c>
      <c r="D174" s="5">
        <f>COUNTIFS('Raw Entries'!B:B,ClasswiseUniqueStudents7[[#This Row],[Unique Student Name]],'Raw Entries'!C:C,ClasswiseUniqueStudents7[[#This Row],[Class]])</f>
        <v>1</v>
      </c>
      <c r="E174" s="15">
        <f>ClasswiseUniqueStudents7[[#This Row],[Total Count]]*500</f>
        <v>500</v>
      </c>
      <c r="F174" s="15"/>
    </row>
    <row r="175" spans="1:6">
      <c r="A175" s="5">
        <v>174</v>
      </c>
      <c r="B175" s="5" t="s">
        <v>185</v>
      </c>
      <c r="C175" s="15" t="s">
        <v>194</v>
      </c>
      <c r="D175" s="5">
        <f>COUNTIFS('Raw Entries'!B:B,ClasswiseUniqueStudents7[[#This Row],[Unique Student Name]],'Raw Entries'!C:C,ClasswiseUniqueStudents7[[#This Row],[Class]])</f>
        <v>2</v>
      </c>
      <c r="E175" s="15">
        <f>ClasswiseUniqueStudents7[[#This Row],[Total Count]]*500</f>
        <v>1000</v>
      </c>
      <c r="F175" s="15"/>
    </row>
    <row r="176" spans="1:6">
      <c r="A176" s="5">
        <v>175</v>
      </c>
      <c r="B176" s="5" t="s">
        <v>195</v>
      </c>
      <c r="C176" s="15" t="s">
        <v>196</v>
      </c>
      <c r="D176" s="5">
        <f>COUNTIFS('Raw Entries'!B:B,ClasswiseUniqueStudents7[[#This Row],[Unique Student Name]],'Raw Entries'!C:C,ClasswiseUniqueStudents7[[#This Row],[Class]])</f>
        <v>3</v>
      </c>
      <c r="E176" s="15">
        <f>ClasswiseUniqueStudents7[[#This Row],[Total Count]]*500</f>
        <v>1500</v>
      </c>
      <c r="F176" s="15"/>
    </row>
    <row r="177" spans="1:6">
      <c r="A177" s="5">
        <v>176</v>
      </c>
      <c r="B177" s="5" t="s">
        <v>195</v>
      </c>
      <c r="C177" s="15" t="s">
        <v>197</v>
      </c>
      <c r="D177" s="5">
        <f>COUNTIFS('Raw Entries'!B:B,ClasswiseUniqueStudents7[[#This Row],[Unique Student Name]],'Raw Entries'!C:C,ClasswiseUniqueStudents7[[#This Row],[Class]])</f>
        <v>2</v>
      </c>
      <c r="E177" s="15">
        <f>ClasswiseUniqueStudents7[[#This Row],[Total Count]]*500</f>
        <v>1000</v>
      </c>
      <c r="F177" s="15"/>
    </row>
    <row r="178" spans="1:6">
      <c r="A178" s="5">
        <v>177</v>
      </c>
      <c r="B178" s="5" t="s">
        <v>195</v>
      </c>
      <c r="C178" s="15" t="s">
        <v>198</v>
      </c>
      <c r="D178" s="5">
        <f>COUNTIFS('Raw Entries'!B:B,ClasswiseUniqueStudents7[[#This Row],[Unique Student Name]],'Raw Entries'!C:C,ClasswiseUniqueStudents7[[#This Row],[Class]])</f>
        <v>1</v>
      </c>
      <c r="E178" s="15">
        <f>ClasswiseUniqueStudents7[[#This Row],[Total Count]]*500</f>
        <v>500</v>
      </c>
      <c r="F178" s="15"/>
    </row>
    <row r="179" spans="1:6">
      <c r="A179" s="5">
        <v>178</v>
      </c>
      <c r="B179" s="5" t="s">
        <v>195</v>
      </c>
      <c r="C179" s="15" t="s">
        <v>199</v>
      </c>
      <c r="D179" s="5">
        <f>COUNTIFS('Raw Entries'!B:B,ClasswiseUniqueStudents7[[#This Row],[Unique Student Name]],'Raw Entries'!C:C,ClasswiseUniqueStudents7[[#This Row],[Class]])</f>
        <v>3</v>
      </c>
      <c r="E179" s="15">
        <f>ClasswiseUniqueStudents7[[#This Row],[Total Count]]*500</f>
        <v>1500</v>
      </c>
      <c r="F179" s="15"/>
    </row>
    <row r="180" spans="1:6">
      <c r="A180" s="5">
        <v>179</v>
      </c>
      <c r="B180" s="5" t="s">
        <v>195</v>
      </c>
      <c r="C180" s="15" t="s">
        <v>200</v>
      </c>
      <c r="D180" s="5">
        <f>COUNTIFS('Raw Entries'!B:B,ClasswiseUniqueStudents7[[#This Row],[Unique Student Name]],'Raw Entries'!C:C,ClasswiseUniqueStudents7[[#This Row],[Class]])</f>
        <v>1</v>
      </c>
      <c r="E180" s="15">
        <f>ClasswiseUniqueStudents7[[#This Row],[Total Count]]*500</f>
        <v>500</v>
      </c>
      <c r="F180" s="15"/>
    </row>
    <row r="181" spans="1:6">
      <c r="A181" s="5">
        <v>180</v>
      </c>
      <c r="B181" s="5" t="s">
        <v>195</v>
      </c>
      <c r="C181" s="15" t="s">
        <v>201</v>
      </c>
      <c r="D181" s="5">
        <f>COUNTIFS('Raw Entries'!B:B,ClasswiseUniqueStudents7[[#This Row],[Unique Student Name]],'Raw Entries'!C:C,ClasswiseUniqueStudents7[[#This Row],[Class]])</f>
        <v>1</v>
      </c>
      <c r="E181" s="15">
        <f>ClasswiseUniqueStudents7[[#This Row],[Total Count]]*500</f>
        <v>500</v>
      </c>
      <c r="F181" s="15"/>
    </row>
    <row r="182" spans="1:6">
      <c r="A182" s="5">
        <v>181</v>
      </c>
      <c r="B182" s="5" t="s">
        <v>195</v>
      </c>
      <c r="C182" s="15" t="s">
        <v>202</v>
      </c>
      <c r="D182" s="5">
        <f>COUNTIFS('Raw Entries'!B:B,ClasswiseUniqueStudents7[[#This Row],[Unique Student Name]],'Raw Entries'!C:C,ClasswiseUniqueStudents7[[#This Row],[Class]])</f>
        <v>2</v>
      </c>
      <c r="E182" s="15">
        <f>ClasswiseUniqueStudents7[[#This Row],[Total Count]]*500</f>
        <v>1000</v>
      </c>
      <c r="F182" s="15"/>
    </row>
    <row r="183" spans="1:6">
      <c r="A183" s="5">
        <v>182</v>
      </c>
      <c r="B183" s="5" t="s">
        <v>195</v>
      </c>
      <c r="C183" s="15" t="s">
        <v>203</v>
      </c>
      <c r="D183" s="5">
        <f>COUNTIFS('Raw Entries'!B:B,ClasswiseUniqueStudents7[[#This Row],[Unique Student Name]],'Raw Entries'!C:C,ClasswiseUniqueStudents7[[#This Row],[Class]])</f>
        <v>1</v>
      </c>
      <c r="E183" s="15">
        <f>ClasswiseUniqueStudents7[[#This Row],[Total Count]]*500</f>
        <v>500</v>
      </c>
      <c r="F183" s="15"/>
    </row>
    <row r="184" spans="1:6">
      <c r="A184" s="5">
        <v>183</v>
      </c>
      <c r="B184" s="5" t="s">
        <v>195</v>
      </c>
      <c r="C184" s="15" t="s">
        <v>204</v>
      </c>
      <c r="D184" s="5">
        <f>COUNTIFS('Raw Entries'!B:B,ClasswiseUniqueStudents7[[#This Row],[Unique Student Name]],'Raw Entries'!C:C,ClasswiseUniqueStudents7[[#This Row],[Class]])</f>
        <v>1</v>
      </c>
      <c r="E184" s="15">
        <f>ClasswiseUniqueStudents7[[#This Row],[Total Count]]*500</f>
        <v>500</v>
      </c>
      <c r="F184" s="15"/>
    </row>
    <row r="185" spans="1:6">
      <c r="A185" s="5">
        <v>184</v>
      </c>
      <c r="B185" s="5" t="s">
        <v>205</v>
      </c>
      <c r="C185" s="15" t="s">
        <v>206</v>
      </c>
      <c r="D185" s="5">
        <f>COUNTIFS('Raw Entries'!B:B,ClasswiseUniqueStudents7[[#This Row],[Unique Student Name]],'Raw Entries'!C:C,ClasswiseUniqueStudents7[[#This Row],[Class]])</f>
        <v>3</v>
      </c>
      <c r="E185" s="15">
        <f>ClasswiseUniqueStudents7[[#This Row],[Total Count]]*500</f>
        <v>1500</v>
      </c>
      <c r="F185" s="15"/>
    </row>
    <row r="186" spans="1:6">
      <c r="A186" s="5">
        <v>185</v>
      </c>
      <c r="B186" s="5" t="s">
        <v>205</v>
      </c>
      <c r="C186" s="15" t="s">
        <v>207</v>
      </c>
      <c r="D186" s="5">
        <f>COUNTIFS('Raw Entries'!B:B,ClasswiseUniqueStudents7[[#This Row],[Unique Student Name]],'Raw Entries'!C:C,ClasswiseUniqueStudents7[[#This Row],[Class]])</f>
        <v>3</v>
      </c>
      <c r="E186" s="15">
        <f>ClasswiseUniqueStudents7[[#This Row],[Total Count]]*500</f>
        <v>1500</v>
      </c>
      <c r="F186" s="15"/>
    </row>
    <row r="187" spans="1:6">
      <c r="A187" s="5">
        <v>186</v>
      </c>
      <c r="B187" s="5" t="s">
        <v>205</v>
      </c>
      <c r="C187" s="15" t="s">
        <v>208</v>
      </c>
      <c r="D187" s="5">
        <f>COUNTIFS('Raw Entries'!B:B,ClasswiseUniqueStudents7[[#This Row],[Unique Student Name]],'Raw Entries'!C:C,ClasswiseUniqueStudents7[[#This Row],[Class]])</f>
        <v>2</v>
      </c>
      <c r="E187" s="15">
        <f>ClasswiseUniqueStudents7[[#This Row],[Total Count]]*500</f>
        <v>1000</v>
      </c>
      <c r="F187" s="15"/>
    </row>
    <row r="188" spans="1:6">
      <c r="A188" s="5">
        <v>187</v>
      </c>
      <c r="B188" s="5" t="s">
        <v>205</v>
      </c>
      <c r="C188" s="15" t="s">
        <v>209</v>
      </c>
      <c r="D188" s="5">
        <f>COUNTIFS('Raw Entries'!B:B,ClasswiseUniqueStudents7[[#This Row],[Unique Student Name]],'Raw Entries'!C:C,ClasswiseUniqueStudents7[[#This Row],[Class]])</f>
        <v>2</v>
      </c>
      <c r="E188" s="15">
        <f>ClasswiseUniqueStudents7[[#This Row],[Total Count]]*500</f>
        <v>1000</v>
      </c>
      <c r="F188" s="15"/>
    </row>
    <row r="189" spans="1:6">
      <c r="A189" s="5">
        <v>188</v>
      </c>
      <c r="B189" s="5" t="s">
        <v>205</v>
      </c>
      <c r="C189" s="15" t="s">
        <v>210</v>
      </c>
      <c r="D189" s="5">
        <f>COUNTIFS('Raw Entries'!B:B,ClasswiseUniqueStudents7[[#This Row],[Unique Student Name]],'Raw Entries'!C:C,ClasswiseUniqueStudents7[[#This Row],[Class]])</f>
        <v>3</v>
      </c>
      <c r="E189" s="15">
        <f>ClasswiseUniqueStudents7[[#This Row],[Total Count]]*500</f>
        <v>1500</v>
      </c>
      <c r="F189" s="15"/>
    </row>
    <row r="190" spans="1:6">
      <c r="A190" s="5">
        <v>189</v>
      </c>
      <c r="B190" s="5" t="s">
        <v>211</v>
      </c>
      <c r="C190" s="15" t="s">
        <v>212</v>
      </c>
      <c r="D190" s="5">
        <f>COUNTIFS('Raw Entries'!B:B,ClasswiseUniqueStudents7[[#This Row],[Unique Student Name]],'Raw Entries'!C:C,ClasswiseUniqueStudents7[[#This Row],[Class]])</f>
        <v>3</v>
      </c>
      <c r="E190" s="15">
        <f>ClasswiseUniqueStudents7[[#This Row],[Total Count]]*500</f>
        <v>1500</v>
      </c>
      <c r="F190" s="15"/>
    </row>
    <row r="191" spans="1:6">
      <c r="A191" s="5">
        <v>190</v>
      </c>
      <c r="B191" s="5" t="s">
        <v>211</v>
      </c>
      <c r="C191" s="15" t="s">
        <v>213</v>
      </c>
      <c r="D191" s="5">
        <f>COUNTIFS('Raw Entries'!B:B,ClasswiseUniqueStudents7[[#This Row],[Unique Student Name]],'Raw Entries'!C:C,ClasswiseUniqueStudents7[[#This Row],[Class]])</f>
        <v>1</v>
      </c>
      <c r="E191" s="15">
        <f>ClasswiseUniqueStudents7[[#This Row],[Total Count]]*500</f>
        <v>500</v>
      </c>
      <c r="F191" s="15"/>
    </row>
    <row r="192" spans="1:6">
      <c r="A192" s="5">
        <v>191</v>
      </c>
      <c r="B192" s="5" t="s">
        <v>211</v>
      </c>
      <c r="C192" s="15" t="s">
        <v>214</v>
      </c>
      <c r="D192" s="5">
        <f>COUNTIFS('Raw Entries'!B:B,ClasswiseUniqueStudents7[[#This Row],[Unique Student Name]],'Raw Entries'!C:C,ClasswiseUniqueStudents7[[#This Row],[Class]])</f>
        <v>2</v>
      </c>
      <c r="E192" s="15">
        <f>ClasswiseUniqueStudents7[[#This Row],[Total Count]]*500</f>
        <v>1000</v>
      </c>
      <c r="F192" s="15"/>
    </row>
    <row r="193" spans="1:6">
      <c r="A193" s="5">
        <v>192</v>
      </c>
      <c r="B193" s="5" t="s">
        <v>211</v>
      </c>
      <c r="C193" s="15" t="s">
        <v>215</v>
      </c>
      <c r="D193" s="5">
        <f>COUNTIFS('Raw Entries'!B:B,ClasswiseUniqueStudents7[[#This Row],[Unique Student Name]],'Raw Entries'!C:C,ClasswiseUniqueStudents7[[#This Row],[Class]])</f>
        <v>3</v>
      </c>
      <c r="E193" s="15">
        <f>ClasswiseUniqueStudents7[[#This Row],[Total Count]]*500</f>
        <v>1500</v>
      </c>
      <c r="F193" s="15"/>
    </row>
    <row r="194" spans="1:6">
      <c r="A194" s="5">
        <v>193</v>
      </c>
      <c r="B194" s="5" t="s">
        <v>211</v>
      </c>
      <c r="C194" s="15" t="s">
        <v>199</v>
      </c>
      <c r="D194" s="5">
        <f>COUNTIFS('Raw Entries'!B:B,ClasswiseUniqueStudents7[[#This Row],[Unique Student Name]],'Raw Entries'!C:C,ClasswiseUniqueStudents7[[#This Row],[Class]])</f>
        <v>1</v>
      </c>
      <c r="E194" s="15">
        <f>ClasswiseUniqueStudents7[[#This Row],[Total Count]]*500</f>
        <v>500</v>
      </c>
      <c r="F194" s="15"/>
    </row>
    <row r="195" spans="1:6">
      <c r="A195" s="5">
        <v>194</v>
      </c>
      <c r="B195" s="5" t="s">
        <v>211</v>
      </c>
      <c r="C195" s="15" t="s">
        <v>216</v>
      </c>
      <c r="D195" s="5">
        <f>COUNTIFS('Raw Entries'!B:B,ClasswiseUniqueStudents7[[#This Row],[Unique Student Name]],'Raw Entries'!C:C,ClasswiseUniqueStudents7[[#This Row],[Class]])</f>
        <v>1</v>
      </c>
      <c r="E195" s="15">
        <f>ClasswiseUniqueStudents7[[#This Row],[Total Count]]*500</f>
        <v>500</v>
      </c>
      <c r="F195" s="15"/>
    </row>
    <row r="196" spans="1:6">
      <c r="A196" s="5">
        <v>195</v>
      </c>
      <c r="B196" s="5" t="s">
        <v>211</v>
      </c>
      <c r="C196" s="15" t="s">
        <v>217</v>
      </c>
      <c r="D196" s="5">
        <f>COUNTIFS('Raw Entries'!B:B,ClasswiseUniqueStudents7[[#This Row],[Unique Student Name]],'Raw Entries'!C:C,ClasswiseUniqueStudents7[[#This Row],[Class]])</f>
        <v>1</v>
      </c>
      <c r="E196" s="15">
        <f>ClasswiseUniqueStudents7[[#This Row],[Total Count]]*500</f>
        <v>500</v>
      </c>
      <c r="F196" s="15"/>
    </row>
    <row r="197" spans="1:6">
      <c r="A197" s="5">
        <v>196</v>
      </c>
      <c r="B197" s="5" t="s">
        <v>211</v>
      </c>
      <c r="C197" s="15" t="s">
        <v>218</v>
      </c>
      <c r="D197" s="5">
        <f>COUNTIFS('Raw Entries'!B:B,ClasswiseUniqueStudents7[[#This Row],[Unique Student Name]],'Raw Entries'!C:C,ClasswiseUniqueStudents7[[#This Row],[Class]])</f>
        <v>2</v>
      </c>
      <c r="E197" s="15">
        <f>ClasswiseUniqueStudents7[[#This Row],[Total Count]]*500</f>
        <v>1000</v>
      </c>
      <c r="F197" s="15"/>
    </row>
    <row r="198" spans="1:6">
      <c r="A198" s="5">
        <v>197</v>
      </c>
      <c r="B198" s="5" t="s">
        <v>211</v>
      </c>
      <c r="C198" s="15" t="s">
        <v>219</v>
      </c>
      <c r="D198" s="5">
        <f>COUNTIFS('Raw Entries'!B:B,ClasswiseUniqueStudents7[[#This Row],[Unique Student Name]],'Raw Entries'!C:C,ClasswiseUniqueStudents7[[#This Row],[Class]])</f>
        <v>3</v>
      </c>
      <c r="E198" s="15">
        <f>ClasswiseUniqueStudents7[[#This Row],[Total Count]]*500</f>
        <v>1500</v>
      </c>
      <c r="F198" s="15"/>
    </row>
    <row r="199" spans="1:6">
      <c r="A199" s="5">
        <v>198</v>
      </c>
      <c r="B199" s="5" t="s">
        <v>211</v>
      </c>
      <c r="C199" s="15" t="s">
        <v>220</v>
      </c>
      <c r="D199" s="5">
        <f>COUNTIFS('Raw Entries'!B:B,ClasswiseUniqueStudents7[[#This Row],[Unique Student Name]],'Raw Entries'!C:C,ClasswiseUniqueStudents7[[#This Row],[Class]])</f>
        <v>1</v>
      </c>
      <c r="E199" s="15">
        <f>ClasswiseUniqueStudents7[[#This Row],[Total Count]]*500</f>
        <v>500</v>
      </c>
      <c r="F199" s="15"/>
    </row>
    <row r="200" spans="1:6">
      <c r="A200" s="5">
        <v>199</v>
      </c>
      <c r="B200" s="5" t="s">
        <v>221</v>
      </c>
      <c r="C200" s="15" t="s">
        <v>222</v>
      </c>
      <c r="D200" s="5">
        <f>COUNTIFS('Raw Entries'!B:B,ClasswiseUniqueStudents7[[#This Row],[Unique Student Name]],'Raw Entries'!C:C,ClasswiseUniqueStudents7[[#This Row],[Class]])</f>
        <v>1</v>
      </c>
      <c r="E200" s="15">
        <f>ClasswiseUniqueStudents7[[#This Row],[Total Count]]*500</f>
        <v>500</v>
      </c>
      <c r="F200" s="15"/>
    </row>
    <row r="201" spans="1:6">
      <c r="A201" s="5">
        <v>200</v>
      </c>
      <c r="B201" s="5" t="s">
        <v>221</v>
      </c>
      <c r="C201" s="15" t="s">
        <v>223</v>
      </c>
      <c r="D201" s="5">
        <f>COUNTIFS('Raw Entries'!B:B,ClasswiseUniqueStudents7[[#This Row],[Unique Student Name]],'Raw Entries'!C:C,ClasswiseUniqueStudents7[[#This Row],[Class]])</f>
        <v>3</v>
      </c>
      <c r="E201" s="15">
        <f>ClasswiseUniqueStudents7[[#This Row],[Total Count]]*500</f>
        <v>1500</v>
      </c>
      <c r="F201" s="15"/>
    </row>
    <row r="202" spans="1:6">
      <c r="A202" s="5">
        <v>201</v>
      </c>
      <c r="B202" s="5" t="s">
        <v>221</v>
      </c>
      <c r="C202" s="15" t="s">
        <v>224</v>
      </c>
      <c r="D202" s="5">
        <f>COUNTIFS('Raw Entries'!B:B,ClasswiseUniqueStudents7[[#This Row],[Unique Student Name]],'Raw Entries'!C:C,ClasswiseUniqueStudents7[[#This Row],[Class]])</f>
        <v>1</v>
      </c>
      <c r="E202" s="15">
        <f>ClasswiseUniqueStudents7[[#This Row],[Total Count]]*500</f>
        <v>500</v>
      </c>
      <c r="F202" s="15"/>
    </row>
    <row r="203" spans="1:6">
      <c r="A203" s="5">
        <v>202</v>
      </c>
      <c r="B203" s="5" t="s">
        <v>221</v>
      </c>
      <c r="C203" s="15" t="s">
        <v>225</v>
      </c>
      <c r="D203" s="5">
        <f>COUNTIFS('Raw Entries'!B:B,ClasswiseUniqueStudents7[[#This Row],[Unique Student Name]],'Raw Entries'!C:C,ClasswiseUniqueStudents7[[#This Row],[Class]])</f>
        <v>3</v>
      </c>
      <c r="E203" s="15">
        <f>ClasswiseUniqueStudents7[[#This Row],[Total Count]]*500</f>
        <v>1500</v>
      </c>
      <c r="F203" s="15"/>
    </row>
    <row r="204" spans="1:6">
      <c r="A204" s="5">
        <v>203</v>
      </c>
      <c r="B204" s="5" t="s">
        <v>221</v>
      </c>
      <c r="C204" s="15" t="s">
        <v>226</v>
      </c>
      <c r="D204" s="5">
        <f>COUNTIFS('Raw Entries'!B:B,ClasswiseUniqueStudents7[[#This Row],[Unique Student Name]],'Raw Entries'!C:C,ClasswiseUniqueStudents7[[#This Row],[Class]])</f>
        <v>1</v>
      </c>
      <c r="E204" s="15">
        <f>ClasswiseUniqueStudents7[[#This Row],[Total Count]]*500</f>
        <v>500</v>
      </c>
      <c r="F204" s="15"/>
    </row>
    <row r="205" spans="1:6">
      <c r="A205" s="5">
        <v>204</v>
      </c>
      <c r="B205" s="5" t="s">
        <v>227</v>
      </c>
      <c r="C205" s="15" t="s">
        <v>228</v>
      </c>
      <c r="D205" s="5">
        <f>COUNTIFS('Raw Entries'!B:B,ClasswiseUniqueStudents7[[#This Row],[Unique Student Name]],'Raw Entries'!C:C,ClasswiseUniqueStudents7[[#This Row],[Class]])</f>
        <v>1</v>
      </c>
      <c r="E205" s="15">
        <f>ClasswiseUniqueStudents7[[#This Row],[Total Count]]*500</f>
        <v>500</v>
      </c>
      <c r="F205" s="15"/>
    </row>
    <row r="206" spans="1:6">
      <c r="A206" s="5">
        <v>205</v>
      </c>
      <c r="B206" s="5" t="s">
        <v>227</v>
      </c>
      <c r="C206" s="15" t="s">
        <v>229</v>
      </c>
      <c r="D206" s="5">
        <f>COUNTIFS('Raw Entries'!B:B,ClasswiseUniqueStudents7[[#This Row],[Unique Student Name]],'Raw Entries'!C:C,ClasswiseUniqueStudents7[[#This Row],[Class]])</f>
        <v>2</v>
      </c>
      <c r="E206" s="15">
        <f>ClasswiseUniqueStudents7[[#This Row],[Total Count]]*500</f>
        <v>1000</v>
      </c>
      <c r="F206" s="15"/>
    </row>
    <row r="207" spans="1:6">
      <c r="A207" s="5">
        <v>206</v>
      </c>
      <c r="B207" s="5" t="s">
        <v>227</v>
      </c>
      <c r="C207" s="15" t="s">
        <v>230</v>
      </c>
      <c r="D207" s="5">
        <f>COUNTIFS('Raw Entries'!B:B,ClasswiseUniqueStudents7[[#This Row],[Unique Student Name]],'Raw Entries'!C:C,ClasswiseUniqueStudents7[[#This Row],[Class]])</f>
        <v>1</v>
      </c>
      <c r="E207" s="15">
        <f>ClasswiseUniqueStudents7[[#This Row],[Total Count]]*500</f>
        <v>500</v>
      </c>
      <c r="F207" s="15"/>
    </row>
    <row r="208" spans="1:6">
      <c r="A208" s="5">
        <v>207</v>
      </c>
      <c r="B208" s="5" t="s">
        <v>227</v>
      </c>
      <c r="C208" s="15" t="s">
        <v>231</v>
      </c>
      <c r="D208" s="5">
        <f>COUNTIFS('Raw Entries'!B:B,ClasswiseUniqueStudents7[[#This Row],[Unique Student Name]],'Raw Entries'!C:C,ClasswiseUniqueStudents7[[#This Row],[Class]])</f>
        <v>3</v>
      </c>
      <c r="E208" s="15">
        <f>ClasswiseUniqueStudents7[[#This Row],[Total Count]]*500</f>
        <v>1500</v>
      </c>
      <c r="F208" s="15"/>
    </row>
    <row r="209" spans="1:6">
      <c r="A209" s="5">
        <v>208</v>
      </c>
      <c r="B209" s="5" t="s">
        <v>232</v>
      </c>
      <c r="C209" s="15" t="s">
        <v>233</v>
      </c>
      <c r="D209" s="5">
        <f>COUNTIFS('Raw Entries'!B:B,ClasswiseUniqueStudents7[[#This Row],[Unique Student Name]],'Raw Entries'!C:C,ClasswiseUniqueStudents7[[#This Row],[Class]])</f>
        <v>3</v>
      </c>
      <c r="E209" s="15">
        <f>ClasswiseUniqueStudents7[[#This Row],[Total Count]]*500</f>
        <v>1500</v>
      </c>
      <c r="F209" s="15"/>
    </row>
    <row r="210" spans="1:6">
      <c r="A210" s="5">
        <v>209</v>
      </c>
      <c r="B210" s="5" t="s">
        <v>232</v>
      </c>
      <c r="C210" s="15" t="s">
        <v>3229</v>
      </c>
      <c r="D210" s="5">
        <f>COUNTIFS('Raw Entries'!B:B,ClasswiseUniqueStudents7[[#This Row],[Unique Student Name]],'Raw Entries'!C:C,ClasswiseUniqueStudents7[[#This Row],[Class]])</f>
        <v>1</v>
      </c>
      <c r="E210" s="15">
        <f>ClasswiseUniqueStudents7[[#This Row],[Total Count]]*500</f>
        <v>500</v>
      </c>
      <c r="F210" s="15"/>
    </row>
    <row r="211" spans="1:6">
      <c r="A211" s="5">
        <v>210</v>
      </c>
      <c r="B211" s="5" t="s">
        <v>232</v>
      </c>
      <c r="C211" s="15" t="s">
        <v>3244</v>
      </c>
      <c r="D211" s="5">
        <f>COUNTIFS('Raw Entries'!B:B,ClasswiseUniqueStudents7[[#This Row],[Unique Student Name]],'Raw Entries'!C:C,ClasswiseUniqueStudents7[[#This Row],[Class]])</f>
        <v>3</v>
      </c>
      <c r="E211" s="15">
        <f>ClasswiseUniqueStudents7[[#This Row],[Total Count]]*500</f>
        <v>1500</v>
      </c>
      <c r="F211" s="15"/>
    </row>
    <row r="212" spans="1:6">
      <c r="A212" s="5">
        <v>211</v>
      </c>
      <c r="B212" s="5" t="s">
        <v>232</v>
      </c>
      <c r="C212" s="15" t="s">
        <v>234</v>
      </c>
      <c r="D212" s="5">
        <f>COUNTIFS('Raw Entries'!B:B,ClasswiseUniqueStudents7[[#This Row],[Unique Student Name]],'Raw Entries'!C:C,ClasswiseUniqueStudents7[[#This Row],[Class]])</f>
        <v>3</v>
      </c>
      <c r="E212" s="15">
        <f>ClasswiseUniqueStudents7[[#This Row],[Total Count]]*500</f>
        <v>1500</v>
      </c>
      <c r="F212" s="15"/>
    </row>
    <row r="213" spans="1:6">
      <c r="A213" s="5">
        <v>212</v>
      </c>
      <c r="B213" s="5" t="s">
        <v>232</v>
      </c>
      <c r="C213" s="15" t="s">
        <v>235</v>
      </c>
      <c r="D213" s="5">
        <f>COUNTIFS('Raw Entries'!B:B,ClasswiseUniqueStudents7[[#This Row],[Unique Student Name]],'Raw Entries'!C:C,ClasswiseUniqueStudents7[[#This Row],[Class]])</f>
        <v>1</v>
      </c>
      <c r="E213" s="15">
        <f>ClasswiseUniqueStudents7[[#This Row],[Total Count]]*500</f>
        <v>500</v>
      </c>
      <c r="F213" s="15"/>
    </row>
    <row r="214" spans="1:6">
      <c r="A214" s="5">
        <v>213</v>
      </c>
      <c r="B214" s="5" t="s">
        <v>232</v>
      </c>
      <c r="C214" s="15" t="s">
        <v>236</v>
      </c>
      <c r="D214" s="5">
        <f>COUNTIFS('Raw Entries'!B:B,ClasswiseUniqueStudents7[[#This Row],[Unique Student Name]],'Raw Entries'!C:C,ClasswiseUniqueStudents7[[#This Row],[Class]])</f>
        <v>1</v>
      </c>
      <c r="E214" s="15">
        <f>ClasswiseUniqueStudents7[[#This Row],[Total Count]]*500</f>
        <v>500</v>
      </c>
      <c r="F214" s="15"/>
    </row>
    <row r="215" spans="1:6">
      <c r="A215" s="5">
        <v>214</v>
      </c>
      <c r="B215" s="5" t="s">
        <v>232</v>
      </c>
      <c r="C215" s="15" t="s">
        <v>237</v>
      </c>
      <c r="D215" s="5">
        <f>COUNTIFS('Raw Entries'!B:B,ClasswiseUniqueStudents7[[#This Row],[Unique Student Name]],'Raw Entries'!C:C,ClasswiseUniqueStudents7[[#This Row],[Class]])</f>
        <v>2</v>
      </c>
      <c r="E215" s="15">
        <f>ClasswiseUniqueStudents7[[#This Row],[Total Count]]*500</f>
        <v>1000</v>
      </c>
      <c r="F215" s="15"/>
    </row>
    <row r="216" spans="1:6">
      <c r="A216" s="5">
        <v>215</v>
      </c>
      <c r="B216" s="5" t="s">
        <v>232</v>
      </c>
      <c r="C216" s="15" t="s">
        <v>238</v>
      </c>
      <c r="D216" s="5">
        <f>COUNTIFS('Raw Entries'!B:B,ClasswiseUniqueStudents7[[#This Row],[Unique Student Name]],'Raw Entries'!C:C,ClasswiseUniqueStudents7[[#This Row],[Class]])</f>
        <v>3</v>
      </c>
      <c r="E216" s="15">
        <f>ClasswiseUniqueStudents7[[#This Row],[Total Count]]*500</f>
        <v>1500</v>
      </c>
      <c r="F216" s="15"/>
    </row>
    <row r="217" spans="1:6">
      <c r="A217" s="5">
        <v>216</v>
      </c>
      <c r="B217" s="5" t="s">
        <v>232</v>
      </c>
      <c r="C217" s="15" t="s">
        <v>239</v>
      </c>
      <c r="D217" s="5">
        <f>COUNTIFS('Raw Entries'!B:B,ClasswiseUniqueStudents7[[#This Row],[Unique Student Name]],'Raw Entries'!C:C,ClasswiseUniqueStudents7[[#This Row],[Class]])</f>
        <v>1</v>
      </c>
      <c r="E217" s="15">
        <f>ClasswiseUniqueStudents7[[#This Row],[Total Count]]*500</f>
        <v>500</v>
      </c>
      <c r="F217" s="15"/>
    </row>
    <row r="218" spans="1:6">
      <c r="A218" s="5">
        <v>217</v>
      </c>
      <c r="B218" s="5" t="s">
        <v>232</v>
      </c>
      <c r="C218" s="15" t="s">
        <v>240</v>
      </c>
      <c r="D218" s="5">
        <f>COUNTIFS('Raw Entries'!B:B,ClasswiseUniqueStudents7[[#This Row],[Unique Student Name]],'Raw Entries'!C:C,ClasswiseUniqueStudents7[[#This Row],[Class]])</f>
        <v>2</v>
      </c>
      <c r="E218" s="15">
        <f>ClasswiseUniqueStudents7[[#This Row],[Total Count]]*500</f>
        <v>1000</v>
      </c>
      <c r="F218" s="15"/>
    </row>
    <row r="219" spans="1:6">
      <c r="A219" s="5">
        <v>218</v>
      </c>
      <c r="B219" s="5" t="s">
        <v>232</v>
      </c>
      <c r="C219" s="15" t="s">
        <v>3234</v>
      </c>
      <c r="D219" s="5">
        <f>COUNTIFS('Raw Entries'!B:B,ClasswiseUniqueStudents7[[#This Row],[Unique Student Name]],'Raw Entries'!C:C,ClasswiseUniqueStudents7[[#This Row],[Class]])</f>
        <v>1</v>
      </c>
      <c r="E219" s="15">
        <f>ClasswiseUniqueStudents7[[#This Row],[Total Count]]*500</f>
        <v>500</v>
      </c>
      <c r="F219" s="15"/>
    </row>
    <row r="220" spans="1:6">
      <c r="A220" s="5">
        <v>219</v>
      </c>
      <c r="B220" s="5" t="s">
        <v>232</v>
      </c>
      <c r="C220" s="15" t="s">
        <v>241</v>
      </c>
      <c r="D220" s="5">
        <f>COUNTIFS('Raw Entries'!B:B,ClasswiseUniqueStudents7[[#This Row],[Unique Student Name]],'Raw Entries'!C:C,ClasswiseUniqueStudents7[[#This Row],[Class]])</f>
        <v>1</v>
      </c>
      <c r="E220" s="15">
        <f>ClasswiseUniqueStudents7[[#This Row],[Total Count]]*500</f>
        <v>500</v>
      </c>
      <c r="F220" s="15"/>
    </row>
    <row r="221" spans="1:6">
      <c r="A221" s="5">
        <v>220</v>
      </c>
      <c r="B221" s="5" t="s">
        <v>232</v>
      </c>
      <c r="C221" s="15" t="s">
        <v>242</v>
      </c>
      <c r="D221" s="5">
        <f>COUNTIFS('Raw Entries'!B:B,ClasswiseUniqueStudents7[[#This Row],[Unique Student Name]],'Raw Entries'!C:C,ClasswiseUniqueStudents7[[#This Row],[Class]])</f>
        <v>3</v>
      </c>
      <c r="E221" s="15">
        <f>ClasswiseUniqueStudents7[[#This Row],[Total Count]]*500</f>
        <v>1500</v>
      </c>
      <c r="F221" s="15"/>
    </row>
    <row r="222" spans="1:6">
      <c r="A222" s="5">
        <v>221</v>
      </c>
      <c r="B222" s="5" t="s">
        <v>232</v>
      </c>
      <c r="C222" s="15" t="s">
        <v>243</v>
      </c>
      <c r="D222" s="5">
        <f>COUNTIFS('Raw Entries'!B:B,ClasswiseUniqueStudents7[[#This Row],[Unique Student Name]],'Raw Entries'!C:C,ClasswiseUniqueStudents7[[#This Row],[Class]])</f>
        <v>1</v>
      </c>
      <c r="E222" s="15">
        <f>ClasswiseUniqueStudents7[[#This Row],[Total Count]]*500</f>
        <v>500</v>
      </c>
      <c r="F222" s="15"/>
    </row>
    <row r="223" spans="1:6">
      <c r="A223" s="5">
        <v>222</v>
      </c>
      <c r="B223" s="5" t="s">
        <v>232</v>
      </c>
      <c r="C223" s="15" t="s">
        <v>3240</v>
      </c>
      <c r="D223" s="5">
        <f>COUNTIFS('Raw Entries'!B:B,ClasswiseUniqueStudents7[[#This Row],[Unique Student Name]],'Raw Entries'!C:C,ClasswiseUniqueStudents7[[#This Row],[Class]])</f>
        <v>1</v>
      </c>
      <c r="E223" s="15">
        <f>ClasswiseUniqueStudents7[[#This Row],[Total Count]]*500</f>
        <v>500</v>
      </c>
      <c r="F223" s="15"/>
    </row>
    <row r="224" spans="1:6">
      <c r="A224" s="5">
        <v>223</v>
      </c>
      <c r="B224" s="5" t="s">
        <v>232</v>
      </c>
      <c r="C224" s="15" t="s">
        <v>244</v>
      </c>
      <c r="D224" s="5">
        <f>COUNTIFS('Raw Entries'!B:B,ClasswiseUniqueStudents7[[#This Row],[Unique Student Name]],'Raw Entries'!C:C,ClasswiseUniqueStudents7[[#This Row],[Class]])</f>
        <v>1</v>
      </c>
      <c r="E224" s="15">
        <f>ClasswiseUniqueStudents7[[#This Row],[Total Count]]*500</f>
        <v>500</v>
      </c>
      <c r="F224" s="15"/>
    </row>
    <row r="225" spans="1:6">
      <c r="A225" s="5">
        <v>224</v>
      </c>
      <c r="B225" s="5" t="s">
        <v>232</v>
      </c>
      <c r="C225" s="15" t="s">
        <v>245</v>
      </c>
      <c r="D225" s="5">
        <f>COUNTIFS('Raw Entries'!B:B,ClasswiseUniqueStudents7[[#This Row],[Unique Student Name]],'Raw Entries'!C:C,ClasswiseUniqueStudents7[[#This Row],[Class]])</f>
        <v>1</v>
      </c>
      <c r="E225" s="15">
        <f>ClasswiseUniqueStudents7[[#This Row],[Total Count]]*500</f>
        <v>500</v>
      </c>
      <c r="F225" s="15"/>
    </row>
    <row r="226" spans="1:6">
      <c r="A226" s="5">
        <v>225</v>
      </c>
      <c r="B226" s="5" t="s">
        <v>232</v>
      </c>
      <c r="C226" s="15" t="s">
        <v>246</v>
      </c>
      <c r="D226" s="5">
        <f>COUNTIFS('Raw Entries'!B:B,ClasswiseUniqueStudents7[[#This Row],[Unique Student Name]],'Raw Entries'!C:C,ClasswiseUniqueStudents7[[#This Row],[Class]])</f>
        <v>1</v>
      </c>
      <c r="E226" s="15">
        <f>ClasswiseUniqueStudents7[[#This Row],[Total Count]]*500</f>
        <v>500</v>
      </c>
      <c r="F226" s="15"/>
    </row>
    <row r="227" spans="1:6">
      <c r="A227" s="5">
        <v>226</v>
      </c>
      <c r="B227" s="5" t="s">
        <v>232</v>
      </c>
      <c r="C227" s="15" t="s">
        <v>247</v>
      </c>
      <c r="D227" s="5">
        <f>COUNTIFS('Raw Entries'!B:B,ClasswiseUniqueStudents7[[#This Row],[Unique Student Name]],'Raw Entries'!C:C,ClasswiseUniqueStudents7[[#This Row],[Class]])</f>
        <v>1</v>
      </c>
      <c r="E227" s="15">
        <f>ClasswiseUniqueStudents7[[#This Row],[Total Count]]*500</f>
        <v>500</v>
      </c>
      <c r="F227" s="15"/>
    </row>
    <row r="228" spans="1:6">
      <c r="A228" s="5">
        <v>227</v>
      </c>
      <c r="B228" s="5" t="s">
        <v>232</v>
      </c>
      <c r="C228" s="15" t="s">
        <v>248</v>
      </c>
      <c r="D228" s="5">
        <f>COUNTIFS('Raw Entries'!B:B,ClasswiseUniqueStudents7[[#This Row],[Unique Student Name]],'Raw Entries'!C:C,ClasswiseUniqueStudents7[[#This Row],[Class]])</f>
        <v>3</v>
      </c>
      <c r="E228" s="15">
        <f>ClasswiseUniqueStudents7[[#This Row],[Total Count]]*500</f>
        <v>1500</v>
      </c>
      <c r="F228" s="15"/>
    </row>
    <row r="229" spans="1:6">
      <c r="A229" s="5">
        <v>228</v>
      </c>
      <c r="B229" s="5" t="s">
        <v>232</v>
      </c>
      <c r="C229" s="15" t="s">
        <v>249</v>
      </c>
      <c r="D229" s="5">
        <f>COUNTIFS('Raw Entries'!B:B,ClasswiseUniqueStudents7[[#This Row],[Unique Student Name]],'Raw Entries'!C:C,ClasswiseUniqueStudents7[[#This Row],[Class]])</f>
        <v>1</v>
      </c>
      <c r="E229" s="15">
        <f>ClasswiseUniqueStudents7[[#This Row],[Total Count]]*500</f>
        <v>500</v>
      </c>
      <c r="F229" s="15"/>
    </row>
    <row r="230" spans="1:6">
      <c r="A230" s="5">
        <v>229</v>
      </c>
      <c r="B230" s="5" t="s">
        <v>232</v>
      </c>
      <c r="C230" s="15" t="s">
        <v>250</v>
      </c>
      <c r="D230" s="5">
        <f>COUNTIFS('Raw Entries'!B:B,ClasswiseUniqueStudents7[[#This Row],[Unique Student Name]],'Raw Entries'!C:C,ClasswiseUniqueStudents7[[#This Row],[Class]])</f>
        <v>1</v>
      </c>
      <c r="E230" s="15">
        <f>ClasswiseUniqueStudents7[[#This Row],[Total Count]]*500</f>
        <v>500</v>
      </c>
      <c r="F230" s="15"/>
    </row>
    <row r="231" spans="1:6">
      <c r="A231" s="5">
        <v>230</v>
      </c>
      <c r="B231" s="5" t="s">
        <v>232</v>
      </c>
      <c r="C231" s="15" t="s">
        <v>251</v>
      </c>
      <c r="D231" s="5">
        <f>COUNTIFS('Raw Entries'!B:B,ClasswiseUniqueStudents7[[#This Row],[Unique Student Name]],'Raw Entries'!C:C,ClasswiseUniqueStudents7[[#This Row],[Class]])</f>
        <v>1</v>
      </c>
      <c r="E231" s="15">
        <f>ClasswiseUniqueStudents7[[#This Row],[Total Count]]*500</f>
        <v>500</v>
      </c>
      <c r="F231" s="15"/>
    </row>
    <row r="232" spans="1:6">
      <c r="A232" s="5">
        <v>231</v>
      </c>
      <c r="B232" s="5" t="s">
        <v>252</v>
      </c>
      <c r="C232" s="15" t="s">
        <v>253</v>
      </c>
      <c r="D232" s="5">
        <f>COUNTIFS('Raw Entries'!B:B,ClasswiseUniqueStudents7[[#This Row],[Unique Student Name]],'Raw Entries'!C:C,ClasswiseUniqueStudents7[[#This Row],[Class]])</f>
        <v>1</v>
      </c>
      <c r="E232" s="15">
        <f>ClasswiseUniqueStudents7[[#This Row],[Total Count]]*500</f>
        <v>500</v>
      </c>
      <c r="F232" s="15"/>
    </row>
    <row r="233" spans="1:6">
      <c r="A233" s="5">
        <v>232</v>
      </c>
      <c r="B233" s="5" t="s">
        <v>252</v>
      </c>
      <c r="C233" s="15" t="s">
        <v>3256</v>
      </c>
      <c r="D233" s="5">
        <f>COUNTIFS('Raw Entries'!B:B,ClasswiseUniqueStudents7[[#This Row],[Unique Student Name]],'Raw Entries'!C:C,ClasswiseUniqueStudents7[[#This Row],[Class]])</f>
        <v>1</v>
      </c>
      <c r="E233" s="15">
        <f>ClasswiseUniqueStudents7[[#This Row],[Total Count]]*500</f>
        <v>500</v>
      </c>
      <c r="F233" s="15"/>
    </row>
    <row r="234" spans="1:6">
      <c r="A234" s="5">
        <v>233</v>
      </c>
      <c r="B234" s="5" t="s">
        <v>252</v>
      </c>
      <c r="C234" s="15" t="s">
        <v>254</v>
      </c>
      <c r="D234" s="5">
        <f>COUNTIFS('Raw Entries'!B:B,ClasswiseUniqueStudents7[[#This Row],[Unique Student Name]],'Raw Entries'!C:C,ClasswiseUniqueStudents7[[#This Row],[Class]])</f>
        <v>1</v>
      </c>
      <c r="E234" s="15">
        <f>ClasswiseUniqueStudents7[[#This Row],[Total Count]]*500</f>
        <v>500</v>
      </c>
      <c r="F234" s="15"/>
    </row>
    <row r="235" spans="1:6">
      <c r="A235" s="5">
        <v>234</v>
      </c>
      <c r="B235" s="5" t="s">
        <v>252</v>
      </c>
      <c r="C235" s="15" t="s">
        <v>255</v>
      </c>
      <c r="D235" s="5">
        <f>COUNTIFS('Raw Entries'!B:B,ClasswiseUniqueStudents7[[#This Row],[Unique Student Name]],'Raw Entries'!C:C,ClasswiseUniqueStudents7[[#This Row],[Class]])</f>
        <v>1</v>
      </c>
      <c r="E235" s="15">
        <f>ClasswiseUniqueStudents7[[#This Row],[Total Count]]*500</f>
        <v>500</v>
      </c>
      <c r="F235" s="15"/>
    </row>
    <row r="236" spans="1:6">
      <c r="A236" s="5">
        <v>235</v>
      </c>
      <c r="B236" s="5" t="s">
        <v>252</v>
      </c>
      <c r="C236" s="15" t="s">
        <v>256</v>
      </c>
      <c r="D236" s="5">
        <f>COUNTIFS('Raw Entries'!B:B,ClasswiseUniqueStudents7[[#This Row],[Unique Student Name]],'Raw Entries'!C:C,ClasswiseUniqueStudents7[[#This Row],[Class]])</f>
        <v>1</v>
      </c>
      <c r="E236" s="15">
        <f>ClasswiseUniqueStudents7[[#This Row],[Total Count]]*500</f>
        <v>500</v>
      </c>
      <c r="F236" s="15"/>
    </row>
    <row r="237" spans="1:6">
      <c r="A237" s="5">
        <v>236</v>
      </c>
      <c r="B237" s="5" t="s">
        <v>252</v>
      </c>
      <c r="C237" s="15" t="s">
        <v>257</v>
      </c>
      <c r="D237" s="5">
        <f>COUNTIFS('Raw Entries'!B:B,ClasswiseUniqueStudents7[[#This Row],[Unique Student Name]],'Raw Entries'!C:C,ClasswiseUniqueStudents7[[#This Row],[Class]])</f>
        <v>1</v>
      </c>
      <c r="E237" s="15">
        <f>ClasswiseUniqueStudents7[[#This Row],[Total Count]]*500</f>
        <v>500</v>
      </c>
      <c r="F237" s="15"/>
    </row>
    <row r="238" spans="1:6">
      <c r="A238" s="5">
        <v>237</v>
      </c>
      <c r="B238" s="5" t="s">
        <v>252</v>
      </c>
      <c r="C238" s="15" t="s">
        <v>258</v>
      </c>
      <c r="D238" s="5">
        <f>COUNTIFS('Raw Entries'!B:B,ClasswiseUniqueStudents7[[#This Row],[Unique Student Name]],'Raw Entries'!C:C,ClasswiseUniqueStudents7[[#This Row],[Class]])</f>
        <v>1</v>
      </c>
      <c r="E238" s="15">
        <f>ClasswiseUniqueStudents7[[#This Row],[Total Count]]*500</f>
        <v>500</v>
      </c>
      <c r="F238" s="15"/>
    </row>
    <row r="239" spans="1:6">
      <c r="A239" s="5">
        <v>238</v>
      </c>
      <c r="B239" s="5" t="s">
        <v>252</v>
      </c>
      <c r="C239" s="15" t="s">
        <v>259</v>
      </c>
      <c r="D239" s="5">
        <f>COUNTIFS('Raw Entries'!B:B,ClasswiseUniqueStudents7[[#This Row],[Unique Student Name]],'Raw Entries'!C:C,ClasswiseUniqueStudents7[[#This Row],[Class]])</f>
        <v>1</v>
      </c>
      <c r="E239" s="15">
        <f>ClasswiseUniqueStudents7[[#This Row],[Total Count]]*500</f>
        <v>500</v>
      </c>
      <c r="F239" s="15"/>
    </row>
    <row r="240" spans="1:6">
      <c r="A240" s="5">
        <v>239</v>
      </c>
      <c r="B240" s="5" t="s">
        <v>252</v>
      </c>
      <c r="C240" s="15" t="s">
        <v>3267</v>
      </c>
      <c r="D240" s="5">
        <f>COUNTIFS('Raw Entries'!B:B,ClasswiseUniqueStudents7[[#This Row],[Unique Student Name]],'Raw Entries'!C:C,ClasswiseUniqueStudents7[[#This Row],[Class]])</f>
        <v>1</v>
      </c>
      <c r="E240" s="15">
        <f>ClasswiseUniqueStudents7[[#This Row],[Total Count]]*500</f>
        <v>500</v>
      </c>
      <c r="F240" s="15"/>
    </row>
    <row r="241" spans="1:6">
      <c r="A241" s="5">
        <v>240</v>
      </c>
      <c r="B241" s="5" t="s">
        <v>252</v>
      </c>
      <c r="C241" s="15" t="s">
        <v>260</v>
      </c>
      <c r="D241" s="5">
        <f>COUNTIFS('Raw Entries'!B:B,ClasswiseUniqueStudents7[[#This Row],[Unique Student Name]],'Raw Entries'!C:C,ClasswiseUniqueStudents7[[#This Row],[Class]])</f>
        <v>3</v>
      </c>
      <c r="E241" s="15">
        <f>ClasswiseUniqueStudents7[[#This Row],[Total Count]]*500</f>
        <v>1500</v>
      </c>
      <c r="F241" s="15"/>
    </row>
    <row r="242" spans="1:6">
      <c r="A242" s="5">
        <v>241</v>
      </c>
      <c r="B242" s="5" t="s">
        <v>252</v>
      </c>
      <c r="C242" s="15" t="s">
        <v>261</v>
      </c>
      <c r="D242" s="5">
        <f>COUNTIFS('Raw Entries'!B:B,ClasswiseUniqueStudents7[[#This Row],[Unique Student Name]],'Raw Entries'!C:C,ClasswiseUniqueStudents7[[#This Row],[Class]])</f>
        <v>3</v>
      </c>
      <c r="E242" s="15">
        <f>ClasswiseUniqueStudents7[[#This Row],[Total Count]]*500</f>
        <v>1500</v>
      </c>
      <c r="F242" s="15"/>
    </row>
    <row r="243" spans="1:6">
      <c r="A243" s="5">
        <v>242</v>
      </c>
      <c r="B243" s="5" t="s">
        <v>252</v>
      </c>
      <c r="C243" s="15" t="s">
        <v>262</v>
      </c>
      <c r="D243" s="5">
        <f>COUNTIFS('Raw Entries'!B:B,ClasswiseUniqueStudents7[[#This Row],[Unique Student Name]],'Raw Entries'!C:C,ClasswiseUniqueStudents7[[#This Row],[Class]])</f>
        <v>2</v>
      </c>
      <c r="E243" s="15">
        <f>ClasswiseUniqueStudents7[[#This Row],[Total Count]]*500</f>
        <v>1000</v>
      </c>
      <c r="F243" s="15"/>
    </row>
    <row r="244" spans="1:6">
      <c r="A244" s="5">
        <v>243</v>
      </c>
      <c r="B244" s="5" t="s">
        <v>252</v>
      </c>
      <c r="C244" s="15" t="s">
        <v>263</v>
      </c>
      <c r="D244" s="5">
        <f>COUNTIFS('Raw Entries'!B:B,ClasswiseUniqueStudents7[[#This Row],[Unique Student Name]],'Raw Entries'!C:C,ClasswiseUniqueStudents7[[#This Row],[Class]])</f>
        <v>3</v>
      </c>
      <c r="E244" s="15">
        <f>ClasswiseUniqueStudents7[[#This Row],[Total Count]]*500</f>
        <v>1500</v>
      </c>
      <c r="F244" s="15"/>
    </row>
    <row r="245" spans="1:6">
      <c r="A245" s="5">
        <v>244</v>
      </c>
      <c r="B245" s="5" t="s">
        <v>252</v>
      </c>
      <c r="C245" s="15" t="s">
        <v>264</v>
      </c>
      <c r="D245" s="5">
        <f>COUNTIFS('Raw Entries'!B:B,ClasswiseUniqueStudents7[[#This Row],[Unique Student Name]],'Raw Entries'!C:C,ClasswiseUniqueStudents7[[#This Row],[Class]])</f>
        <v>3</v>
      </c>
      <c r="E245" s="15">
        <f>ClasswiseUniqueStudents7[[#This Row],[Total Count]]*500</f>
        <v>1500</v>
      </c>
      <c r="F245" s="15"/>
    </row>
    <row r="246" spans="1:6">
      <c r="A246" s="5">
        <v>245</v>
      </c>
      <c r="B246" s="5" t="s">
        <v>265</v>
      </c>
      <c r="C246" s="15" t="s">
        <v>266</v>
      </c>
      <c r="D246" s="5">
        <f>COUNTIFS('Raw Entries'!B:B,ClasswiseUniqueStudents7[[#This Row],[Unique Student Name]],'Raw Entries'!C:C,ClasswiseUniqueStudents7[[#This Row],[Class]])</f>
        <v>3</v>
      </c>
      <c r="E246" s="15">
        <f>ClasswiseUniqueStudents7[[#This Row],[Total Count]]*500</f>
        <v>1500</v>
      </c>
      <c r="F246" s="15"/>
    </row>
    <row r="247" spans="1:6">
      <c r="A247" s="5">
        <v>246</v>
      </c>
      <c r="B247" s="5" t="s">
        <v>265</v>
      </c>
      <c r="C247" s="15" t="s">
        <v>267</v>
      </c>
      <c r="D247" s="5">
        <f>COUNTIFS('Raw Entries'!B:B,ClasswiseUniqueStudents7[[#This Row],[Unique Student Name]],'Raw Entries'!C:C,ClasswiseUniqueStudents7[[#This Row],[Class]])</f>
        <v>1</v>
      </c>
      <c r="E247" s="15">
        <f>ClasswiseUniqueStudents7[[#This Row],[Total Count]]*500</f>
        <v>500</v>
      </c>
      <c r="F247" s="15"/>
    </row>
    <row r="248" spans="1:6">
      <c r="A248" s="5">
        <v>247</v>
      </c>
      <c r="B248" s="5" t="s">
        <v>265</v>
      </c>
      <c r="C248" s="15" t="s">
        <v>268</v>
      </c>
      <c r="D248" s="5">
        <f>COUNTIFS('Raw Entries'!B:B,ClasswiseUniqueStudents7[[#This Row],[Unique Student Name]],'Raw Entries'!C:C,ClasswiseUniqueStudents7[[#This Row],[Class]])</f>
        <v>1</v>
      </c>
      <c r="E248" s="15">
        <f>ClasswiseUniqueStudents7[[#This Row],[Total Count]]*500</f>
        <v>500</v>
      </c>
      <c r="F248" s="15"/>
    </row>
    <row r="249" spans="1:6">
      <c r="A249" s="5">
        <v>248</v>
      </c>
      <c r="B249" s="5" t="s">
        <v>265</v>
      </c>
      <c r="C249" s="15" t="s">
        <v>269</v>
      </c>
      <c r="D249" s="5">
        <f>COUNTIFS('Raw Entries'!B:B,ClasswiseUniqueStudents7[[#This Row],[Unique Student Name]],'Raw Entries'!C:C,ClasswiseUniqueStudents7[[#This Row],[Class]])</f>
        <v>1</v>
      </c>
      <c r="E249" s="15">
        <f>ClasswiseUniqueStudents7[[#This Row],[Total Count]]*500</f>
        <v>500</v>
      </c>
      <c r="F249" s="15"/>
    </row>
    <row r="250" spans="1:6">
      <c r="A250" s="5">
        <v>249</v>
      </c>
      <c r="B250" s="5" t="s">
        <v>265</v>
      </c>
      <c r="C250" s="15" t="s">
        <v>270</v>
      </c>
      <c r="D250" s="5">
        <f>COUNTIFS('Raw Entries'!B:B,ClasswiseUniqueStudents7[[#This Row],[Unique Student Name]],'Raw Entries'!C:C,ClasswiseUniqueStudents7[[#This Row],[Class]])</f>
        <v>3</v>
      </c>
      <c r="E250" s="15">
        <f>ClasswiseUniqueStudents7[[#This Row],[Total Count]]*500</f>
        <v>1500</v>
      </c>
      <c r="F250" s="15"/>
    </row>
    <row r="251" spans="1:6">
      <c r="A251" s="5">
        <v>250</v>
      </c>
      <c r="B251" s="5" t="s">
        <v>265</v>
      </c>
      <c r="C251" s="15" t="s">
        <v>271</v>
      </c>
      <c r="D251" s="5">
        <f>COUNTIFS('Raw Entries'!B:B,ClasswiseUniqueStudents7[[#This Row],[Unique Student Name]],'Raw Entries'!C:C,ClasswiseUniqueStudents7[[#This Row],[Class]])</f>
        <v>2</v>
      </c>
      <c r="E251" s="15">
        <f>ClasswiseUniqueStudents7[[#This Row],[Total Count]]*500</f>
        <v>1000</v>
      </c>
      <c r="F251" s="15"/>
    </row>
    <row r="252" spans="1:6">
      <c r="A252" s="5">
        <v>251</v>
      </c>
      <c r="B252" s="5" t="s">
        <v>265</v>
      </c>
      <c r="C252" s="15" t="s">
        <v>272</v>
      </c>
      <c r="D252" s="5">
        <f>COUNTIFS('Raw Entries'!B:B,ClasswiseUniqueStudents7[[#This Row],[Unique Student Name]],'Raw Entries'!C:C,ClasswiseUniqueStudents7[[#This Row],[Class]])</f>
        <v>1</v>
      </c>
      <c r="E252" s="15">
        <f>ClasswiseUniqueStudents7[[#This Row],[Total Count]]*500</f>
        <v>500</v>
      </c>
      <c r="F252" s="15"/>
    </row>
    <row r="253" spans="1:6">
      <c r="A253" s="5">
        <v>252</v>
      </c>
      <c r="B253" s="5" t="s">
        <v>273</v>
      </c>
      <c r="C253" s="15" t="s">
        <v>274</v>
      </c>
      <c r="D253" s="5">
        <f>COUNTIFS('Raw Entries'!B:B,ClasswiseUniqueStudents7[[#This Row],[Unique Student Name]],'Raw Entries'!C:C,ClasswiseUniqueStudents7[[#This Row],[Class]])</f>
        <v>3</v>
      </c>
      <c r="E253" s="15">
        <f>ClasswiseUniqueStudents7[[#This Row],[Total Count]]*500</f>
        <v>1500</v>
      </c>
      <c r="F253" s="15"/>
    </row>
    <row r="254" spans="1:6">
      <c r="A254" s="5">
        <v>253</v>
      </c>
      <c r="B254" s="5" t="s">
        <v>273</v>
      </c>
      <c r="C254" s="15" t="s">
        <v>275</v>
      </c>
      <c r="D254" s="5">
        <f>COUNTIFS('Raw Entries'!B:B,ClasswiseUniqueStudents7[[#This Row],[Unique Student Name]],'Raw Entries'!C:C,ClasswiseUniqueStudents7[[#This Row],[Class]])</f>
        <v>1</v>
      </c>
      <c r="E254" s="15">
        <f>ClasswiseUniqueStudents7[[#This Row],[Total Count]]*500</f>
        <v>500</v>
      </c>
      <c r="F254" s="15"/>
    </row>
    <row r="255" spans="1:6">
      <c r="A255" s="5">
        <v>254</v>
      </c>
      <c r="B255" s="5" t="s">
        <v>273</v>
      </c>
      <c r="C255" s="15" t="s">
        <v>276</v>
      </c>
      <c r="D255" s="5">
        <f>COUNTIFS('Raw Entries'!B:B,ClasswiseUniqueStudents7[[#This Row],[Unique Student Name]],'Raw Entries'!C:C,ClasswiseUniqueStudents7[[#This Row],[Class]])</f>
        <v>3</v>
      </c>
      <c r="E255" s="15">
        <f>ClasswiseUniqueStudents7[[#This Row],[Total Count]]*500</f>
        <v>1500</v>
      </c>
      <c r="F255" s="15"/>
    </row>
    <row r="256" spans="1:6">
      <c r="A256" s="5">
        <v>255</v>
      </c>
      <c r="B256" s="5" t="s">
        <v>273</v>
      </c>
      <c r="C256" s="15" t="s">
        <v>277</v>
      </c>
      <c r="D256" s="5">
        <f>COUNTIFS('Raw Entries'!B:B,ClasswiseUniqueStudents7[[#This Row],[Unique Student Name]],'Raw Entries'!C:C,ClasswiseUniqueStudents7[[#This Row],[Class]])</f>
        <v>1</v>
      </c>
      <c r="E256" s="15">
        <f>ClasswiseUniqueStudents7[[#This Row],[Total Count]]*500</f>
        <v>500</v>
      </c>
      <c r="F256" s="15"/>
    </row>
    <row r="257" spans="1:6">
      <c r="A257" s="5">
        <v>256</v>
      </c>
      <c r="B257" s="5" t="s">
        <v>273</v>
      </c>
      <c r="C257" s="15" t="s">
        <v>278</v>
      </c>
      <c r="D257" s="5">
        <f>COUNTIFS('Raw Entries'!B:B,ClasswiseUniqueStudents7[[#This Row],[Unique Student Name]],'Raw Entries'!C:C,ClasswiseUniqueStudents7[[#This Row],[Class]])</f>
        <v>3</v>
      </c>
      <c r="E257" s="15">
        <f>ClasswiseUniqueStudents7[[#This Row],[Total Count]]*500</f>
        <v>1500</v>
      </c>
      <c r="F257" s="15"/>
    </row>
    <row r="258" spans="1:6">
      <c r="A258" s="5">
        <v>257</v>
      </c>
      <c r="B258" s="5" t="s">
        <v>273</v>
      </c>
      <c r="C258" s="15" t="s">
        <v>279</v>
      </c>
      <c r="D258" s="5">
        <f>COUNTIFS('Raw Entries'!B:B,ClasswiseUniqueStudents7[[#This Row],[Unique Student Name]],'Raw Entries'!C:C,ClasswiseUniqueStudents7[[#This Row],[Class]])</f>
        <v>1</v>
      </c>
      <c r="E258" s="15">
        <f>ClasswiseUniqueStudents7[[#This Row],[Total Count]]*500</f>
        <v>500</v>
      </c>
      <c r="F258" s="15"/>
    </row>
    <row r="259" spans="1:6">
      <c r="A259" s="5">
        <v>258</v>
      </c>
      <c r="B259" s="5" t="s">
        <v>273</v>
      </c>
      <c r="C259" s="15" t="s">
        <v>280</v>
      </c>
      <c r="D259" s="5">
        <f>COUNTIFS('Raw Entries'!B:B,ClasswiseUniqueStudents7[[#This Row],[Unique Student Name]],'Raw Entries'!C:C,ClasswiseUniqueStudents7[[#This Row],[Class]])</f>
        <v>1</v>
      </c>
      <c r="E259" s="15">
        <f>ClasswiseUniqueStudents7[[#This Row],[Total Count]]*500</f>
        <v>500</v>
      </c>
      <c r="F259" s="15"/>
    </row>
    <row r="260" spans="1:6">
      <c r="A260" s="5">
        <v>259</v>
      </c>
      <c r="B260" s="5" t="s">
        <v>273</v>
      </c>
      <c r="C260" s="15" t="s">
        <v>281</v>
      </c>
      <c r="D260" s="5">
        <f>COUNTIFS('Raw Entries'!B:B,ClasswiseUniqueStudents7[[#This Row],[Unique Student Name]],'Raw Entries'!C:C,ClasswiseUniqueStudents7[[#This Row],[Class]])</f>
        <v>1</v>
      </c>
      <c r="E260" s="15">
        <f>ClasswiseUniqueStudents7[[#This Row],[Total Count]]*500</f>
        <v>500</v>
      </c>
      <c r="F260" s="15"/>
    </row>
    <row r="261" spans="1:6">
      <c r="A261" s="5">
        <v>260</v>
      </c>
      <c r="B261" s="5" t="s">
        <v>273</v>
      </c>
      <c r="C261" s="15" t="s">
        <v>282</v>
      </c>
      <c r="D261" s="5">
        <f>COUNTIFS('Raw Entries'!B:B,ClasswiseUniqueStudents7[[#This Row],[Unique Student Name]],'Raw Entries'!C:C,ClasswiseUniqueStudents7[[#This Row],[Class]])</f>
        <v>3</v>
      </c>
      <c r="E261" s="15">
        <f>ClasswiseUniqueStudents7[[#This Row],[Total Count]]*500</f>
        <v>1500</v>
      </c>
      <c r="F261" s="15"/>
    </row>
    <row r="262" spans="1:6">
      <c r="A262" s="5">
        <v>261</v>
      </c>
      <c r="B262" s="5" t="s">
        <v>273</v>
      </c>
      <c r="C262" s="15" t="s">
        <v>283</v>
      </c>
      <c r="D262" s="5">
        <f>COUNTIFS('Raw Entries'!B:B,ClasswiseUniqueStudents7[[#This Row],[Unique Student Name]],'Raw Entries'!C:C,ClasswiseUniqueStudents7[[#This Row],[Class]])</f>
        <v>1</v>
      </c>
      <c r="E262" s="15">
        <f>ClasswiseUniqueStudents7[[#This Row],[Total Count]]*500</f>
        <v>500</v>
      </c>
      <c r="F262" s="15"/>
    </row>
    <row r="263" spans="1:6">
      <c r="A263" s="5">
        <v>262</v>
      </c>
      <c r="B263" s="5" t="s">
        <v>273</v>
      </c>
      <c r="C263" s="15" t="s">
        <v>284</v>
      </c>
      <c r="D263" s="5">
        <f>COUNTIFS('Raw Entries'!B:B,ClasswiseUniqueStudents7[[#This Row],[Unique Student Name]],'Raw Entries'!C:C,ClasswiseUniqueStudents7[[#This Row],[Class]])</f>
        <v>1</v>
      </c>
      <c r="E263" s="15">
        <f>ClasswiseUniqueStudents7[[#This Row],[Total Count]]*500</f>
        <v>500</v>
      </c>
      <c r="F263" s="15"/>
    </row>
    <row r="264" spans="1:6">
      <c r="A264" s="5">
        <v>263</v>
      </c>
      <c r="B264" s="5" t="s">
        <v>273</v>
      </c>
      <c r="C264" s="15" t="s">
        <v>285</v>
      </c>
      <c r="D264" s="5">
        <f>COUNTIFS('Raw Entries'!B:B,ClasswiseUniqueStudents7[[#This Row],[Unique Student Name]],'Raw Entries'!C:C,ClasswiseUniqueStudents7[[#This Row],[Class]])</f>
        <v>3</v>
      </c>
      <c r="E264" s="15">
        <f>ClasswiseUniqueStudents7[[#This Row],[Total Count]]*500</f>
        <v>1500</v>
      </c>
      <c r="F264" s="15"/>
    </row>
    <row r="265" spans="1:6">
      <c r="A265" s="5">
        <v>264</v>
      </c>
      <c r="B265" s="5" t="s">
        <v>286</v>
      </c>
      <c r="C265" s="15" t="s">
        <v>287</v>
      </c>
      <c r="D265" s="5">
        <f>COUNTIFS('Raw Entries'!B:B,ClasswiseUniqueStudents7[[#This Row],[Unique Student Name]],'Raw Entries'!C:C,ClasswiseUniqueStudents7[[#This Row],[Class]])</f>
        <v>1</v>
      </c>
      <c r="E265" s="15">
        <f>ClasswiseUniqueStudents7[[#This Row],[Total Count]]*500</f>
        <v>500</v>
      </c>
      <c r="F265" s="15"/>
    </row>
    <row r="266" spans="1:6">
      <c r="A266" s="5">
        <v>265</v>
      </c>
      <c r="B266" s="5" t="s">
        <v>286</v>
      </c>
      <c r="C266" s="15" t="s">
        <v>3955</v>
      </c>
      <c r="D266" s="5">
        <f>COUNTIFS('Raw Entries'!B:B,ClasswiseUniqueStudents7[[#This Row],[Unique Student Name]],'Raw Entries'!C:C,ClasswiseUniqueStudents7[[#This Row],[Class]])</f>
        <v>1</v>
      </c>
      <c r="E266" s="15">
        <f>ClasswiseUniqueStudents7[[#This Row],[Total Count]]*500</f>
        <v>500</v>
      </c>
      <c r="F266" s="15"/>
    </row>
    <row r="267" spans="1:6">
      <c r="A267" s="5">
        <v>266</v>
      </c>
      <c r="B267" s="5" t="s">
        <v>286</v>
      </c>
      <c r="C267" s="15" t="s">
        <v>288</v>
      </c>
      <c r="D267" s="5">
        <f>COUNTIFS('Raw Entries'!B:B,ClasswiseUniqueStudents7[[#This Row],[Unique Student Name]],'Raw Entries'!C:C,ClasswiseUniqueStudents7[[#This Row],[Class]])</f>
        <v>3</v>
      </c>
      <c r="E267" s="15">
        <f>ClasswiseUniqueStudents7[[#This Row],[Total Count]]*500</f>
        <v>1500</v>
      </c>
      <c r="F267" s="15"/>
    </row>
    <row r="268" spans="1:6">
      <c r="A268" s="5">
        <v>267</v>
      </c>
      <c r="B268" s="5" t="s">
        <v>286</v>
      </c>
      <c r="C268" s="15" t="s">
        <v>289</v>
      </c>
      <c r="D268" s="5">
        <f>COUNTIFS('Raw Entries'!B:B,ClasswiseUniqueStudents7[[#This Row],[Unique Student Name]],'Raw Entries'!C:C,ClasswiseUniqueStudents7[[#This Row],[Class]])</f>
        <v>3</v>
      </c>
      <c r="E268" s="15">
        <f>ClasswiseUniqueStudents7[[#This Row],[Total Count]]*500</f>
        <v>1500</v>
      </c>
      <c r="F268" s="15"/>
    </row>
    <row r="269" spans="1:6">
      <c r="A269" s="5">
        <v>268</v>
      </c>
      <c r="B269" s="5" t="s">
        <v>286</v>
      </c>
      <c r="C269" s="15" t="s">
        <v>290</v>
      </c>
      <c r="D269" s="5">
        <f>COUNTIFS('Raw Entries'!B:B,ClasswiseUniqueStudents7[[#This Row],[Unique Student Name]],'Raw Entries'!C:C,ClasswiseUniqueStudents7[[#This Row],[Class]])</f>
        <v>1</v>
      </c>
      <c r="E269" s="15">
        <f>ClasswiseUniqueStudents7[[#This Row],[Total Count]]*500</f>
        <v>500</v>
      </c>
      <c r="F269" s="15"/>
    </row>
    <row r="270" spans="1:6">
      <c r="A270" s="5">
        <v>269</v>
      </c>
      <c r="B270" s="5" t="s">
        <v>286</v>
      </c>
      <c r="C270" s="15" t="s">
        <v>291</v>
      </c>
      <c r="D270" s="5">
        <f>COUNTIFS('Raw Entries'!B:B,ClasswiseUniqueStudents7[[#This Row],[Unique Student Name]],'Raw Entries'!C:C,ClasswiseUniqueStudents7[[#This Row],[Class]])</f>
        <v>3</v>
      </c>
      <c r="E270" s="15">
        <f>ClasswiseUniqueStudents7[[#This Row],[Total Count]]*500</f>
        <v>1500</v>
      </c>
      <c r="F270" s="15"/>
    </row>
    <row r="271" spans="1:6">
      <c r="A271" s="5">
        <v>270</v>
      </c>
      <c r="B271" s="5" t="s">
        <v>286</v>
      </c>
      <c r="C271" s="15" t="s">
        <v>292</v>
      </c>
      <c r="D271" s="5">
        <f>COUNTIFS('Raw Entries'!B:B,ClasswiseUniqueStudents7[[#This Row],[Unique Student Name]],'Raw Entries'!C:C,ClasswiseUniqueStudents7[[#This Row],[Class]])</f>
        <v>3</v>
      </c>
      <c r="E271" s="15">
        <f>ClasswiseUniqueStudents7[[#This Row],[Total Count]]*500</f>
        <v>1500</v>
      </c>
      <c r="F271" s="15"/>
    </row>
    <row r="272" spans="1:6">
      <c r="A272" s="5">
        <v>271</v>
      </c>
      <c r="B272" s="5" t="s">
        <v>286</v>
      </c>
      <c r="C272" s="15" t="s">
        <v>293</v>
      </c>
      <c r="D272" s="5">
        <f>COUNTIFS('Raw Entries'!B:B,ClasswiseUniqueStudents7[[#This Row],[Unique Student Name]],'Raw Entries'!C:C,ClasswiseUniqueStudents7[[#This Row],[Class]])</f>
        <v>3</v>
      </c>
      <c r="E272" s="15">
        <f>ClasswiseUniqueStudents7[[#This Row],[Total Count]]*500</f>
        <v>1500</v>
      </c>
      <c r="F272" s="15"/>
    </row>
    <row r="273" spans="1:6">
      <c r="A273" s="5">
        <v>272</v>
      </c>
      <c r="B273" s="5" t="s">
        <v>294</v>
      </c>
      <c r="C273" s="15" t="s">
        <v>295</v>
      </c>
      <c r="D273" s="5">
        <f>COUNTIFS('Raw Entries'!B:B,ClasswiseUniqueStudents7[[#This Row],[Unique Student Name]],'Raw Entries'!C:C,ClasswiseUniqueStudents7[[#This Row],[Class]])</f>
        <v>2</v>
      </c>
      <c r="E273" s="15">
        <f>ClasswiseUniqueStudents7[[#This Row],[Total Count]]*500</f>
        <v>1000</v>
      </c>
      <c r="F273" s="15"/>
    </row>
    <row r="274" spans="1:6">
      <c r="A274" s="5">
        <v>273</v>
      </c>
      <c r="B274" s="5" t="s">
        <v>294</v>
      </c>
      <c r="C274" s="15" t="s">
        <v>296</v>
      </c>
      <c r="D274" s="5">
        <f>COUNTIFS('Raw Entries'!B:B,ClasswiseUniqueStudents7[[#This Row],[Unique Student Name]],'Raw Entries'!C:C,ClasswiseUniqueStudents7[[#This Row],[Class]])</f>
        <v>3</v>
      </c>
      <c r="E274" s="15">
        <f>ClasswiseUniqueStudents7[[#This Row],[Total Count]]*500</f>
        <v>1500</v>
      </c>
      <c r="F274" s="15"/>
    </row>
    <row r="275" spans="1:6">
      <c r="A275" s="5">
        <v>274</v>
      </c>
      <c r="B275" s="5" t="s">
        <v>294</v>
      </c>
      <c r="C275" s="15" t="s">
        <v>297</v>
      </c>
      <c r="D275" s="5">
        <f>COUNTIFS('Raw Entries'!B:B,ClasswiseUniqueStudents7[[#This Row],[Unique Student Name]],'Raw Entries'!C:C,ClasswiseUniqueStudents7[[#This Row],[Class]])</f>
        <v>2</v>
      </c>
      <c r="E275" s="15">
        <f>ClasswiseUniqueStudents7[[#This Row],[Total Count]]*500</f>
        <v>1000</v>
      </c>
      <c r="F275" s="15"/>
    </row>
    <row r="276" spans="1:6">
      <c r="A276" s="5">
        <v>275</v>
      </c>
      <c r="B276" s="5" t="s">
        <v>299</v>
      </c>
      <c r="C276" s="15" t="s">
        <v>300</v>
      </c>
      <c r="D276" s="5">
        <f>COUNTIFS('Raw Entries'!B:B,ClasswiseUniqueStudents7[[#This Row],[Unique Student Name]],'Raw Entries'!C:C,ClasswiseUniqueStudents7[[#This Row],[Class]])</f>
        <v>3</v>
      </c>
      <c r="E276" s="15">
        <f>ClasswiseUniqueStudents7[[#This Row],[Total Count]]*500</f>
        <v>1500</v>
      </c>
      <c r="F276" s="15"/>
    </row>
    <row r="277" spans="1:6">
      <c r="A277" s="5">
        <v>276</v>
      </c>
      <c r="B277" s="5" t="s">
        <v>299</v>
      </c>
      <c r="C277" s="15" t="s">
        <v>301</v>
      </c>
      <c r="D277" s="5">
        <f>COUNTIFS('Raw Entries'!B:B,ClasswiseUniqueStudents7[[#This Row],[Unique Student Name]],'Raw Entries'!C:C,ClasswiseUniqueStudents7[[#This Row],[Class]])</f>
        <v>1</v>
      </c>
      <c r="E277" s="15">
        <f>ClasswiseUniqueStudents7[[#This Row],[Total Count]]*500</f>
        <v>500</v>
      </c>
      <c r="F277" s="15"/>
    </row>
    <row r="278" spans="1:6">
      <c r="A278" s="5">
        <v>277</v>
      </c>
      <c r="B278" s="5" t="s">
        <v>299</v>
      </c>
      <c r="C278" s="15" t="s">
        <v>302</v>
      </c>
      <c r="D278" s="5">
        <f>COUNTIFS('Raw Entries'!B:B,ClasswiseUniqueStudents7[[#This Row],[Unique Student Name]],'Raw Entries'!C:C,ClasswiseUniqueStudents7[[#This Row],[Class]])</f>
        <v>3</v>
      </c>
      <c r="E278" s="15">
        <f>ClasswiseUniqueStudents7[[#This Row],[Total Count]]*500</f>
        <v>1500</v>
      </c>
      <c r="F278" s="15"/>
    </row>
    <row r="279" spans="1:6">
      <c r="A279" s="5">
        <v>278</v>
      </c>
      <c r="B279" s="5" t="s">
        <v>303</v>
      </c>
      <c r="C279" s="15" t="s">
        <v>145</v>
      </c>
      <c r="D279" s="5">
        <f>COUNTIFS('Raw Entries'!B:B,ClasswiseUniqueStudents7[[#This Row],[Unique Student Name]],'Raw Entries'!C:C,ClasswiseUniqueStudents7[[#This Row],[Class]])</f>
        <v>3</v>
      </c>
      <c r="E279" s="15">
        <f>ClasswiseUniqueStudents7[[#This Row],[Total Count]]*500</f>
        <v>1500</v>
      </c>
      <c r="F279" s="15"/>
    </row>
    <row r="280" spans="1:6">
      <c r="A280" s="5">
        <v>279</v>
      </c>
      <c r="B280" s="5" t="s">
        <v>304</v>
      </c>
      <c r="C280" s="15" t="s">
        <v>3609</v>
      </c>
      <c r="D280" s="5">
        <f>COUNTIFS('Raw Entries'!B:B,ClasswiseUniqueStudents7[[#This Row],[Unique Student Name]],'Raw Entries'!C:C,ClasswiseUniqueStudents7[[#This Row],[Class]])</f>
        <v>3</v>
      </c>
      <c r="E280" s="15">
        <f>ClasswiseUniqueStudents7[[#This Row],[Total Count]]*500</f>
        <v>1500</v>
      </c>
      <c r="F280" s="15"/>
    </row>
    <row r="281" spans="1:6">
      <c r="A281" s="5">
        <v>280</v>
      </c>
      <c r="B281" s="5" t="s">
        <v>304</v>
      </c>
      <c r="C281" s="15" t="s">
        <v>3610</v>
      </c>
      <c r="D281" s="5">
        <f>COUNTIFS('Raw Entries'!B:B,ClasswiseUniqueStudents7[[#This Row],[Unique Student Name]],'Raw Entries'!C:C,ClasswiseUniqueStudents7[[#This Row],[Class]])</f>
        <v>3</v>
      </c>
      <c r="E281" s="15">
        <f>ClasswiseUniqueStudents7[[#This Row],[Total Count]]*500</f>
        <v>1500</v>
      </c>
      <c r="F281" s="15"/>
    </row>
    <row r="282" spans="1:6">
      <c r="A282" s="5">
        <v>281</v>
      </c>
      <c r="B282" s="5" t="s">
        <v>304</v>
      </c>
      <c r="C282" s="15" t="s">
        <v>305</v>
      </c>
      <c r="D282" s="5">
        <f>COUNTIFS('Raw Entries'!B:B,ClasswiseUniqueStudents7[[#This Row],[Unique Student Name]],'Raw Entries'!C:C,ClasswiseUniqueStudents7[[#This Row],[Class]])</f>
        <v>1</v>
      </c>
      <c r="E282" s="15">
        <f>ClasswiseUniqueStudents7[[#This Row],[Total Count]]*500</f>
        <v>500</v>
      </c>
      <c r="F282" s="15"/>
    </row>
    <row r="283" spans="1:6">
      <c r="A283" s="5">
        <v>282</v>
      </c>
      <c r="B283" s="5" t="s">
        <v>304</v>
      </c>
      <c r="C283" s="15" t="s">
        <v>306</v>
      </c>
      <c r="D283" s="5">
        <f>COUNTIFS('Raw Entries'!B:B,ClasswiseUniqueStudents7[[#This Row],[Unique Student Name]],'Raw Entries'!C:C,ClasswiseUniqueStudents7[[#This Row],[Class]])</f>
        <v>2</v>
      </c>
      <c r="E283" s="15">
        <f>ClasswiseUniqueStudents7[[#This Row],[Total Count]]*500</f>
        <v>1000</v>
      </c>
      <c r="F283" s="15"/>
    </row>
    <row r="284" spans="1:6">
      <c r="A284" s="5">
        <v>283</v>
      </c>
      <c r="B284" s="5" t="s">
        <v>304</v>
      </c>
      <c r="C284" s="15" t="s">
        <v>307</v>
      </c>
      <c r="D284" s="5">
        <f>COUNTIFS('Raw Entries'!B:B,ClasswiseUniqueStudents7[[#This Row],[Unique Student Name]],'Raw Entries'!C:C,ClasswiseUniqueStudents7[[#This Row],[Class]])</f>
        <v>1</v>
      </c>
      <c r="E284" s="15">
        <f>ClasswiseUniqueStudents7[[#This Row],[Total Count]]*500</f>
        <v>500</v>
      </c>
      <c r="F284" s="15"/>
    </row>
    <row r="285" spans="1:6">
      <c r="A285" s="5">
        <v>284</v>
      </c>
      <c r="B285" s="5" t="s">
        <v>304</v>
      </c>
      <c r="C285" s="15" t="s">
        <v>308</v>
      </c>
      <c r="D285" s="5">
        <f>COUNTIFS('Raw Entries'!B:B,ClasswiseUniqueStudents7[[#This Row],[Unique Student Name]],'Raw Entries'!C:C,ClasswiseUniqueStudents7[[#This Row],[Class]])</f>
        <v>3</v>
      </c>
      <c r="E285" s="15">
        <f>ClasswiseUniqueStudents7[[#This Row],[Total Count]]*500</f>
        <v>1500</v>
      </c>
      <c r="F285" s="15"/>
    </row>
    <row r="286" spans="1:6">
      <c r="A286" s="5">
        <v>285</v>
      </c>
      <c r="B286" s="5" t="s">
        <v>304</v>
      </c>
      <c r="C286" s="15" t="s">
        <v>309</v>
      </c>
      <c r="D286" s="5">
        <f>COUNTIFS('Raw Entries'!B:B,ClasswiseUniqueStudents7[[#This Row],[Unique Student Name]],'Raw Entries'!C:C,ClasswiseUniqueStudents7[[#This Row],[Class]])</f>
        <v>1</v>
      </c>
      <c r="E286" s="15">
        <f>ClasswiseUniqueStudents7[[#This Row],[Total Count]]*500</f>
        <v>500</v>
      </c>
      <c r="F286" s="15"/>
    </row>
    <row r="287" spans="1:6">
      <c r="A287" s="5">
        <v>286</v>
      </c>
      <c r="B287" s="5" t="s">
        <v>304</v>
      </c>
      <c r="C287" s="15" t="s">
        <v>310</v>
      </c>
      <c r="D287" s="5">
        <f>COUNTIFS('Raw Entries'!B:B,ClasswiseUniqueStudents7[[#This Row],[Unique Student Name]],'Raw Entries'!C:C,ClasswiseUniqueStudents7[[#This Row],[Class]])</f>
        <v>1</v>
      </c>
      <c r="E287" s="15">
        <f>ClasswiseUniqueStudents7[[#This Row],[Total Count]]*500</f>
        <v>500</v>
      </c>
      <c r="F287" s="15"/>
    </row>
    <row r="288" spans="1:6">
      <c r="A288" s="5">
        <v>287</v>
      </c>
      <c r="B288" s="5" t="s">
        <v>304</v>
      </c>
      <c r="C288" s="15" t="s">
        <v>311</v>
      </c>
      <c r="D288" s="5">
        <f>COUNTIFS('Raw Entries'!B:B,ClasswiseUniqueStudents7[[#This Row],[Unique Student Name]],'Raw Entries'!C:C,ClasswiseUniqueStudents7[[#This Row],[Class]])</f>
        <v>1</v>
      </c>
      <c r="E288" s="15">
        <f>ClasswiseUniqueStudents7[[#This Row],[Total Count]]*500</f>
        <v>500</v>
      </c>
      <c r="F288" s="15"/>
    </row>
    <row r="289" spans="1:6">
      <c r="A289" s="5">
        <v>288</v>
      </c>
      <c r="B289" s="5" t="s">
        <v>304</v>
      </c>
      <c r="C289" s="15" t="s">
        <v>3436</v>
      </c>
      <c r="D289" s="5">
        <f>COUNTIFS('Raw Entries'!B:B,ClasswiseUniqueStudents7[[#This Row],[Unique Student Name]],'Raw Entries'!C:C,ClasswiseUniqueStudents7[[#This Row],[Class]])</f>
        <v>1</v>
      </c>
      <c r="E289" s="15">
        <f>ClasswiseUniqueStudents7[[#This Row],[Total Count]]*500</f>
        <v>500</v>
      </c>
      <c r="F289" s="15"/>
    </row>
    <row r="290" spans="1:6">
      <c r="A290" s="5">
        <v>289</v>
      </c>
      <c r="B290" s="5" t="s">
        <v>304</v>
      </c>
      <c r="C290" s="15" t="s">
        <v>312</v>
      </c>
      <c r="D290" s="5">
        <f>COUNTIFS('Raw Entries'!B:B,ClasswiseUniqueStudents7[[#This Row],[Unique Student Name]],'Raw Entries'!C:C,ClasswiseUniqueStudents7[[#This Row],[Class]])</f>
        <v>1</v>
      </c>
      <c r="E290" s="15">
        <f>ClasswiseUniqueStudents7[[#This Row],[Total Count]]*500</f>
        <v>500</v>
      </c>
      <c r="F290" s="15"/>
    </row>
    <row r="291" spans="1:6">
      <c r="A291" s="5">
        <v>290</v>
      </c>
      <c r="B291" s="5" t="s">
        <v>304</v>
      </c>
      <c r="C291" s="15" t="s">
        <v>313</v>
      </c>
      <c r="D291" s="5">
        <f>COUNTIFS('Raw Entries'!B:B,ClasswiseUniqueStudents7[[#This Row],[Unique Student Name]],'Raw Entries'!C:C,ClasswiseUniqueStudents7[[#This Row],[Class]])</f>
        <v>2</v>
      </c>
      <c r="E291" s="15">
        <f>ClasswiseUniqueStudents7[[#This Row],[Total Count]]*500</f>
        <v>1000</v>
      </c>
      <c r="F291" s="15"/>
    </row>
    <row r="292" spans="1:6">
      <c r="A292" s="5">
        <v>291</v>
      </c>
      <c r="B292" s="5" t="s">
        <v>304</v>
      </c>
      <c r="C292" s="15" t="s">
        <v>314</v>
      </c>
      <c r="D292" s="5">
        <f>COUNTIFS('Raw Entries'!B:B,ClasswiseUniqueStudents7[[#This Row],[Unique Student Name]],'Raw Entries'!C:C,ClasswiseUniqueStudents7[[#This Row],[Class]])</f>
        <v>1</v>
      </c>
      <c r="E292" s="15">
        <f>ClasswiseUniqueStudents7[[#This Row],[Total Count]]*500</f>
        <v>500</v>
      </c>
      <c r="F292" s="15"/>
    </row>
    <row r="293" spans="1:6">
      <c r="A293" s="5">
        <v>292</v>
      </c>
      <c r="B293" s="5" t="s">
        <v>304</v>
      </c>
      <c r="C293" s="15" t="s">
        <v>315</v>
      </c>
      <c r="D293" s="5">
        <f>COUNTIFS('Raw Entries'!B:B,ClasswiseUniqueStudents7[[#This Row],[Unique Student Name]],'Raw Entries'!C:C,ClasswiseUniqueStudents7[[#This Row],[Class]])</f>
        <v>1</v>
      </c>
      <c r="E293" s="15">
        <f>ClasswiseUniqueStudents7[[#This Row],[Total Count]]*500</f>
        <v>500</v>
      </c>
      <c r="F293" s="15"/>
    </row>
    <row r="294" spans="1:6">
      <c r="A294" s="5">
        <v>293</v>
      </c>
      <c r="B294" s="5" t="s">
        <v>304</v>
      </c>
      <c r="C294" s="15" t="s">
        <v>316</v>
      </c>
      <c r="D294" s="5">
        <f>COUNTIFS('Raw Entries'!B:B,ClasswiseUniqueStudents7[[#This Row],[Unique Student Name]],'Raw Entries'!C:C,ClasswiseUniqueStudents7[[#This Row],[Class]])</f>
        <v>3</v>
      </c>
      <c r="E294" s="15">
        <f>ClasswiseUniqueStudents7[[#This Row],[Total Count]]*500</f>
        <v>1500</v>
      </c>
      <c r="F294" s="15"/>
    </row>
    <row r="295" spans="1:6">
      <c r="A295" s="5">
        <v>294</v>
      </c>
      <c r="B295" s="5" t="s">
        <v>304</v>
      </c>
      <c r="C295" s="15" t="s">
        <v>317</v>
      </c>
      <c r="D295" s="5">
        <f>COUNTIFS('Raw Entries'!B:B,ClasswiseUniqueStudents7[[#This Row],[Unique Student Name]],'Raw Entries'!C:C,ClasswiseUniqueStudents7[[#This Row],[Class]])</f>
        <v>1</v>
      </c>
      <c r="E295" s="15">
        <f>ClasswiseUniqueStudents7[[#This Row],[Total Count]]*500</f>
        <v>500</v>
      </c>
      <c r="F295" s="15"/>
    </row>
    <row r="296" spans="1:6">
      <c r="A296" s="5">
        <v>295</v>
      </c>
      <c r="B296" s="5" t="s">
        <v>304</v>
      </c>
      <c r="C296" s="15" t="s">
        <v>318</v>
      </c>
      <c r="D296" s="5">
        <f>COUNTIFS('Raw Entries'!B:B,ClasswiseUniqueStudents7[[#This Row],[Unique Student Name]],'Raw Entries'!C:C,ClasswiseUniqueStudents7[[#This Row],[Class]])</f>
        <v>1</v>
      </c>
      <c r="E296" s="15">
        <f>ClasswiseUniqueStudents7[[#This Row],[Total Count]]*500</f>
        <v>500</v>
      </c>
      <c r="F296" s="15"/>
    </row>
    <row r="297" spans="1:6">
      <c r="A297" s="5">
        <v>296</v>
      </c>
      <c r="B297" s="5" t="s">
        <v>304</v>
      </c>
      <c r="C297" s="15" t="s">
        <v>319</v>
      </c>
      <c r="D297" s="5">
        <f>COUNTIFS('Raw Entries'!B:B,ClasswiseUniqueStudents7[[#This Row],[Unique Student Name]],'Raw Entries'!C:C,ClasswiseUniqueStudents7[[#This Row],[Class]])</f>
        <v>3</v>
      </c>
      <c r="E297" s="15">
        <f>ClasswiseUniqueStudents7[[#This Row],[Total Count]]*500</f>
        <v>1500</v>
      </c>
      <c r="F297" s="15"/>
    </row>
    <row r="298" spans="1:6">
      <c r="A298" s="5">
        <v>297</v>
      </c>
      <c r="B298" s="5" t="s">
        <v>320</v>
      </c>
      <c r="C298" s="15" t="s">
        <v>321</v>
      </c>
      <c r="D298" s="5">
        <f>COUNTIFS('Raw Entries'!B:B,ClasswiseUniqueStudents7[[#This Row],[Unique Student Name]],'Raw Entries'!C:C,ClasswiseUniqueStudents7[[#This Row],[Class]])</f>
        <v>3</v>
      </c>
      <c r="E298" s="15">
        <f>ClasswiseUniqueStudents7[[#This Row],[Total Count]]*500</f>
        <v>1500</v>
      </c>
      <c r="F298" s="15"/>
    </row>
    <row r="299" spans="1:6">
      <c r="A299" s="5">
        <v>298</v>
      </c>
      <c r="B299" s="5" t="s">
        <v>320</v>
      </c>
      <c r="C299" s="15" t="s">
        <v>322</v>
      </c>
      <c r="D299" s="5">
        <f>COUNTIFS('Raw Entries'!B:B,ClasswiseUniqueStudents7[[#This Row],[Unique Student Name]],'Raw Entries'!C:C,ClasswiseUniqueStudents7[[#This Row],[Class]])</f>
        <v>1</v>
      </c>
      <c r="E299" s="15">
        <f>ClasswiseUniqueStudents7[[#This Row],[Total Count]]*500</f>
        <v>500</v>
      </c>
      <c r="F299" s="15"/>
    </row>
    <row r="300" spans="1:6">
      <c r="A300" s="5">
        <v>299</v>
      </c>
      <c r="B300" s="5" t="s">
        <v>320</v>
      </c>
      <c r="C300" s="15" t="s">
        <v>323</v>
      </c>
      <c r="D300" s="5">
        <f>COUNTIFS('Raw Entries'!B:B,ClasswiseUniqueStudents7[[#This Row],[Unique Student Name]],'Raw Entries'!C:C,ClasswiseUniqueStudents7[[#This Row],[Class]])</f>
        <v>1</v>
      </c>
      <c r="E300" s="15">
        <f>ClasswiseUniqueStudents7[[#This Row],[Total Count]]*500</f>
        <v>500</v>
      </c>
      <c r="F300" s="15"/>
    </row>
    <row r="301" spans="1:6">
      <c r="A301" s="5">
        <v>300</v>
      </c>
      <c r="B301" s="5" t="s">
        <v>324</v>
      </c>
      <c r="C301" s="15" t="s">
        <v>325</v>
      </c>
      <c r="D301" s="5">
        <f>COUNTIFS('Raw Entries'!B:B,ClasswiseUniqueStudents7[[#This Row],[Unique Student Name]],'Raw Entries'!C:C,ClasswiseUniqueStudents7[[#This Row],[Class]])</f>
        <v>1</v>
      </c>
      <c r="E301" s="15">
        <f>ClasswiseUniqueStudents7[[#This Row],[Total Count]]*500</f>
        <v>500</v>
      </c>
      <c r="F301" s="15"/>
    </row>
    <row r="302" spans="1:6">
      <c r="A302" s="5">
        <v>301</v>
      </c>
      <c r="B302" s="5" t="s">
        <v>324</v>
      </c>
      <c r="C302" s="15" t="s">
        <v>326</v>
      </c>
      <c r="D302" s="5">
        <f>COUNTIFS('Raw Entries'!B:B,ClasswiseUniqueStudents7[[#This Row],[Unique Student Name]],'Raw Entries'!C:C,ClasswiseUniqueStudents7[[#This Row],[Class]])</f>
        <v>3</v>
      </c>
      <c r="E302" s="15">
        <f>ClasswiseUniqueStudents7[[#This Row],[Total Count]]*500</f>
        <v>1500</v>
      </c>
      <c r="F302" s="15"/>
    </row>
    <row r="303" spans="1:6">
      <c r="A303" s="5">
        <v>302</v>
      </c>
      <c r="B303" s="5" t="s">
        <v>324</v>
      </c>
      <c r="C303" s="15" t="s">
        <v>327</v>
      </c>
      <c r="D303" s="5">
        <f>COUNTIFS('Raw Entries'!B:B,ClasswiseUniqueStudents7[[#This Row],[Unique Student Name]],'Raw Entries'!C:C,ClasswiseUniqueStudents7[[#This Row],[Class]])</f>
        <v>1</v>
      </c>
      <c r="E303" s="15">
        <f>ClasswiseUniqueStudents7[[#This Row],[Total Count]]*500</f>
        <v>500</v>
      </c>
      <c r="F303" s="15"/>
    </row>
    <row r="304" spans="1:6">
      <c r="A304" s="5">
        <v>303</v>
      </c>
      <c r="B304" s="5" t="s">
        <v>324</v>
      </c>
      <c r="C304" s="15" t="s">
        <v>153</v>
      </c>
      <c r="D304" s="5">
        <f>COUNTIFS('Raw Entries'!B:B,ClasswiseUniqueStudents7[[#This Row],[Unique Student Name]],'Raw Entries'!C:C,ClasswiseUniqueStudents7[[#This Row],[Class]])</f>
        <v>1</v>
      </c>
      <c r="E304" s="15">
        <f>ClasswiseUniqueStudents7[[#This Row],[Total Count]]*500</f>
        <v>500</v>
      </c>
      <c r="F304" s="15"/>
    </row>
    <row r="305" spans="1:6">
      <c r="A305" s="5">
        <v>304</v>
      </c>
      <c r="B305" s="5" t="s">
        <v>324</v>
      </c>
      <c r="C305" s="15" t="s">
        <v>328</v>
      </c>
      <c r="D305" s="5">
        <f>COUNTIFS('Raw Entries'!B:B,ClasswiseUniqueStudents7[[#This Row],[Unique Student Name]],'Raw Entries'!C:C,ClasswiseUniqueStudents7[[#This Row],[Class]])</f>
        <v>1</v>
      </c>
      <c r="E305" s="15">
        <f>ClasswiseUniqueStudents7[[#This Row],[Total Count]]*500</f>
        <v>500</v>
      </c>
      <c r="F305" s="15"/>
    </row>
    <row r="306" spans="1:6">
      <c r="A306" s="5">
        <v>305</v>
      </c>
      <c r="B306" s="5" t="s">
        <v>324</v>
      </c>
      <c r="C306" s="15" t="s">
        <v>329</v>
      </c>
      <c r="D306" s="5">
        <f>COUNTIFS('Raw Entries'!B:B,ClasswiseUniqueStudents7[[#This Row],[Unique Student Name]],'Raw Entries'!C:C,ClasswiseUniqueStudents7[[#This Row],[Class]])</f>
        <v>3</v>
      </c>
      <c r="E306" s="15">
        <f>ClasswiseUniqueStudents7[[#This Row],[Total Count]]*500</f>
        <v>1500</v>
      </c>
      <c r="F306" s="15"/>
    </row>
    <row r="307" spans="1:6">
      <c r="A307" s="5">
        <v>306</v>
      </c>
      <c r="B307" s="5" t="s">
        <v>324</v>
      </c>
      <c r="C307" s="15" t="s">
        <v>330</v>
      </c>
      <c r="D307" s="5">
        <f>COUNTIFS('Raw Entries'!B:B,ClasswiseUniqueStudents7[[#This Row],[Unique Student Name]],'Raw Entries'!C:C,ClasswiseUniqueStudents7[[#This Row],[Class]])</f>
        <v>3</v>
      </c>
      <c r="E307" s="15">
        <f>ClasswiseUniqueStudents7[[#This Row],[Total Count]]*500</f>
        <v>1500</v>
      </c>
      <c r="F307" s="15"/>
    </row>
    <row r="308" spans="1:6">
      <c r="A308" s="5">
        <v>307</v>
      </c>
      <c r="B308" s="5" t="s">
        <v>324</v>
      </c>
      <c r="C308" s="15" t="s">
        <v>331</v>
      </c>
      <c r="D308" s="5">
        <f>COUNTIFS('Raw Entries'!B:B,ClasswiseUniqueStudents7[[#This Row],[Unique Student Name]],'Raw Entries'!C:C,ClasswiseUniqueStudents7[[#This Row],[Class]])</f>
        <v>3</v>
      </c>
      <c r="E308" s="15">
        <f>ClasswiseUniqueStudents7[[#This Row],[Total Count]]*500</f>
        <v>1500</v>
      </c>
      <c r="F308" s="15"/>
    </row>
    <row r="309" spans="1:6">
      <c r="A309" s="5">
        <v>308</v>
      </c>
      <c r="B309" s="5" t="s">
        <v>324</v>
      </c>
      <c r="C309" s="15" t="s">
        <v>332</v>
      </c>
      <c r="D309" s="5">
        <f>COUNTIFS('Raw Entries'!B:B,ClasswiseUniqueStudents7[[#This Row],[Unique Student Name]],'Raw Entries'!C:C,ClasswiseUniqueStudents7[[#This Row],[Class]])</f>
        <v>3</v>
      </c>
      <c r="E309" s="15">
        <f>ClasswiseUniqueStudents7[[#This Row],[Total Count]]*500</f>
        <v>1500</v>
      </c>
      <c r="F309" s="15"/>
    </row>
    <row r="310" spans="1:6">
      <c r="A310" s="5">
        <v>309</v>
      </c>
      <c r="B310" s="5" t="s">
        <v>324</v>
      </c>
      <c r="C310" s="15" t="s">
        <v>333</v>
      </c>
      <c r="D310" s="5">
        <f>COUNTIFS('Raw Entries'!B:B,ClasswiseUniqueStudents7[[#This Row],[Unique Student Name]],'Raw Entries'!C:C,ClasswiseUniqueStudents7[[#This Row],[Class]])</f>
        <v>1</v>
      </c>
      <c r="E310" s="15">
        <f>ClasswiseUniqueStudents7[[#This Row],[Total Count]]*500</f>
        <v>500</v>
      </c>
      <c r="F310" s="15"/>
    </row>
    <row r="311" spans="1:6">
      <c r="A311" s="5">
        <v>310</v>
      </c>
      <c r="B311" s="5" t="s">
        <v>334</v>
      </c>
      <c r="C311" s="15" t="s">
        <v>335</v>
      </c>
      <c r="D311" s="5">
        <f>COUNTIFS('Raw Entries'!B:B,ClasswiseUniqueStudents7[[#This Row],[Unique Student Name]],'Raw Entries'!C:C,ClasswiseUniqueStudents7[[#This Row],[Class]])</f>
        <v>1</v>
      </c>
      <c r="E311" s="15">
        <f>ClasswiseUniqueStudents7[[#This Row],[Total Count]]*500</f>
        <v>500</v>
      </c>
      <c r="F311" s="15"/>
    </row>
    <row r="312" spans="1:6">
      <c r="A312" s="5">
        <v>311</v>
      </c>
      <c r="B312" s="5" t="s">
        <v>334</v>
      </c>
      <c r="C312" s="15" t="s">
        <v>336</v>
      </c>
      <c r="D312" s="5">
        <f>COUNTIFS('Raw Entries'!B:B,ClasswiseUniqueStudents7[[#This Row],[Unique Student Name]],'Raw Entries'!C:C,ClasswiseUniqueStudents7[[#This Row],[Class]])</f>
        <v>2</v>
      </c>
      <c r="E312" s="15">
        <f>ClasswiseUniqueStudents7[[#This Row],[Total Count]]*500</f>
        <v>1000</v>
      </c>
      <c r="F312" s="15"/>
    </row>
    <row r="313" spans="1:6">
      <c r="A313" s="5">
        <v>312</v>
      </c>
      <c r="B313" s="5" t="s">
        <v>334</v>
      </c>
      <c r="C313" s="15" t="s">
        <v>337</v>
      </c>
      <c r="D313" s="5">
        <f>COUNTIFS('Raw Entries'!B:B,ClasswiseUniqueStudents7[[#This Row],[Unique Student Name]],'Raw Entries'!C:C,ClasswiseUniqueStudents7[[#This Row],[Class]])</f>
        <v>1</v>
      </c>
      <c r="E313" s="15">
        <f>ClasswiseUniqueStudents7[[#This Row],[Total Count]]*500</f>
        <v>500</v>
      </c>
      <c r="F313" s="15"/>
    </row>
    <row r="314" spans="1:6">
      <c r="A314" s="5">
        <v>313</v>
      </c>
      <c r="B314" s="5" t="s">
        <v>334</v>
      </c>
      <c r="C314" s="15" t="s">
        <v>338</v>
      </c>
      <c r="D314" s="5">
        <f>COUNTIFS('Raw Entries'!B:B,ClasswiseUniqueStudents7[[#This Row],[Unique Student Name]],'Raw Entries'!C:C,ClasswiseUniqueStudents7[[#This Row],[Class]])</f>
        <v>1</v>
      </c>
      <c r="E314" s="15">
        <f>ClasswiseUniqueStudents7[[#This Row],[Total Count]]*500</f>
        <v>500</v>
      </c>
      <c r="F314" s="15"/>
    </row>
    <row r="315" spans="1:6">
      <c r="A315" s="5">
        <v>314</v>
      </c>
      <c r="B315" s="5" t="s">
        <v>334</v>
      </c>
      <c r="C315" s="15" t="s">
        <v>339</v>
      </c>
      <c r="D315" s="5">
        <f>COUNTIFS('Raw Entries'!B:B,ClasswiseUniqueStudents7[[#This Row],[Unique Student Name]],'Raw Entries'!C:C,ClasswiseUniqueStudents7[[#This Row],[Class]])</f>
        <v>1</v>
      </c>
      <c r="E315" s="15">
        <f>ClasswiseUniqueStudents7[[#This Row],[Total Count]]*500</f>
        <v>500</v>
      </c>
      <c r="F315" s="15"/>
    </row>
    <row r="316" spans="1:6">
      <c r="A316" s="5">
        <v>315</v>
      </c>
      <c r="B316" s="5" t="s">
        <v>340</v>
      </c>
      <c r="C316" s="15" t="s">
        <v>341</v>
      </c>
      <c r="D316" s="5">
        <f>COUNTIFS('Raw Entries'!B:B,ClasswiseUniqueStudents7[[#This Row],[Unique Student Name]],'Raw Entries'!C:C,ClasswiseUniqueStudents7[[#This Row],[Class]])</f>
        <v>2</v>
      </c>
      <c r="E316" s="15">
        <f>ClasswiseUniqueStudents7[[#This Row],[Total Count]]*500</f>
        <v>1000</v>
      </c>
      <c r="F316" s="15"/>
    </row>
    <row r="317" spans="1:6">
      <c r="A317" s="5">
        <v>316</v>
      </c>
      <c r="B317" s="5" t="s">
        <v>340</v>
      </c>
      <c r="C317" s="15" t="s">
        <v>342</v>
      </c>
      <c r="D317" s="5">
        <f>COUNTIFS('Raw Entries'!B:B,ClasswiseUniqueStudents7[[#This Row],[Unique Student Name]],'Raw Entries'!C:C,ClasswiseUniqueStudents7[[#This Row],[Class]])</f>
        <v>3</v>
      </c>
      <c r="E317" s="15">
        <f>ClasswiseUniqueStudents7[[#This Row],[Total Count]]*500</f>
        <v>1500</v>
      </c>
      <c r="F317" s="15"/>
    </row>
    <row r="318" spans="1:6">
      <c r="A318" s="5">
        <v>317</v>
      </c>
      <c r="B318" s="5" t="s">
        <v>340</v>
      </c>
      <c r="C318" s="15" t="s">
        <v>343</v>
      </c>
      <c r="D318" s="5">
        <f>COUNTIFS('Raw Entries'!B:B,ClasswiseUniqueStudents7[[#This Row],[Unique Student Name]],'Raw Entries'!C:C,ClasswiseUniqueStudents7[[#This Row],[Class]])</f>
        <v>1</v>
      </c>
      <c r="E318" s="15">
        <f>ClasswiseUniqueStudents7[[#This Row],[Total Count]]*500</f>
        <v>500</v>
      </c>
      <c r="F318" s="15"/>
    </row>
    <row r="319" spans="1:6">
      <c r="A319" s="5">
        <v>318</v>
      </c>
      <c r="B319" s="5" t="s">
        <v>340</v>
      </c>
      <c r="C319" s="15" t="s">
        <v>344</v>
      </c>
      <c r="D319" s="5">
        <f>COUNTIFS('Raw Entries'!B:B,ClasswiseUniqueStudents7[[#This Row],[Unique Student Name]],'Raw Entries'!C:C,ClasswiseUniqueStudents7[[#This Row],[Class]])</f>
        <v>1</v>
      </c>
      <c r="E319" s="15">
        <f>ClasswiseUniqueStudents7[[#This Row],[Total Count]]*500</f>
        <v>500</v>
      </c>
      <c r="F319" s="15"/>
    </row>
    <row r="320" spans="1:6">
      <c r="A320" s="5">
        <v>319</v>
      </c>
      <c r="B320" s="5" t="s">
        <v>340</v>
      </c>
      <c r="C320" s="15" t="s">
        <v>345</v>
      </c>
      <c r="D320" s="5">
        <f>COUNTIFS('Raw Entries'!B:B,ClasswiseUniqueStudents7[[#This Row],[Unique Student Name]],'Raw Entries'!C:C,ClasswiseUniqueStudents7[[#This Row],[Class]])</f>
        <v>1</v>
      </c>
      <c r="E320" s="15">
        <f>ClasswiseUniqueStudents7[[#This Row],[Total Count]]*500</f>
        <v>500</v>
      </c>
      <c r="F320" s="15"/>
    </row>
    <row r="321" spans="1:6">
      <c r="A321" s="5">
        <v>320</v>
      </c>
      <c r="B321" s="5" t="s">
        <v>340</v>
      </c>
      <c r="C321" s="15" t="s">
        <v>346</v>
      </c>
      <c r="D321" s="5">
        <f>COUNTIFS('Raw Entries'!B:B,ClasswiseUniqueStudents7[[#This Row],[Unique Student Name]],'Raw Entries'!C:C,ClasswiseUniqueStudents7[[#This Row],[Class]])</f>
        <v>1</v>
      </c>
      <c r="E321" s="15">
        <f>ClasswiseUniqueStudents7[[#This Row],[Total Count]]*500</f>
        <v>500</v>
      </c>
      <c r="F321" s="15"/>
    </row>
    <row r="322" spans="1:6">
      <c r="A322" s="5">
        <v>321</v>
      </c>
      <c r="B322" s="5" t="s">
        <v>340</v>
      </c>
      <c r="C322" s="15" t="s">
        <v>347</v>
      </c>
      <c r="D322" s="5">
        <f>COUNTIFS('Raw Entries'!B:B,ClasswiseUniqueStudents7[[#This Row],[Unique Student Name]],'Raw Entries'!C:C,ClasswiseUniqueStudents7[[#This Row],[Class]])</f>
        <v>3</v>
      </c>
      <c r="E322" s="15">
        <f>ClasswiseUniqueStudents7[[#This Row],[Total Count]]*500</f>
        <v>1500</v>
      </c>
      <c r="F322" s="15"/>
    </row>
    <row r="323" spans="1:6">
      <c r="A323" s="5">
        <v>322</v>
      </c>
      <c r="B323" s="5" t="s">
        <v>340</v>
      </c>
      <c r="C323" s="15" t="s">
        <v>348</v>
      </c>
      <c r="D323" s="5">
        <f>COUNTIFS('Raw Entries'!B:B,ClasswiseUniqueStudents7[[#This Row],[Unique Student Name]],'Raw Entries'!C:C,ClasswiseUniqueStudents7[[#This Row],[Class]])</f>
        <v>3</v>
      </c>
      <c r="E323" s="15">
        <f>ClasswiseUniqueStudents7[[#This Row],[Total Count]]*500</f>
        <v>1500</v>
      </c>
      <c r="F323" s="15"/>
    </row>
    <row r="324" spans="1:6">
      <c r="A324" s="5">
        <v>323</v>
      </c>
      <c r="B324" s="5" t="s">
        <v>340</v>
      </c>
      <c r="C324" s="15" t="s">
        <v>349</v>
      </c>
      <c r="D324" s="5">
        <f>COUNTIFS('Raw Entries'!B:B,ClasswiseUniqueStudents7[[#This Row],[Unique Student Name]],'Raw Entries'!C:C,ClasswiseUniqueStudents7[[#This Row],[Class]])</f>
        <v>3</v>
      </c>
      <c r="E324" s="15">
        <f>ClasswiseUniqueStudents7[[#This Row],[Total Count]]*500</f>
        <v>1500</v>
      </c>
      <c r="F324" s="15"/>
    </row>
    <row r="325" spans="1:6">
      <c r="A325" s="5">
        <v>324</v>
      </c>
      <c r="B325" s="5" t="s">
        <v>340</v>
      </c>
      <c r="C325" s="15" t="s">
        <v>350</v>
      </c>
      <c r="D325" s="5">
        <f>COUNTIFS('Raw Entries'!B:B,ClasswiseUniqueStudents7[[#This Row],[Unique Student Name]],'Raw Entries'!C:C,ClasswiseUniqueStudents7[[#This Row],[Class]])</f>
        <v>1</v>
      </c>
      <c r="E325" s="15">
        <f>ClasswiseUniqueStudents7[[#This Row],[Total Count]]*500</f>
        <v>500</v>
      </c>
      <c r="F325" s="15"/>
    </row>
    <row r="326" spans="1:6">
      <c r="A326" s="5">
        <v>325</v>
      </c>
      <c r="B326" s="5" t="s">
        <v>351</v>
      </c>
      <c r="C326" s="15" t="s">
        <v>352</v>
      </c>
      <c r="D326" s="5">
        <f>COUNTIFS('Raw Entries'!B:B,ClasswiseUniqueStudents7[[#This Row],[Unique Student Name]],'Raw Entries'!C:C,ClasswiseUniqueStudents7[[#This Row],[Class]])</f>
        <v>1</v>
      </c>
      <c r="E326" s="15">
        <f>ClasswiseUniqueStudents7[[#This Row],[Total Count]]*500</f>
        <v>500</v>
      </c>
      <c r="F326" s="15"/>
    </row>
    <row r="327" spans="1:6">
      <c r="A327" s="5">
        <v>326</v>
      </c>
      <c r="B327" s="5" t="s">
        <v>351</v>
      </c>
      <c r="C327" s="15" t="s">
        <v>353</v>
      </c>
      <c r="D327" s="5">
        <f>COUNTIFS('Raw Entries'!B:B,ClasswiseUniqueStudents7[[#This Row],[Unique Student Name]],'Raw Entries'!C:C,ClasswiseUniqueStudents7[[#This Row],[Class]])</f>
        <v>1</v>
      </c>
      <c r="E327" s="15">
        <f>ClasswiseUniqueStudents7[[#This Row],[Total Count]]*500</f>
        <v>500</v>
      </c>
      <c r="F327" s="15"/>
    </row>
    <row r="328" spans="1:6">
      <c r="A328" s="5">
        <v>327</v>
      </c>
      <c r="B328" s="5" t="s">
        <v>351</v>
      </c>
      <c r="C328" s="15" t="s">
        <v>354</v>
      </c>
      <c r="D328" s="5">
        <f>COUNTIFS('Raw Entries'!B:B,ClasswiseUniqueStudents7[[#This Row],[Unique Student Name]],'Raw Entries'!C:C,ClasswiseUniqueStudents7[[#This Row],[Class]])</f>
        <v>1</v>
      </c>
      <c r="E328" s="15">
        <f>ClasswiseUniqueStudents7[[#This Row],[Total Count]]*500</f>
        <v>500</v>
      </c>
      <c r="F328" s="15"/>
    </row>
    <row r="329" spans="1:6">
      <c r="A329" s="5">
        <v>328</v>
      </c>
      <c r="B329" s="5" t="s">
        <v>351</v>
      </c>
      <c r="C329" s="15" t="s">
        <v>355</v>
      </c>
      <c r="D329" s="5">
        <f>COUNTIFS('Raw Entries'!B:B,ClasswiseUniqueStudents7[[#This Row],[Unique Student Name]],'Raw Entries'!C:C,ClasswiseUniqueStudents7[[#This Row],[Class]])</f>
        <v>3</v>
      </c>
      <c r="E329" s="15">
        <f>ClasswiseUniqueStudents7[[#This Row],[Total Count]]*500</f>
        <v>1500</v>
      </c>
      <c r="F329" s="15"/>
    </row>
    <row r="330" spans="1:6">
      <c r="A330" s="5">
        <v>329</v>
      </c>
      <c r="B330" s="5" t="s">
        <v>356</v>
      </c>
      <c r="C330" s="15" t="s">
        <v>357</v>
      </c>
      <c r="D330" s="5">
        <f>COUNTIFS('Raw Entries'!B:B,ClasswiseUniqueStudents7[[#This Row],[Unique Student Name]],'Raw Entries'!C:C,ClasswiseUniqueStudents7[[#This Row],[Class]])</f>
        <v>3</v>
      </c>
      <c r="E330" s="15">
        <f>ClasswiseUniqueStudents7[[#This Row],[Total Count]]*500</f>
        <v>1500</v>
      </c>
      <c r="F330" s="15"/>
    </row>
    <row r="331" spans="1:6">
      <c r="A331" s="5">
        <v>330</v>
      </c>
      <c r="B331" s="5" t="s">
        <v>356</v>
      </c>
      <c r="C331" s="15" t="s">
        <v>358</v>
      </c>
      <c r="D331" s="5">
        <f>COUNTIFS('Raw Entries'!B:B,ClasswiseUniqueStudents7[[#This Row],[Unique Student Name]],'Raw Entries'!C:C,ClasswiseUniqueStudents7[[#This Row],[Class]])</f>
        <v>1</v>
      </c>
      <c r="E331" s="15">
        <f>ClasswiseUniqueStudents7[[#This Row],[Total Count]]*500</f>
        <v>500</v>
      </c>
      <c r="F331" s="15"/>
    </row>
    <row r="332" spans="1:6">
      <c r="A332" s="5">
        <v>331</v>
      </c>
      <c r="B332" s="5" t="s">
        <v>356</v>
      </c>
      <c r="C332" s="15" t="s">
        <v>359</v>
      </c>
      <c r="D332" s="5">
        <f>COUNTIFS('Raw Entries'!B:B,ClasswiseUniqueStudents7[[#This Row],[Unique Student Name]],'Raw Entries'!C:C,ClasswiseUniqueStudents7[[#This Row],[Class]])</f>
        <v>2</v>
      </c>
      <c r="E332" s="15">
        <f>ClasswiseUniqueStudents7[[#This Row],[Total Count]]*500</f>
        <v>1000</v>
      </c>
      <c r="F332" s="15"/>
    </row>
    <row r="333" spans="1:6">
      <c r="A333" s="5">
        <v>332</v>
      </c>
      <c r="B333" s="5" t="s">
        <v>356</v>
      </c>
      <c r="C333" s="15" t="s">
        <v>360</v>
      </c>
      <c r="D333" s="5">
        <f>COUNTIFS('Raw Entries'!B:B,ClasswiseUniqueStudents7[[#This Row],[Unique Student Name]],'Raw Entries'!C:C,ClasswiseUniqueStudents7[[#This Row],[Class]])</f>
        <v>3</v>
      </c>
      <c r="E333" s="15">
        <f>ClasswiseUniqueStudents7[[#This Row],[Total Count]]*500</f>
        <v>1500</v>
      </c>
      <c r="F333" s="15"/>
    </row>
    <row r="334" spans="1:6">
      <c r="A334" s="5">
        <v>333</v>
      </c>
      <c r="B334" s="5" t="s">
        <v>356</v>
      </c>
      <c r="C334" s="15" t="s">
        <v>361</v>
      </c>
      <c r="D334" s="5">
        <f>COUNTIFS('Raw Entries'!B:B,ClasswiseUniqueStudents7[[#This Row],[Unique Student Name]],'Raw Entries'!C:C,ClasswiseUniqueStudents7[[#This Row],[Class]])</f>
        <v>1</v>
      </c>
      <c r="E334" s="15">
        <f>ClasswiseUniqueStudents7[[#This Row],[Total Count]]*500</f>
        <v>500</v>
      </c>
      <c r="F334" s="15"/>
    </row>
    <row r="335" spans="1:6">
      <c r="A335" s="5">
        <v>334</v>
      </c>
      <c r="B335" s="5" t="s">
        <v>356</v>
      </c>
      <c r="C335" s="15" t="s">
        <v>362</v>
      </c>
      <c r="D335" s="5">
        <f>COUNTIFS('Raw Entries'!B:B,ClasswiseUniqueStudents7[[#This Row],[Unique Student Name]],'Raw Entries'!C:C,ClasswiseUniqueStudents7[[#This Row],[Class]])</f>
        <v>2</v>
      </c>
      <c r="E335" s="15">
        <f>ClasswiseUniqueStudents7[[#This Row],[Total Count]]*500</f>
        <v>1000</v>
      </c>
      <c r="F335" s="15"/>
    </row>
    <row r="336" spans="1:6">
      <c r="A336" s="5">
        <v>335</v>
      </c>
      <c r="B336" s="5" t="s">
        <v>356</v>
      </c>
      <c r="C336" s="15" t="s">
        <v>363</v>
      </c>
      <c r="D336" s="5">
        <f>COUNTIFS('Raw Entries'!B:B,ClasswiseUniqueStudents7[[#This Row],[Unique Student Name]],'Raw Entries'!C:C,ClasswiseUniqueStudents7[[#This Row],[Class]])</f>
        <v>3</v>
      </c>
      <c r="E336" s="15">
        <f>ClasswiseUniqueStudents7[[#This Row],[Total Count]]*500</f>
        <v>1500</v>
      </c>
      <c r="F336" s="15"/>
    </row>
    <row r="337" spans="1:6">
      <c r="A337" s="5">
        <v>336</v>
      </c>
      <c r="B337" s="5" t="s">
        <v>356</v>
      </c>
      <c r="C337" s="15" t="s">
        <v>364</v>
      </c>
      <c r="D337" s="5">
        <f>COUNTIFS('Raw Entries'!B:B,ClasswiseUniqueStudents7[[#This Row],[Unique Student Name]],'Raw Entries'!C:C,ClasswiseUniqueStudents7[[#This Row],[Class]])</f>
        <v>3</v>
      </c>
      <c r="E337" s="15">
        <f>ClasswiseUniqueStudents7[[#This Row],[Total Count]]*500</f>
        <v>1500</v>
      </c>
      <c r="F337" s="15"/>
    </row>
    <row r="338" spans="1:6">
      <c r="A338" s="5">
        <v>337</v>
      </c>
      <c r="B338" s="5" t="s">
        <v>356</v>
      </c>
      <c r="C338" s="15" t="s">
        <v>365</v>
      </c>
      <c r="D338" s="5">
        <f>COUNTIFS('Raw Entries'!B:B,ClasswiseUniqueStudents7[[#This Row],[Unique Student Name]],'Raw Entries'!C:C,ClasswiseUniqueStudents7[[#This Row],[Class]])</f>
        <v>1</v>
      </c>
      <c r="E338" s="15">
        <f>ClasswiseUniqueStudents7[[#This Row],[Total Count]]*500</f>
        <v>500</v>
      </c>
      <c r="F338" s="15"/>
    </row>
    <row r="339" spans="1:6">
      <c r="A339" s="5">
        <v>338</v>
      </c>
      <c r="B339" s="5" t="s">
        <v>366</v>
      </c>
      <c r="C339" s="15" t="s">
        <v>367</v>
      </c>
      <c r="D339" s="5">
        <f>COUNTIFS('Raw Entries'!B:B,ClasswiseUniqueStudents7[[#This Row],[Unique Student Name]],'Raw Entries'!C:C,ClasswiseUniqueStudents7[[#This Row],[Class]])</f>
        <v>1</v>
      </c>
      <c r="E339" s="15">
        <f>ClasswiseUniqueStudents7[[#This Row],[Total Count]]*500</f>
        <v>500</v>
      </c>
      <c r="F339" s="15"/>
    </row>
    <row r="340" spans="1:6">
      <c r="A340" s="5">
        <v>339</v>
      </c>
      <c r="B340" s="5" t="s">
        <v>366</v>
      </c>
      <c r="C340" s="15" t="s">
        <v>368</v>
      </c>
      <c r="D340" s="5">
        <f>COUNTIFS('Raw Entries'!B:B,ClasswiseUniqueStudents7[[#This Row],[Unique Student Name]],'Raw Entries'!C:C,ClasswiseUniqueStudents7[[#This Row],[Class]])</f>
        <v>1</v>
      </c>
      <c r="E340" s="15">
        <f>ClasswiseUniqueStudents7[[#This Row],[Total Count]]*500</f>
        <v>500</v>
      </c>
      <c r="F340" s="15"/>
    </row>
    <row r="341" spans="1:6">
      <c r="A341" s="5">
        <v>340</v>
      </c>
      <c r="B341" s="5" t="s">
        <v>366</v>
      </c>
      <c r="C341" s="15" t="s">
        <v>369</v>
      </c>
      <c r="D341" s="5">
        <f>COUNTIFS('Raw Entries'!B:B,ClasswiseUniqueStudents7[[#This Row],[Unique Student Name]],'Raw Entries'!C:C,ClasswiseUniqueStudents7[[#This Row],[Class]])</f>
        <v>3</v>
      </c>
      <c r="E341" s="15">
        <f>ClasswiseUniqueStudents7[[#This Row],[Total Count]]*500</f>
        <v>1500</v>
      </c>
      <c r="F341" s="15"/>
    </row>
    <row r="342" spans="1:6">
      <c r="A342" s="5">
        <v>341</v>
      </c>
      <c r="B342" s="5" t="s">
        <v>366</v>
      </c>
      <c r="C342" s="15" t="s">
        <v>370</v>
      </c>
      <c r="D342" s="5">
        <f>COUNTIFS('Raw Entries'!B:B,ClasswiseUniqueStudents7[[#This Row],[Unique Student Name]],'Raw Entries'!C:C,ClasswiseUniqueStudents7[[#This Row],[Class]])</f>
        <v>3</v>
      </c>
      <c r="E342" s="15">
        <f>ClasswiseUniqueStudents7[[#This Row],[Total Count]]*500</f>
        <v>1500</v>
      </c>
      <c r="F342" s="15"/>
    </row>
    <row r="343" spans="1:6">
      <c r="A343" s="5">
        <v>342</v>
      </c>
      <c r="B343" s="5" t="s">
        <v>366</v>
      </c>
      <c r="C343" s="15" t="s">
        <v>371</v>
      </c>
      <c r="D343" s="5">
        <f>COUNTIFS('Raw Entries'!B:B,ClasswiseUniqueStudents7[[#This Row],[Unique Student Name]],'Raw Entries'!C:C,ClasswiseUniqueStudents7[[#This Row],[Class]])</f>
        <v>1</v>
      </c>
      <c r="E343" s="15">
        <f>ClasswiseUniqueStudents7[[#This Row],[Total Count]]*500</f>
        <v>500</v>
      </c>
      <c r="F343" s="15"/>
    </row>
    <row r="344" spans="1:6">
      <c r="A344" s="5">
        <v>343</v>
      </c>
      <c r="B344" s="5" t="s">
        <v>366</v>
      </c>
      <c r="C344" s="15" t="s">
        <v>372</v>
      </c>
      <c r="D344" s="5">
        <f>COUNTIFS('Raw Entries'!B:B,ClasswiseUniqueStudents7[[#This Row],[Unique Student Name]],'Raw Entries'!C:C,ClasswiseUniqueStudents7[[#This Row],[Class]])</f>
        <v>1</v>
      </c>
      <c r="E344" s="15">
        <f>ClasswiseUniqueStudents7[[#This Row],[Total Count]]*500</f>
        <v>500</v>
      </c>
      <c r="F344" s="15"/>
    </row>
    <row r="345" spans="1:6">
      <c r="A345" s="5">
        <v>344</v>
      </c>
      <c r="B345" s="5" t="s">
        <v>366</v>
      </c>
      <c r="C345" s="15" t="s">
        <v>373</v>
      </c>
      <c r="D345" s="5">
        <f>COUNTIFS('Raw Entries'!B:B,ClasswiseUniqueStudents7[[#This Row],[Unique Student Name]],'Raw Entries'!C:C,ClasswiseUniqueStudents7[[#This Row],[Class]])</f>
        <v>3</v>
      </c>
      <c r="E345" s="15">
        <f>ClasswiseUniqueStudents7[[#This Row],[Total Count]]*500</f>
        <v>1500</v>
      </c>
      <c r="F345" s="15"/>
    </row>
    <row r="346" spans="1:6">
      <c r="A346" s="5">
        <v>345</v>
      </c>
      <c r="B346" s="5" t="s">
        <v>374</v>
      </c>
      <c r="C346" s="15" t="s">
        <v>375</v>
      </c>
      <c r="D346" s="5">
        <f>COUNTIFS('Raw Entries'!B:B,ClasswiseUniqueStudents7[[#This Row],[Unique Student Name]],'Raw Entries'!C:C,ClasswiseUniqueStudents7[[#This Row],[Class]])</f>
        <v>3</v>
      </c>
      <c r="E346" s="15">
        <f>ClasswiseUniqueStudents7[[#This Row],[Total Count]]*500</f>
        <v>1500</v>
      </c>
      <c r="F346" s="15"/>
    </row>
    <row r="347" spans="1:6">
      <c r="A347" s="5">
        <v>346</v>
      </c>
      <c r="B347" s="5" t="s">
        <v>374</v>
      </c>
      <c r="C347" s="15" t="s">
        <v>376</v>
      </c>
      <c r="D347" s="5">
        <f>COUNTIFS('Raw Entries'!B:B,ClasswiseUniqueStudents7[[#This Row],[Unique Student Name]],'Raw Entries'!C:C,ClasswiseUniqueStudents7[[#This Row],[Class]])</f>
        <v>1</v>
      </c>
      <c r="E347" s="15">
        <f>ClasswiseUniqueStudents7[[#This Row],[Total Count]]*500</f>
        <v>500</v>
      </c>
      <c r="F347" s="15"/>
    </row>
    <row r="348" spans="1:6">
      <c r="A348" s="5">
        <v>347</v>
      </c>
      <c r="B348" s="5" t="s">
        <v>374</v>
      </c>
      <c r="C348" s="15" t="s">
        <v>377</v>
      </c>
      <c r="D348" s="5">
        <f>COUNTIFS('Raw Entries'!B:B,ClasswiseUniqueStudents7[[#This Row],[Unique Student Name]],'Raw Entries'!C:C,ClasswiseUniqueStudents7[[#This Row],[Class]])</f>
        <v>2</v>
      </c>
      <c r="E348" s="15">
        <f>ClasswiseUniqueStudents7[[#This Row],[Total Count]]*500</f>
        <v>1000</v>
      </c>
      <c r="F348" s="15"/>
    </row>
    <row r="349" spans="1:6">
      <c r="A349" s="5">
        <v>348</v>
      </c>
      <c r="B349" s="5" t="s">
        <v>374</v>
      </c>
      <c r="C349" s="15" t="s">
        <v>378</v>
      </c>
      <c r="D349" s="5">
        <f>COUNTIFS('Raw Entries'!B:B,ClasswiseUniqueStudents7[[#This Row],[Unique Student Name]],'Raw Entries'!C:C,ClasswiseUniqueStudents7[[#This Row],[Class]])</f>
        <v>1</v>
      </c>
      <c r="E349" s="15">
        <f>ClasswiseUniqueStudents7[[#This Row],[Total Count]]*500</f>
        <v>500</v>
      </c>
      <c r="F349" s="15"/>
    </row>
    <row r="350" spans="1:6">
      <c r="A350" s="5">
        <v>349</v>
      </c>
      <c r="B350" s="5" t="s">
        <v>374</v>
      </c>
      <c r="C350" s="15" t="s">
        <v>379</v>
      </c>
      <c r="D350" s="5">
        <f>COUNTIFS('Raw Entries'!B:B,ClasswiseUniqueStudents7[[#This Row],[Unique Student Name]],'Raw Entries'!C:C,ClasswiseUniqueStudents7[[#This Row],[Class]])</f>
        <v>1</v>
      </c>
      <c r="E350" s="15">
        <f>ClasswiseUniqueStudents7[[#This Row],[Total Count]]*500</f>
        <v>500</v>
      </c>
      <c r="F350" s="15"/>
    </row>
    <row r="351" spans="1:6">
      <c r="A351" s="5">
        <v>350</v>
      </c>
      <c r="B351" s="5" t="s">
        <v>374</v>
      </c>
      <c r="C351" s="15" t="s">
        <v>380</v>
      </c>
      <c r="D351" s="5">
        <f>COUNTIFS('Raw Entries'!B:B,ClasswiseUniqueStudents7[[#This Row],[Unique Student Name]],'Raw Entries'!C:C,ClasswiseUniqueStudents7[[#This Row],[Class]])</f>
        <v>3</v>
      </c>
      <c r="E351" s="15">
        <f>ClasswiseUniqueStudents7[[#This Row],[Total Count]]*500</f>
        <v>1500</v>
      </c>
      <c r="F351" s="15"/>
    </row>
    <row r="352" spans="1:6">
      <c r="A352" s="5">
        <v>351</v>
      </c>
      <c r="B352" s="5" t="s">
        <v>374</v>
      </c>
      <c r="C352" s="15" t="s">
        <v>381</v>
      </c>
      <c r="D352" s="5">
        <f>COUNTIFS('Raw Entries'!B:B,ClasswiseUniqueStudents7[[#This Row],[Unique Student Name]],'Raw Entries'!C:C,ClasswiseUniqueStudents7[[#This Row],[Class]])</f>
        <v>3</v>
      </c>
      <c r="E352" s="15">
        <f>ClasswiseUniqueStudents7[[#This Row],[Total Count]]*500</f>
        <v>1500</v>
      </c>
      <c r="F352" s="15"/>
    </row>
    <row r="353" spans="1:6">
      <c r="A353" s="5">
        <v>352</v>
      </c>
      <c r="B353" s="5" t="s">
        <v>374</v>
      </c>
      <c r="C353" s="15" t="s">
        <v>382</v>
      </c>
      <c r="D353" s="5">
        <f>COUNTIFS('Raw Entries'!B:B,ClasswiseUniqueStudents7[[#This Row],[Unique Student Name]],'Raw Entries'!C:C,ClasswiseUniqueStudents7[[#This Row],[Class]])</f>
        <v>1</v>
      </c>
      <c r="E353" s="15">
        <f>ClasswiseUniqueStudents7[[#This Row],[Total Count]]*500</f>
        <v>500</v>
      </c>
      <c r="F353" s="15"/>
    </row>
    <row r="354" spans="1:6">
      <c r="A354" s="5">
        <v>353</v>
      </c>
      <c r="B354" s="5" t="s">
        <v>374</v>
      </c>
      <c r="C354" s="15" t="s">
        <v>383</v>
      </c>
      <c r="D354" s="5">
        <f>COUNTIFS('Raw Entries'!B:B,ClasswiseUniqueStudents7[[#This Row],[Unique Student Name]],'Raw Entries'!C:C,ClasswiseUniqueStudents7[[#This Row],[Class]])</f>
        <v>2</v>
      </c>
      <c r="E354" s="15">
        <f>ClasswiseUniqueStudents7[[#This Row],[Total Count]]*500</f>
        <v>1000</v>
      </c>
      <c r="F354" s="15"/>
    </row>
    <row r="355" spans="1:6">
      <c r="A355" s="5">
        <v>354</v>
      </c>
      <c r="B355" s="5" t="s">
        <v>374</v>
      </c>
      <c r="C355" s="15" t="s">
        <v>384</v>
      </c>
      <c r="D355" s="5">
        <f>COUNTIFS('Raw Entries'!B:B,ClasswiseUniqueStudents7[[#This Row],[Unique Student Name]],'Raw Entries'!C:C,ClasswiseUniqueStudents7[[#This Row],[Class]])</f>
        <v>2</v>
      </c>
      <c r="E355" s="15">
        <f>ClasswiseUniqueStudents7[[#This Row],[Total Count]]*500</f>
        <v>1000</v>
      </c>
      <c r="F355" s="15"/>
    </row>
    <row r="356" spans="1:6">
      <c r="A356" s="5">
        <v>355</v>
      </c>
      <c r="B356" s="5" t="s">
        <v>374</v>
      </c>
      <c r="C356" s="15" t="s">
        <v>385</v>
      </c>
      <c r="D356" s="5">
        <f>COUNTIFS('Raw Entries'!B:B,ClasswiseUniqueStudents7[[#This Row],[Unique Student Name]],'Raw Entries'!C:C,ClasswiseUniqueStudents7[[#This Row],[Class]])</f>
        <v>1</v>
      </c>
      <c r="E356" s="15">
        <f>ClasswiseUniqueStudents7[[#This Row],[Total Count]]*500</f>
        <v>500</v>
      </c>
      <c r="F356" s="15"/>
    </row>
    <row r="357" spans="1:6">
      <c r="A357" s="5">
        <v>356</v>
      </c>
      <c r="B357" s="5" t="s">
        <v>386</v>
      </c>
      <c r="C357" s="15" t="s">
        <v>387</v>
      </c>
      <c r="D357" s="5">
        <f>COUNTIFS('Raw Entries'!B:B,ClasswiseUniqueStudents7[[#This Row],[Unique Student Name]],'Raw Entries'!C:C,ClasswiseUniqueStudents7[[#This Row],[Class]])</f>
        <v>1</v>
      </c>
      <c r="E357" s="15">
        <f>ClasswiseUniqueStudents7[[#This Row],[Total Count]]*500</f>
        <v>500</v>
      </c>
      <c r="F357" s="15"/>
    </row>
    <row r="358" spans="1:6">
      <c r="A358" s="5">
        <v>357</v>
      </c>
      <c r="B358" s="5" t="s">
        <v>386</v>
      </c>
      <c r="C358" s="15" t="s">
        <v>388</v>
      </c>
      <c r="D358" s="5">
        <f>COUNTIFS('Raw Entries'!B:B,ClasswiseUniqueStudents7[[#This Row],[Unique Student Name]],'Raw Entries'!C:C,ClasswiseUniqueStudents7[[#This Row],[Class]])</f>
        <v>1</v>
      </c>
      <c r="E358" s="15">
        <f>ClasswiseUniqueStudents7[[#This Row],[Total Count]]*500</f>
        <v>500</v>
      </c>
      <c r="F358" s="15"/>
    </row>
    <row r="359" spans="1:6">
      <c r="A359" s="5">
        <v>358</v>
      </c>
      <c r="B359" s="5" t="s">
        <v>386</v>
      </c>
      <c r="C359" s="15" t="s">
        <v>389</v>
      </c>
      <c r="D359" s="5">
        <f>COUNTIFS('Raw Entries'!B:B,ClasswiseUniqueStudents7[[#This Row],[Unique Student Name]],'Raw Entries'!C:C,ClasswiseUniqueStudents7[[#This Row],[Class]])</f>
        <v>3</v>
      </c>
      <c r="E359" s="15">
        <f>ClasswiseUniqueStudents7[[#This Row],[Total Count]]*500</f>
        <v>1500</v>
      </c>
      <c r="F359" s="15"/>
    </row>
    <row r="360" spans="1:6">
      <c r="A360" s="5">
        <v>359</v>
      </c>
      <c r="B360" s="5" t="s">
        <v>386</v>
      </c>
      <c r="C360" s="15" t="s">
        <v>390</v>
      </c>
      <c r="D360" s="5">
        <f>COUNTIFS('Raw Entries'!B:B,ClasswiseUniqueStudents7[[#This Row],[Unique Student Name]],'Raw Entries'!C:C,ClasswiseUniqueStudents7[[#This Row],[Class]])</f>
        <v>1</v>
      </c>
      <c r="E360" s="15">
        <f>ClasswiseUniqueStudents7[[#This Row],[Total Count]]*500</f>
        <v>500</v>
      </c>
      <c r="F360" s="15"/>
    </row>
    <row r="361" spans="1:6">
      <c r="A361" s="5">
        <v>360</v>
      </c>
      <c r="B361" s="5" t="s">
        <v>386</v>
      </c>
      <c r="C361" s="15" t="s">
        <v>391</v>
      </c>
      <c r="D361" s="5">
        <f>COUNTIFS('Raw Entries'!B:B,ClasswiseUniqueStudents7[[#This Row],[Unique Student Name]],'Raw Entries'!C:C,ClasswiseUniqueStudents7[[#This Row],[Class]])</f>
        <v>3</v>
      </c>
      <c r="E361" s="15">
        <f>ClasswiseUniqueStudents7[[#This Row],[Total Count]]*500</f>
        <v>1500</v>
      </c>
      <c r="F361" s="15"/>
    </row>
    <row r="362" spans="1:6">
      <c r="A362" s="5">
        <v>361</v>
      </c>
      <c r="B362" s="5" t="s">
        <v>386</v>
      </c>
      <c r="C362" s="15" t="s">
        <v>392</v>
      </c>
      <c r="D362" s="5">
        <f>COUNTIFS('Raw Entries'!B:B,ClasswiseUniqueStudents7[[#This Row],[Unique Student Name]],'Raw Entries'!C:C,ClasswiseUniqueStudents7[[#This Row],[Class]])</f>
        <v>3</v>
      </c>
      <c r="E362" s="15">
        <f>ClasswiseUniqueStudents7[[#This Row],[Total Count]]*500</f>
        <v>1500</v>
      </c>
      <c r="F362" s="15"/>
    </row>
    <row r="363" spans="1:6">
      <c r="A363" s="5">
        <v>362</v>
      </c>
      <c r="B363" s="5" t="s">
        <v>386</v>
      </c>
      <c r="C363" s="15" t="s">
        <v>393</v>
      </c>
      <c r="D363" s="5">
        <f>COUNTIFS('Raw Entries'!B:B,ClasswiseUniqueStudents7[[#This Row],[Unique Student Name]],'Raw Entries'!C:C,ClasswiseUniqueStudents7[[#This Row],[Class]])</f>
        <v>1</v>
      </c>
      <c r="E363" s="15">
        <f>ClasswiseUniqueStudents7[[#This Row],[Total Count]]*500</f>
        <v>500</v>
      </c>
      <c r="F363" s="15"/>
    </row>
    <row r="364" spans="1:6">
      <c r="A364" s="5">
        <v>363</v>
      </c>
      <c r="B364" s="5" t="s">
        <v>386</v>
      </c>
      <c r="C364" s="15" t="s">
        <v>394</v>
      </c>
      <c r="D364" s="5">
        <f>COUNTIFS('Raw Entries'!B:B,ClasswiseUniqueStudents7[[#This Row],[Unique Student Name]],'Raw Entries'!C:C,ClasswiseUniqueStudents7[[#This Row],[Class]])</f>
        <v>2</v>
      </c>
      <c r="E364" s="15">
        <f>ClasswiseUniqueStudents7[[#This Row],[Total Count]]*500</f>
        <v>1000</v>
      </c>
      <c r="F364" s="15"/>
    </row>
    <row r="365" spans="1:6">
      <c r="A365" s="5">
        <v>364</v>
      </c>
      <c r="B365" s="5" t="s">
        <v>386</v>
      </c>
      <c r="C365" s="15" t="s">
        <v>395</v>
      </c>
      <c r="D365" s="5">
        <f>COUNTIFS('Raw Entries'!B:B,ClasswiseUniqueStudents7[[#This Row],[Unique Student Name]],'Raw Entries'!C:C,ClasswiseUniqueStudents7[[#This Row],[Class]])</f>
        <v>3</v>
      </c>
      <c r="E365" s="15">
        <f>ClasswiseUniqueStudents7[[#This Row],[Total Count]]*500</f>
        <v>1500</v>
      </c>
      <c r="F365" s="15"/>
    </row>
    <row r="366" spans="1:6">
      <c r="A366" s="5">
        <v>365</v>
      </c>
      <c r="B366" s="5" t="s">
        <v>386</v>
      </c>
      <c r="C366" s="15" t="s">
        <v>396</v>
      </c>
      <c r="D366" s="5">
        <f>COUNTIFS('Raw Entries'!B:B,ClasswiseUniqueStudents7[[#This Row],[Unique Student Name]],'Raw Entries'!C:C,ClasswiseUniqueStudents7[[#This Row],[Class]])</f>
        <v>3</v>
      </c>
      <c r="E366" s="15">
        <f>ClasswiseUniqueStudents7[[#This Row],[Total Count]]*500</f>
        <v>1500</v>
      </c>
      <c r="F366" s="15"/>
    </row>
    <row r="367" spans="1:6">
      <c r="A367" s="5">
        <v>366</v>
      </c>
      <c r="B367" s="5" t="s">
        <v>397</v>
      </c>
      <c r="C367" s="15" t="s">
        <v>398</v>
      </c>
      <c r="D367" s="5">
        <f>COUNTIFS('Raw Entries'!B:B,ClasswiseUniqueStudents7[[#This Row],[Unique Student Name]],'Raw Entries'!C:C,ClasswiseUniqueStudents7[[#This Row],[Class]])</f>
        <v>3</v>
      </c>
      <c r="E367" s="15">
        <f>ClasswiseUniqueStudents7[[#This Row],[Total Count]]*500</f>
        <v>1500</v>
      </c>
      <c r="F367" s="15"/>
    </row>
    <row r="368" spans="1:6">
      <c r="A368" s="5">
        <v>367</v>
      </c>
      <c r="B368" s="5" t="s">
        <v>397</v>
      </c>
      <c r="C368" s="15" t="s">
        <v>399</v>
      </c>
      <c r="D368" s="5">
        <f>COUNTIFS('Raw Entries'!B:B,ClasswiseUniqueStudents7[[#This Row],[Unique Student Name]],'Raw Entries'!C:C,ClasswiseUniqueStudents7[[#This Row],[Class]])</f>
        <v>3</v>
      </c>
      <c r="E368" s="15">
        <f>ClasswiseUniqueStudents7[[#This Row],[Total Count]]*500</f>
        <v>1500</v>
      </c>
      <c r="F368" s="15"/>
    </row>
    <row r="369" spans="1:6">
      <c r="A369" s="5">
        <v>368</v>
      </c>
      <c r="B369" s="5" t="s">
        <v>397</v>
      </c>
      <c r="C369" s="15" t="s">
        <v>400</v>
      </c>
      <c r="D369" s="5">
        <f>COUNTIFS('Raw Entries'!B:B,ClasswiseUniqueStudents7[[#This Row],[Unique Student Name]],'Raw Entries'!C:C,ClasswiseUniqueStudents7[[#This Row],[Class]])</f>
        <v>1</v>
      </c>
      <c r="E369" s="15">
        <f>ClasswiseUniqueStudents7[[#This Row],[Total Count]]*500</f>
        <v>500</v>
      </c>
      <c r="F369" s="15"/>
    </row>
    <row r="370" spans="1:6">
      <c r="A370" s="5">
        <v>369</v>
      </c>
      <c r="B370" s="5" t="s">
        <v>397</v>
      </c>
      <c r="C370" s="15" t="s">
        <v>401</v>
      </c>
      <c r="D370" s="5">
        <f>COUNTIFS('Raw Entries'!B:B,ClasswiseUniqueStudents7[[#This Row],[Unique Student Name]],'Raw Entries'!C:C,ClasswiseUniqueStudents7[[#This Row],[Class]])</f>
        <v>3</v>
      </c>
      <c r="E370" s="15">
        <f>ClasswiseUniqueStudents7[[#This Row],[Total Count]]*500</f>
        <v>1500</v>
      </c>
      <c r="F370" s="15"/>
    </row>
    <row r="371" spans="1:6">
      <c r="A371" s="5">
        <v>370</v>
      </c>
      <c r="B371" s="5" t="s">
        <v>397</v>
      </c>
      <c r="C371" s="15" t="s">
        <v>402</v>
      </c>
      <c r="D371" s="5">
        <f>COUNTIFS('Raw Entries'!B:B,ClasswiseUniqueStudents7[[#This Row],[Unique Student Name]],'Raw Entries'!C:C,ClasswiseUniqueStudents7[[#This Row],[Class]])</f>
        <v>1</v>
      </c>
      <c r="E371" s="15">
        <f>ClasswiseUniqueStudents7[[#This Row],[Total Count]]*500</f>
        <v>500</v>
      </c>
      <c r="F371" s="15"/>
    </row>
    <row r="372" spans="1:6">
      <c r="A372" s="5">
        <v>371</v>
      </c>
      <c r="B372" s="5" t="s">
        <v>397</v>
      </c>
      <c r="C372" s="15" t="s">
        <v>403</v>
      </c>
      <c r="D372" s="5">
        <f>COUNTIFS('Raw Entries'!B:B,ClasswiseUniqueStudents7[[#This Row],[Unique Student Name]],'Raw Entries'!C:C,ClasswiseUniqueStudents7[[#This Row],[Class]])</f>
        <v>2</v>
      </c>
      <c r="E372" s="15">
        <f>ClasswiseUniqueStudents7[[#This Row],[Total Count]]*500</f>
        <v>1000</v>
      </c>
      <c r="F372" s="15"/>
    </row>
    <row r="373" spans="1:6">
      <c r="A373" s="5">
        <v>372</v>
      </c>
      <c r="B373" s="5" t="s">
        <v>397</v>
      </c>
      <c r="C373" s="15" t="s">
        <v>404</v>
      </c>
      <c r="D373" s="5">
        <f>COUNTIFS('Raw Entries'!B:B,ClasswiseUniqueStudents7[[#This Row],[Unique Student Name]],'Raw Entries'!C:C,ClasswiseUniqueStudents7[[#This Row],[Class]])</f>
        <v>1</v>
      </c>
      <c r="E373" s="15">
        <f>ClasswiseUniqueStudents7[[#This Row],[Total Count]]*500</f>
        <v>500</v>
      </c>
      <c r="F373" s="15"/>
    </row>
    <row r="374" spans="1:6">
      <c r="A374" s="5">
        <v>373</v>
      </c>
      <c r="B374" s="5" t="s">
        <v>397</v>
      </c>
      <c r="C374" s="15" t="s">
        <v>405</v>
      </c>
      <c r="D374" s="5">
        <f>COUNTIFS('Raw Entries'!B:B,ClasswiseUniqueStudents7[[#This Row],[Unique Student Name]],'Raw Entries'!C:C,ClasswiseUniqueStudents7[[#This Row],[Class]])</f>
        <v>3</v>
      </c>
      <c r="E374" s="15">
        <f>ClasswiseUniqueStudents7[[#This Row],[Total Count]]*500</f>
        <v>1500</v>
      </c>
      <c r="F374" s="15"/>
    </row>
    <row r="375" spans="1:6">
      <c r="A375" s="5">
        <v>374</v>
      </c>
      <c r="B375" s="5" t="s">
        <v>397</v>
      </c>
      <c r="C375" s="15" t="s">
        <v>406</v>
      </c>
      <c r="D375" s="5">
        <f>COUNTIFS('Raw Entries'!B:B,ClasswiseUniqueStudents7[[#This Row],[Unique Student Name]],'Raw Entries'!C:C,ClasswiseUniqueStudents7[[#This Row],[Class]])</f>
        <v>1</v>
      </c>
      <c r="E375" s="15">
        <f>ClasswiseUniqueStudents7[[#This Row],[Total Count]]*500</f>
        <v>500</v>
      </c>
      <c r="F375" s="15"/>
    </row>
    <row r="376" spans="1:6">
      <c r="A376" s="5">
        <v>375</v>
      </c>
      <c r="B376" s="5" t="s">
        <v>397</v>
      </c>
      <c r="C376" s="15" t="s">
        <v>407</v>
      </c>
      <c r="D376" s="5">
        <f>COUNTIFS('Raw Entries'!B:B,ClasswiseUniqueStudents7[[#This Row],[Unique Student Name]],'Raw Entries'!C:C,ClasswiseUniqueStudents7[[#This Row],[Class]])</f>
        <v>2</v>
      </c>
      <c r="E376" s="15">
        <f>ClasswiseUniqueStudents7[[#This Row],[Total Count]]*500</f>
        <v>1000</v>
      </c>
      <c r="F376" s="15"/>
    </row>
    <row r="377" spans="1:6">
      <c r="A377" s="5">
        <v>376</v>
      </c>
      <c r="B377" s="5" t="s">
        <v>397</v>
      </c>
      <c r="C377" s="15" t="s">
        <v>408</v>
      </c>
      <c r="D377" s="5">
        <f>COUNTIFS('Raw Entries'!B:B,ClasswiseUniqueStudents7[[#This Row],[Unique Student Name]],'Raw Entries'!C:C,ClasswiseUniqueStudents7[[#This Row],[Class]])</f>
        <v>1</v>
      </c>
      <c r="E377" s="15">
        <f>ClasswiseUniqueStudents7[[#This Row],[Total Count]]*500</f>
        <v>500</v>
      </c>
      <c r="F377" s="15"/>
    </row>
    <row r="378" spans="1:6">
      <c r="A378" s="5">
        <v>377</v>
      </c>
      <c r="B378" s="5" t="s">
        <v>409</v>
      </c>
      <c r="C378" s="15" t="s">
        <v>410</v>
      </c>
      <c r="D378" s="5">
        <f>COUNTIFS('Raw Entries'!B:B,ClasswiseUniqueStudents7[[#This Row],[Unique Student Name]],'Raw Entries'!C:C,ClasswiseUniqueStudents7[[#This Row],[Class]])</f>
        <v>1</v>
      </c>
      <c r="E378" s="15">
        <f>ClasswiseUniqueStudents7[[#This Row],[Total Count]]*500</f>
        <v>500</v>
      </c>
      <c r="F378" s="15"/>
    </row>
    <row r="379" spans="1:6">
      <c r="A379" s="5">
        <v>378</v>
      </c>
      <c r="B379" s="5" t="s">
        <v>409</v>
      </c>
      <c r="C379" s="15" t="s">
        <v>411</v>
      </c>
      <c r="D379" s="5">
        <f>COUNTIFS('Raw Entries'!B:B,ClasswiseUniqueStudents7[[#This Row],[Unique Student Name]],'Raw Entries'!C:C,ClasswiseUniqueStudents7[[#This Row],[Class]])</f>
        <v>3</v>
      </c>
      <c r="E379" s="15">
        <f>ClasswiseUniqueStudents7[[#This Row],[Total Count]]*500</f>
        <v>1500</v>
      </c>
      <c r="F379" s="15"/>
    </row>
    <row r="380" spans="1:6">
      <c r="A380" s="5">
        <v>379</v>
      </c>
      <c r="B380" s="5" t="s">
        <v>409</v>
      </c>
      <c r="C380" s="15" t="s">
        <v>412</v>
      </c>
      <c r="D380" s="5">
        <f>COUNTIFS('Raw Entries'!B:B,ClasswiseUniqueStudents7[[#This Row],[Unique Student Name]],'Raw Entries'!C:C,ClasswiseUniqueStudents7[[#This Row],[Class]])</f>
        <v>2</v>
      </c>
      <c r="E380" s="15">
        <f>ClasswiseUniqueStudents7[[#This Row],[Total Count]]*500</f>
        <v>1000</v>
      </c>
      <c r="F380" s="15"/>
    </row>
    <row r="381" spans="1:6">
      <c r="A381" s="5">
        <v>380</v>
      </c>
      <c r="B381" s="5" t="s">
        <v>409</v>
      </c>
      <c r="C381" s="15" t="s">
        <v>413</v>
      </c>
      <c r="D381" s="5">
        <f>COUNTIFS('Raw Entries'!B:B,ClasswiseUniqueStudents7[[#This Row],[Unique Student Name]],'Raw Entries'!C:C,ClasswiseUniqueStudents7[[#This Row],[Class]])</f>
        <v>1</v>
      </c>
      <c r="E381" s="15">
        <f>ClasswiseUniqueStudents7[[#This Row],[Total Count]]*500</f>
        <v>500</v>
      </c>
      <c r="F381" s="15"/>
    </row>
    <row r="382" spans="1:6">
      <c r="A382" s="5">
        <v>381</v>
      </c>
      <c r="B382" s="5" t="s">
        <v>409</v>
      </c>
      <c r="C382" s="15" t="s">
        <v>414</v>
      </c>
      <c r="D382" s="5">
        <f>COUNTIFS('Raw Entries'!B:B,ClasswiseUniqueStudents7[[#This Row],[Unique Student Name]],'Raw Entries'!C:C,ClasswiseUniqueStudents7[[#This Row],[Class]])</f>
        <v>3</v>
      </c>
      <c r="E382" s="15">
        <f>ClasswiseUniqueStudents7[[#This Row],[Total Count]]*500</f>
        <v>1500</v>
      </c>
      <c r="F382" s="15"/>
    </row>
    <row r="383" spans="1:6">
      <c r="A383" s="5">
        <v>382</v>
      </c>
      <c r="B383" s="5" t="s">
        <v>415</v>
      </c>
      <c r="C383" s="15" t="s">
        <v>416</v>
      </c>
      <c r="D383" s="5">
        <f>COUNTIFS('Raw Entries'!B:B,ClasswiseUniqueStudents7[[#This Row],[Unique Student Name]],'Raw Entries'!C:C,ClasswiseUniqueStudents7[[#This Row],[Class]])</f>
        <v>1</v>
      </c>
      <c r="E383" s="15">
        <f>ClasswiseUniqueStudents7[[#This Row],[Total Count]]*500</f>
        <v>500</v>
      </c>
      <c r="F383" s="15"/>
    </row>
    <row r="384" spans="1:6">
      <c r="A384" s="5">
        <v>383</v>
      </c>
      <c r="B384" s="5" t="s">
        <v>415</v>
      </c>
      <c r="C384" s="15" t="s">
        <v>417</v>
      </c>
      <c r="D384" s="5">
        <f>COUNTIFS('Raw Entries'!B:B,ClasswiseUniqueStudents7[[#This Row],[Unique Student Name]],'Raw Entries'!C:C,ClasswiseUniqueStudents7[[#This Row],[Class]])</f>
        <v>2</v>
      </c>
      <c r="E384" s="15">
        <f>ClasswiseUniqueStudents7[[#This Row],[Total Count]]*500</f>
        <v>1000</v>
      </c>
      <c r="F384" s="15"/>
    </row>
    <row r="385" spans="1:6">
      <c r="A385" s="5">
        <v>384</v>
      </c>
      <c r="B385" s="5" t="s">
        <v>415</v>
      </c>
      <c r="C385" s="15" t="s">
        <v>418</v>
      </c>
      <c r="D385" s="5">
        <f>COUNTIFS('Raw Entries'!B:B,ClasswiseUniqueStudents7[[#This Row],[Unique Student Name]],'Raw Entries'!C:C,ClasswiseUniqueStudents7[[#This Row],[Class]])</f>
        <v>3</v>
      </c>
      <c r="E385" s="15">
        <f>ClasswiseUniqueStudents7[[#This Row],[Total Count]]*500</f>
        <v>1500</v>
      </c>
      <c r="F385" s="15"/>
    </row>
    <row r="386" spans="1:6">
      <c r="A386" s="5">
        <v>385</v>
      </c>
      <c r="B386" s="5" t="s">
        <v>415</v>
      </c>
      <c r="C386" s="15" t="s">
        <v>419</v>
      </c>
      <c r="D386" s="5">
        <f>COUNTIFS('Raw Entries'!B:B,ClasswiseUniqueStudents7[[#This Row],[Unique Student Name]],'Raw Entries'!C:C,ClasswiseUniqueStudents7[[#This Row],[Class]])</f>
        <v>1</v>
      </c>
      <c r="E386" s="15">
        <f>ClasswiseUniqueStudents7[[#This Row],[Total Count]]*500</f>
        <v>500</v>
      </c>
      <c r="F386" s="15"/>
    </row>
    <row r="387" spans="1:6">
      <c r="A387" s="5">
        <v>386</v>
      </c>
      <c r="B387" s="5" t="s">
        <v>415</v>
      </c>
      <c r="C387" s="15" t="s">
        <v>420</v>
      </c>
      <c r="D387" s="5">
        <f>COUNTIFS('Raw Entries'!B:B,ClasswiseUniqueStudents7[[#This Row],[Unique Student Name]],'Raw Entries'!C:C,ClasswiseUniqueStudents7[[#This Row],[Class]])</f>
        <v>1</v>
      </c>
      <c r="E387" s="15">
        <f>ClasswiseUniqueStudents7[[#This Row],[Total Count]]*500</f>
        <v>500</v>
      </c>
      <c r="F387" s="15"/>
    </row>
    <row r="388" spans="1:6">
      <c r="A388" s="5">
        <v>387</v>
      </c>
      <c r="B388" s="5" t="s">
        <v>421</v>
      </c>
      <c r="C388" s="15" t="s">
        <v>422</v>
      </c>
      <c r="D388" s="5">
        <f>COUNTIFS('Raw Entries'!B:B,ClasswiseUniqueStudents7[[#This Row],[Unique Student Name]],'Raw Entries'!C:C,ClasswiseUniqueStudents7[[#This Row],[Class]])</f>
        <v>1</v>
      </c>
      <c r="E388" s="15">
        <f>ClasswiseUniqueStudents7[[#This Row],[Total Count]]*500</f>
        <v>500</v>
      </c>
      <c r="F388" s="15"/>
    </row>
    <row r="389" spans="1:6">
      <c r="A389" s="5">
        <v>388</v>
      </c>
      <c r="B389" s="5" t="s">
        <v>421</v>
      </c>
      <c r="C389" s="15" t="s">
        <v>423</v>
      </c>
      <c r="D389" s="5">
        <f>COUNTIFS('Raw Entries'!B:B,ClasswiseUniqueStudents7[[#This Row],[Unique Student Name]],'Raw Entries'!C:C,ClasswiseUniqueStudents7[[#This Row],[Class]])</f>
        <v>1</v>
      </c>
      <c r="E389" s="15">
        <f>ClasswiseUniqueStudents7[[#This Row],[Total Count]]*500</f>
        <v>500</v>
      </c>
      <c r="F389" s="15"/>
    </row>
    <row r="390" spans="1:6">
      <c r="A390" s="5">
        <v>389</v>
      </c>
      <c r="B390" s="5" t="s">
        <v>421</v>
      </c>
      <c r="C390" s="15" t="s">
        <v>424</v>
      </c>
      <c r="D390" s="5">
        <f>COUNTIFS('Raw Entries'!B:B,ClasswiseUniqueStudents7[[#This Row],[Unique Student Name]],'Raw Entries'!C:C,ClasswiseUniqueStudents7[[#This Row],[Class]])</f>
        <v>2</v>
      </c>
      <c r="E390" s="15">
        <f>ClasswiseUniqueStudents7[[#This Row],[Total Count]]*500</f>
        <v>1000</v>
      </c>
      <c r="F390" s="15"/>
    </row>
    <row r="391" spans="1:6">
      <c r="A391" s="5">
        <v>390</v>
      </c>
      <c r="B391" s="5" t="s">
        <v>421</v>
      </c>
      <c r="C391" s="15" t="s">
        <v>425</v>
      </c>
      <c r="D391" s="5">
        <f>COUNTIFS('Raw Entries'!B:B,ClasswiseUniqueStudents7[[#This Row],[Unique Student Name]],'Raw Entries'!C:C,ClasswiseUniqueStudents7[[#This Row],[Class]])</f>
        <v>2</v>
      </c>
      <c r="E391" s="15">
        <f>ClasswiseUniqueStudents7[[#This Row],[Total Count]]*500</f>
        <v>1000</v>
      </c>
      <c r="F391" s="15"/>
    </row>
    <row r="392" spans="1:6">
      <c r="A392" s="5">
        <v>391</v>
      </c>
      <c r="B392" s="5" t="s">
        <v>421</v>
      </c>
      <c r="C392" s="15" t="s">
        <v>426</v>
      </c>
      <c r="D392" s="5">
        <f>COUNTIFS('Raw Entries'!B:B,ClasswiseUniqueStudents7[[#This Row],[Unique Student Name]],'Raw Entries'!C:C,ClasswiseUniqueStudents7[[#This Row],[Class]])</f>
        <v>1</v>
      </c>
      <c r="E392" s="15">
        <f>ClasswiseUniqueStudents7[[#This Row],[Total Count]]*500</f>
        <v>500</v>
      </c>
      <c r="F392" s="15"/>
    </row>
    <row r="393" spans="1:6">
      <c r="A393" s="5">
        <v>392</v>
      </c>
      <c r="B393" s="5" t="s">
        <v>421</v>
      </c>
      <c r="C393" s="15" t="s">
        <v>427</v>
      </c>
      <c r="D393" s="5">
        <f>COUNTIFS('Raw Entries'!B:B,ClasswiseUniqueStudents7[[#This Row],[Unique Student Name]],'Raw Entries'!C:C,ClasswiseUniqueStudents7[[#This Row],[Class]])</f>
        <v>1</v>
      </c>
      <c r="E393" s="15">
        <f>ClasswiseUniqueStudents7[[#This Row],[Total Count]]*500</f>
        <v>500</v>
      </c>
      <c r="F393" s="15"/>
    </row>
    <row r="394" spans="1:6">
      <c r="A394" s="5">
        <v>393</v>
      </c>
      <c r="B394" s="5" t="s">
        <v>421</v>
      </c>
      <c r="C394" s="15" t="s">
        <v>428</v>
      </c>
      <c r="D394" s="5">
        <f>COUNTIFS('Raw Entries'!B:B,ClasswiseUniqueStudents7[[#This Row],[Unique Student Name]],'Raw Entries'!C:C,ClasswiseUniqueStudents7[[#This Row],[Class]])</f>
        <v>2</v>
      </c>
      <c r="E394" s="15">
        <f>ClasswiseUniqueStudents7[[#This Row],[Total Count]]*500</f>
        <v>1000</v>
      </c>
      <c r="F394" s="15"/>
    </row>
    <row r="395" spans="1:6">
      <c r="A395" s="5">
        <v>394</v>
      </c>
      <c r="B395" s="5" t="s">
        <v>429</v>
      </c>
      <c r="C395" s="15" t="s">
        <v>430</v>
      </c>
      <c r="D395" s="5">
        <f>COUNTIFS('Raw Entries'!B:B,ClasswiseUniqueStudents7[[#This Row],[Unique Student Name]],'Raw Entries'!C:C,ClasswiseUniqueStudents7[[#This Row],[Class]])</f>
        <v>3</v>
      </c>
      <c r="E395" s="15">
        <f>ClasswiseUniqueStudents7[[#This Row],[Total Count]]*500</f>
        <v>1500</v>
      </c>
      <c r="F395" s="15"/>
    </row>
    <row r="396" spans="1:6">
      <c r="A396" s="5">
        <v>395</v>
      </c>
      <c r="B396" s="5" t="s">
        <v>429</v>
      </c>
      <c r="C396" s="15" t="s">
        <v>431</v>
      </c>
      <c r="D396" s="5">
        <f>COUNTIFS('Raw Entries'!B:B,ClasswiseUniqueStudents7[[#This Row],[Unique Student Name]],'Raw Entries'!C:C,ClasswiseUniqueStudents7[[#This Row],[Class]])</f>
        <v>3</v>
      </c>
      <c r="E396" s="15">
        <f>ClasswiseUniqueStudents7[[#This Row],[Total Count]]*500</f>
        <v>1500</v>
      </c>
      <c r="F396" s="15"/>
    </row>
    <row r="397" spans="1:6">
      <c r="A397" s="5">
        <v>396</v>
      </c>
      <c r="B397" s="5" t="s">
        <v>429</v>
      </c>
      <c r="C397" s="15" t="s">
        <v>432</v>
      </c>
      <c r="D397" s="5">
        <f>COUNTIFS('Raw Entries'!B:B,ClasswiseUniqueStudents7[[#This Row],[Unique Student Name]],'Raw Entries'!C:C,ClasswiseUniqueStudents7[[#This Row],[Class]])</f>
        <v>3</v>
      </c>
      <c r="E397" s="15">
        <f>ClasswiseUniqueStudents7[[#This Row],[Total Count]]*500</f>
        <v>1500</v>
      </c>
      <c r="F397" s="15"/>
    </row>
    <row r="398" spans="1:6">
      <c r="A398" s="5">
        <v>397</v>
      </c>
      <c r="B398" s="5" t="s">
        <v>429</v>
      </c>
      <c r="C398" s="15" t="s">
        <v>433</v>
      </c>
      <c r="D398" s="5">
        <f>COUNTIFS('Raw Entries'!B:B,ClasswiseUniqueStudents7[[#This Row],[Unique Student Name]],'Raw Entries'!C:C,ClasswiseUniqueStudents7[[#This Row],[Class]])</f>
        <v>3</v>
      </c>
      <c r="E398" s="15">
        <f>ClasswiseUniqueStudents7[[#This Row],[Total Count]]*500</f>
        <v>1500</v>
      </c>
      <c r="F398" s="15"/>
    </row>
    <row r="399" spans="1:6">
      <c r="A399" s="5">
        <v>398</v>
      </c>
      <c r="B399" s="5" t="s">
        <v>429</v>
      </c>
      <c r="C399" s="15" t="s">
        <v>434</v>
      </c>
      <c r="D399" s="5">
        <f>COUNTIFS('Raw Entries'!B:B,ClasswiseUniqueStudents7[[#This Row],[Unique Student Name]],'Raw Entries'!C:C,ClasswiseUniqueStudents7[[#This Row],[Class]])</f>
        <v>1</v>
      </c>
      <c r="E399" s="15">
        <f>ClasswiseUniqueStudents7[[#This Row],[Total Count]]*500</f>
        <v>500</v>
      </c>
      <c r="F399" s="15"/>
    </row>
    <row r="400" spans="1:6">
      <c r="A400" s="5">
        <v>399</v>
      </c>
      <c r="B400" s="5" t="s">
        <v>429</v>
      </c>
      <c r="C400" s="15" t="s">
        <v>435</v>
      </c>
      <c r="D400" s="5">
        <f>COUNTIFS('Raw Entries'!B:B,ClasswiseUniqueStudents7[[#This Row],[Unique Student Name]],'Raw Entries'!C:C,ClasswiseUniqueStudents7[[#This Row],[Class]])</f>
        <v>2</v>
      </c>
      <c r="E400" s="15">
        <f>ClasswiseUniqueStudents7[[#This Row],[Total Count]]*500</f>
        <v>1000</v>
      </c>
      <c r="F400" s="15"/>
    </row>
    <row r="401" spans="1:6">
      <c r="A401" s="5">
        <v>400</v>
      </c>
      <c r="B401" s="5" t="s">
        <v>436</v>
      </c>
      <c r="C401" s="15" t="s">
        <v>437</v>
      </c>
      <c r="D401" s="5">
        <f>COUNTIFS('Raw Entries'!B:B,ClasswiseUniqueStudents7[[#This Row],[Unique Student Name]],'Raw Entries'!C:C,ClasswiseUniqueStudents7[[#This Row],[Class]])</f>
        <v>1</v>
      </c>
      <c r="E401" s="15">
        <f>ClasswiseUniqueStudents7[[#This Row],[Total Count]]*500</f>
        <v>500</v>
      </c>
      <c r="F401" s="15"/>
    </row>
    <row r="402" spans="1:6">
      <c r="A402" s="5">
        <v>401</v>
      </c>
      <c r="B402" s="5" t="s">
        <v>436</v>
      </c>
      <c r="C402" s="15" t="s">
        <v>438</v>
      </c>
      <c r="D402" s="5">
        <f>COUNTIFS('Raw Entries'!B:B,ClasswiseUniqueStudents7[[#This Row],[Unique Student Name]],'Raw Entries'!C:C,ClasswiseUniqueStudents7[[#This Row],[Class]])</f>
        <v>1</v>
      </c>
      <c r="E402" s="15">
        <f>ClasswiseUniqueStudents7[[#This Row],[Total Count]]*500</f>
        <v>500</v>
      </c>
      <c r="F402" s="15"/>
    </row>
    <row r="403" spans="1:6">
      <c r="A403" s="5">
        <v>402</v>
      </c>
      <c r="B403" s="5" t="s">
        <v>436</v>
      </c>
      <c r="C403" s="15" t="s">
        <v>439</v>
      </c>
      <c r="D403" s="5">
        <f>COUNTIFS('Raw Entries'!B:B,ClasswiseUniqueStudents7[[#This Row],[Unique Student Name]],'Raw Entries'!C:C,ClasswiseUniqueStudents7[[#This Row],[Class]])</f>
        <v>3</v>
      </c>
      <c r="E403" s="15">
        <f>ClasswiseUniqueStudents7[[#This Row],[Total Count]]*500</f>
        <v>1500</v>
      </c>
      <c r="F403" s="15"/>
    </row>
    <row r="404" spans="1:6">
      <c r="A404" s="5">
        <v>403</v>
      </c>
      <c r="B404" s="5" t="s">
        <v>440</v>
      </c>
      <c r="C404" s="15" t="s">
        <v>441</v>
      </c>
      <c r="D404" s="5">
        <f>COUNTIFS('Raw Entries'!B:B,ClasswiseUniqueStudents7[[#This Row],[Unique Student Name]],'Raw Entries'!C:C,ClasswiseUniqueStudents7[[#This Row],[Class]])</f>
        <v>3</v>
      </c>
      <c r="E404" s="15">
        <f>ClasswiseUniqueStudents7[[#This Row],[Total Count]]*500</f>
        <v>1500</v>
      </c>
      <c r="F404" s="15"/>
    </row>
    <row r="405" spans="1:6">
      <c r="A405" s="5">
        <v>404</v>
      </c>
      <c r="B405" s="5" t="s">
        <v>440</v>
      </c>
      <c r="C405" s="15" t="s">
        <v>442</v>
      </c>
      <c r="D405" s="5">
        <f>COUNTIFS('Raw Entries'!B:B,ClasswiseUniqueStudents7[[#This Row],[Unique Student Name]],'Raw Entries'!C:C,ClasswiseUniqueStudents7[[#This Row],[Class]])</f>
        <v>1</v>
      </c>
      <c r="E405" s="15">
        <f>ClasswiseUniqueStudents7[[#This Row],[Total Count]]*500</f>
        <v>500</v>
      </c>
      <c r="F405" s="15"/>
    </row>
    <row r="406" spans="1:6">
      <c r="A406" s="5">
        <v>405</v>
      </c>
      <c r="B406" s="5" t="s">
        <v>440</v>
      </c>
      <c r="C406" s="15" t="s">
        <v>443</v>
      </c>
      <c r="D406" s="5">
        <f>COUNTIFS('Raw Entries'!B:B,ClasswiseUniqueStudents7[[#This Row],[Unique Student Name]],'Raw Entries'!C:C,ClasswiseUniqueStudents7[[#This Row],[Class]])</f>
        <v>1</v>
      </c>
      <c r="E406" s="15">
        <f>ClasswiseUniqueStudents7[[#This Row],[Total Count]]*500</f>
        <v>500</v>
      </c>
      <c r="F406" s="15"/>
    </row>
    <row r="407" spans="1:6">
      <c r="A407" s="5">
        <v>406</v>
      </c>
      <c r="B407" s="5" t="s">
        <v>440</v>
      </c>
      <c r="C407" s="15" t="s">
        <v>444</v>
      </c>
      <c r="D407" s="5">
        <f>COUNTIFS('Raw Entries'!B:B,ClasswiseUniqueStudents7[[#This Row],[Unique Student Name]],'Raw Entries'!C:C,ClasswiseUniqueStudents7[[#This Row],[Class]])</f>
        <v>3</v>
      </c>
      <c r="E407" s="15">
        <f>ClasswiseUniqueStudents7[[#This Row],[Total Count]]*500</f>
        <v>1500</v>
      </c>
      <c r="F407" s="15"/>
    </row>
    <row r="408" spans="1:6">
      <c r="A408" s="5">
        <v>407</v>
      </c>
      <c r="B408" s="5" t="s">
        <v>440</v>
      </c>
      <c r="C408" s="15" t="s">
        <v>445</v>
      </c>
      <c r="D408" s="5">
        <f>COUNTIFS('Raw Entries'!B:B,ClasswiseUniqueStudents7[[#This Row],[Unique Student Name]],'Raw Entries'!C:C,ClasswiseUniqueStudents7[[#This Row],[Class]])</f>
        <v>2</v>
      </c>
      <c r="E408" s="15">
        <f>ClasswiseUniqueStudents7[[#This Row],[Total Count]]*500</f>
        <v>1000</v>
      </c>
      <c r="F408" s="15"/>
    </row>
    <row r="409" spans="1:6">
      <c r="A409" s="5">
        <v>408</v>
      </c>
      <c r="B409" s="5" t="s">
        <v>440</v>
      </c>
      <c r="C409" s="15" t="s">
        <v>446</v>
      </c>
      <c r="D409" s="5">
        <f>COUNTIFS('Raw Entries'!B:B,ClasswiseUniqueStudents7[[#This Row],[Unique Student Name]],'Raw Entries'!C:C,ClasswiseUniqueStudents7[[#This Row],[Class]])</f>
        <v>1</v>
      </c>
      <c r="E409" s="15">
        <f>ClasswiseUniqueStudents7[[#This Row],[Total Count]]*500</f>
        <v>500</v>
      </c>
      <c r="F409" s="15"/>
    </row>
    <row r="410" spans="1:6">
      <c r="A410" s="5">
        <v>409</v>
      </c>
      <c r="B410" s="5" t="s">
        <v>447</v>
      </c>
      <c r="C410" s="15" t="s">
        <v>448</v>
      </c>
      <c r="D410" s="5">
        <f>COUNTIFS('Raw Entries'!B:B,ClasswiseUniqueStudents7[[#This Row],[Unique Student Name]],'Raw Entries'!C:C,ClasswiseUniqueStudents7[[#This Row],[Class]])</f>
        <v>2</v>
      </c>
      <c r="E410" s="15">
        <f>ClasswiseUniqueStudents7[[#This Row],[Total Count]]*500</f>
        <v>1000</v>
      </c>
      <c r="F410" s="15"/>
    </row>
    <row r="411" spans="1:6">
      <c r="A411" s="5">
        <v>410</v>
      </c>
      <c r="B411" s="5" t="s">
        <v>447</v>
      </c>
      <c r="C411" s="15" t="s">
        <v>449</v>
      </c>
      <c r="D411" s="5">
        <f>COUNTIFS('Raw Entries'!B:B,ClasswiseUniqueStudents7[[#This Row],[Unique Student Name]],'Raw Entries'!C:C,ClasswiseUniqueStudents7[[#This Row],[Class]])</f>
        <v>3</v>
      </c>
      <c r="E411" s="15">
        <f>ClasswiseUniqueStudents7[[#This Row],[Total Count]]*500</f>
        <v>1500</v>
      </c>
      <c r="F411" s="15"/>
    </row>
    <row r="412" spans="1:6">
      <c r="A412" s="5">
        <v>411</v>
      </c>
      <c r="B412" s="5" t="s">
        <v>447</v>
      </c>
      <c r="C412" s="15" t="s">
        <v>450</v>
      </c>
      <c r="D412" s="5">
        <f>COUNTIFS('Raw Entries'!B:B,ClasswiseUniqueStudents7[[#This Row],[Unique Student Name]],'Raw Entries'!C:C,ClasswiseUniqueStudents7[[#This Row],[Class]])</f>
        <v>3</v>
      </c>
      <c r="E412" s="15">
        <f>ClasswiseUniqueStudents7[[#This Row],[Total Count]]*500</f>
        <v>1500</v>
      </c>
      <c r="F412" s="15"/>
    </row>
    <row r="413" spans="1:6">
      <c r="A413" s="5">
        <v>412</v>
      </c>
      <c r="B413" s="5" t="s">
        <v>447</v>
      </c>
      <c r="C413" s="15" t="s">
        <v>451</v>
      </c>
      <c r="D413" s="5">
        <f>COUNTIFS('Raw Entries'!B:B,ClasswiseUniqueStudents7[[#This Row],[Unique Student Name]],'Raw Entries'!C:C,ClasswiseUniqueStudents7[[#This Row],[Class]])</f>
        <v>3</v>
      </c>
      <c r="E413" s="15">
        <f>ClasswiseUniqueStudents7[[#This Row],[Total Count]]*500</f>
        <v>1500</v>
      </c>
      <c r="F413" s="15"/>
    </row>
    <row r="414" spans="1:6">
      <c r="A414" s="5">
        <v>413</v>
      </c>
      <c r="B414" s="5" t="s">
        <v>447</v>
      </c>
      <c r="C414" s="15" t="s">
        <v>452</v>
      </c>
      <c r="D414" s="5">
        <f>COUNTIFS('Raw Entries'!B:B,ClasswiseUniqueStudents7[[#This Row],[Unique Student Name]],'Raw Entries'!C:C,ClasswiseUniqueStudents7[[#This Row],[Class]])</f>
        <v>1</v>
      </c>
      <c r="E414" s="15">
        <f>ClasswiseUniqueStudents7[[#This Row],[Total Count]]*500</f>
        <v>500</v>
      </c>
      <c r="F414" s="15"/>
    </row>
    <row r="415" spans="1:6">
      <c r="A415" s="5">
        <v>414</v>
      </c>
      <c r="B415" s="5" t="s">
        <v>453</v>
      </c>
      <c r="C415" s="15" t="s">
        <v>454</v>
      </c>
      <c r="D415" s="5">
        <f>COUNTIFS('Raw Entries'!B:B,ClasswiseUniqueStudents7[[#This Row],[Unique Student Name]],'Raw Entries'!C:C,ClasswiseUniqueStudents7[[#This Row],[Class]])</f>
        <v>1</v>
      </c>
      <c r="E415" s="15">
        <f>ClasswiseUniqueStudents7[[#This Row],[Total Count]]*500</f>
        <v>500</v>
      </c>
      <c r="F415" s="15"/>
    </row>
    <row r="416" spans="1:6">
      <c r="A416" s="5">
        <v>415</v>
      </c>
      <c r="B416" s="5" t="s">
        <v>453</v>
      </c>
      <c r="C416" s="15" t="s">
        <v>455</v>
      </c>
      <c r="D416" s="5">
        <f>COUNTIFS('Raw Entries'!B:B,ClasswiseUniqueStudents7[[#This Row],[Unique Student Name]],'Raw Entries'!C:C,ClasswiseUniqueStudents7[[#This Row],[Class]])</f>
        <v>3</v>
      </c>
      <c r="E416" s="15">
        <f>ClasswiseUniqueStudents7[[#This Row],[Total Count]]*500</f>
        <v>1500</v>
      </c>
      <c r="F416" s="15"/>
    </row>
    <row r="417" spans="1:6">
      <c r="A417" s="5">
        <v>416</v>
      </c>
      <c r="B417" s="5" t="s">
        <v>453</v>
      </c>
      <c r="C417" s="15" t="s">
        <v>456</v>
      </c>
      <c r="D417" s="5">
        <f>COUNTIFS('Raw Entries'!B:B,ClasswiseUniqueStudents7[[#This Row],[Unique Student Name]],'Raw Entries'!C:C,ClasswiseUniqueStudents7[[#This Row],[Class]])</f>
        <v>3</v>
      </c>
      <c r="E417" s="15">
        <f>ClasswiseUniqueStudents7[[#This Row],[Total Count]]*500</f>
        <v>1500</v>
      </c>
      <c r="F417" s="15"/>
    </row>
    <row r="418" spans="1:6">
      <c r="A418" s="5">
        <v>417</v>
      </c>
      <c r="B418" s="5" t="s">
        <v>453</v>
      </c>
      <c r="C418" s="15" t="s">
        <v>457</v>
      </c>
      <c r="D418" s="5">
        <f>COUNTIFS('Raw Entries'!B:B,ClasswiseUniqueStudents7[[#This Row],[Unique Student Name]],'Raw Entries'!C:C,ClasswiseUniqueStudents7[[#This Row],[Class]])</f>
        <v>1</v>
      </c>
      <c r="E418" s="15">
        <f>ClasswiseUniqueStudents7[[#This Row],[Total Count]]*500</f>
        <v>500</v>
      </c>
      <c r="F418" s="15"/>
    </row>
    <row r="419" spans="1:6">
      <c r="A419" s="5">
        <v>418</v>
      </c>
      <c r="B419" s="5" t="s">
        <v>453</v>
      </c>
      <c r="C419" s="15" t="s">
        <v>458</v>
      </c>
      <c r="D419" s="5">
        <f>COUNTIFS('Raw Entries'!B:B,ClasswiseUniqueStudents7[[#This Row],[Unique Student Name]],'Raw Entries'!C:C,ClasswiseUniqueStudents7[[#This Row],[Class]])</f>
        <v>3</v>
      </c>
      <c r="E419" s="15">
        <f>ClasswiseUniqueStudents7[[#This Row],[Total Count]]*500</f>
        <v>1500</v>
      </c>
      <c r="F419" s="15"/>
    </row>
    <row r="420" spans="1:6">
      <c r="A420" s="5">
        <v>419</v>
      </c>
      <c r="B420" s="5" t="s">
        <v>453</v>
      </c>
      <c r="C420" s="15" t="s">
        <v>459</v>
      </c>
      <c r="D420" s="5">
        <f>COUNTIFS('Raw Entries'!B:B,ClasswiseUniqueStudents7[[#This Row],[Unique Student Name]],'Raw Entries'!C:C,ClasswiseUniqueStudents7[[#This Row],[Class]])</f>
        <v>2</v>
      </c>
      <c r="E420" s="15">
        <f>ClasswiseUniqueStudents7[[#This Row],[Total Count]]*500</f>
        <v>1000</v>
      </c>
      <c r="F420" s="15"/>
    </row>
    <row r="421" spans="1:6">
      <c r="A421" s="5">
        <v>420</v>
      </c>
      <c r="B421" s="5" t="s">
        <v>453</v>
      </c>
      <c r="C421" s="15" t="s">
        <v>460</v>
      </c>
      <c r="D421" s="5">
        <f>COUNTIFS('Raw Entries'!B:B,ClasswiseUniqueStudents7[[#This Row],[Unique Student Name]],'Raw Entries'!C:C,ClasswiseUniqueStudents7[[#This Row],[Class]])</f>
        <v>3</v>
      </c>
      <c r="E421" s="15">
        <f>ClasswiseUniqueStudents7[[#This Row],[Total Count]]*500</f>
        <v>1500</v>
      </c>
      <c r="F421" s="15"/>
    </row>
    <row r="422" spans="1:6">
      <c r="A422" s="5">
        <v>421</v>
      </c>
      <c r="B422" s="5" t="s">
        <v>453</v>
      </c>
      <c r="C422" s="15" t="s">
        <v>461</v>
      </c>
      <c r="D422" s="5">
        <f>COUNTIFS('Raw Entries'!B:B,ClasswiseUniqueStudents7[[#This Row],[Unique Student Name]],'Raw Entries'!C:C,ClasswiseUniqueStudents7[[#This Row],[Class]])</f>
        <v>3</v>
      </c>
      <c r="E422" s="15">
        <f>ClasswiseUniqueStudents7[[#This Row],[Total Count]]*500</f>
        <v>1500</v>
      </c>
      <c r="F422" s="15"/>
    </row>
    <row r="423" spans="1:6">
      <c r="A423" s="5">
        <v>422</v>
      </c>
      <c r="B423" s="5" t="s">
        <v>453</v>
      </c>
      <c r="C423" s="15" t="s">
        <v>462</v>
      </c>
      <c r="D423" s="5">
        <f>COUNTIFS('Raw Entries'!B:B,ClasswiseUniqueStudents7[[#This Row],[Unique Student Name]],'Raw Entries'!C:C,ClasswiseUniqueStudents7[[#This Row],[Class]])</f>
        <v>3</v>
      </c>
      <c r="E423" s="15">
        <f>ClasswiseUniqueStudents7[[#This Row],[Total Count]]*500</f>
        <v>1500</v>
      </c>
      <c r="F423" s="15"/>
    </row>
    <row r="424" spans="1:6">
      <c r="A424" s="5">
        <v>423</v>
      </c>
      <c r="B424" s="5" t="s">
        <v>463</v>
      </c>
      <c r="C424" s="15" t="s">
        <v>464</v>
      </c>
      <c r="D424" s="5">
        <f>COUNTIFS('Raw Entries'!B:B,ClasswiseUniqueStudents7[[#This Row],[Unique Student Name]],'Raw Entries'!C:C,ClasswiseUniqueStudents7[[#This Row],[Class]])</f>
        <v>2</v>
      </c>
      <c r="E424" s="15">
        <f>ClasswiseUniqueStudents7[[#This Row],[Total Count]]*500</f>
        <v>1000</v>
      </c>
      <c r="F424" s="15"/>
    </row>
    <row r="425" spans="1:6">
      <c r="A425" s="5">
        <v>424</v>
      </c>
      <c r="B425" s="5" t="s">
        <v>463</v>
      </c>
      <c r="C425" s="15" t="s">
        <v>465</v>
      </c>
      <c r="D425" s="5">
        <f>COUNTIFS('Raw Entries'!B:B,ClasswiseUniqueStudents7[[#This Row],[Unique Student Name]],'Raw Entries'!C:C,ClasswiseUniqueStudents7[[#This Row],[Class]])</f>
        <v>2</v>
      </c>
      <c r="E425" s="15">
        <f>ClasswiseUniqueStudents7[[#This Row],[Total Count]]*500</f>
        <v>1000</v>
      </c>
      <c r="F425" s="15"/>
    </row>
    <row r="426" spans="1:6">
      <c r="A426" s="5">
        <v>425</v>
      </c>
      <c r="B426" s="5" t="s">
        <v>463</v>
      </c>
      <c r="C426" s="15" t="s">
        <v>466</v>
      </c>
      <c r="D426" s="5">
        <f>COUNTIFS('Raw Entries'!B:B,ClasswiseUniqueStudents7[[#This Row],[Unique Student Name]],'Raw Entries'!C:C,ClasswiseUniqueStudents7[[#This Row],[Class]])</f>
        <v>1</v>
      </c>
      <c r="E426" s="15">
        <f>ClasswiseUniqueStudents7[[#This Row],[Total Count]]*500</f>
        <v>500</v>
      </c>
      <c r="F426" s="15"/>
    </row>
    <row r="427" spans="1:6">
      <c r="A427" s="5">
        <v>426</v>
      </c>
      <c r="B427" s="5" t="s">
        <v>467</v>
      </c>
      <c r="C427" s="15" t="s">
        <v>468</v>
      </c>
      <c r="D427" s="5">
        <f>COUNTIFS('Raw Entries'!B:B,ClasswiseUniqueStudents7[[#This Row],[Unique Student Name]],'Raw Entries'!C:C,ClasswiseUniqueStudents7[[#This Row],[Class]])</f>
        <v>3</v>
      </c>
      <c r="E427" s="15">
        <f>ClasswiseUniqueStudents7[[#This Row],[Total Count]]*500</f>
        <v>1500</v>
      </c>
      <c r="F427" s="15"/>
    </row>
    <row r="428" spans="1:6">
      <c r="A428" s="5">
        <v>427</v>
      </c>
      <c r="B428" s="5" t="s">
        <v>467</v>
      </c>
      <c r="C428" s="15" t="s">
        <v>469</v>
      </c>
      <c r="D428" s="5">
        <f>COUNTIFS('Raw Entries'!B:B,ClasswiseUniqueStudents7[[#This Row],[Unique Student Name]],'Raw Entries'!C:C,ClasswiseUniqueStudents7[[#This Row],[Class]])</f>
        <v>1</v>
      </c>
      <c r="E428" s="15">
        <f>ClasswiseUniqueStudents7[[#This Row],[Total Count]]*500</f>
        <v>500</v>
      </c>
      <c r="F428" s="15"/>
    </row>
    <row r="429" spans="1:6">
      <c r="A429" s="5">
        <v>428</v>
      </c>
      <c r="B429" s="5" t="s">
        <v>467</v>
      </c>
      <c r="C429" s="15" t="s">
        <v>470</v>
      </c>
      <c r="D429" s="5">
        <f>COUNTIFS('Raw Entries'!B:B,ClasswiseUniqueStudents7[[#This Row],[Unique Student Name]],'Raw Entries'!C:C,ClasswiseUniqueStudents7[[#This Row],[Class]])</f>
        <v>1</v>
      </c>
      <c r="E429" s="15">
        <f>ClasswiseUniqueStudents7[[#This Row],[Total Count]]*500</f>
        <v>500</v>
      </c>
      <c r="F429" s="15"/>
    </row>
    <row r="430" spans="1:6">
      <c r="A430" s="5">
        <v>429</v>
      </c>
      <c r="B430" s="5" t="s">
        <v>467</v>
      </c>
      <c r="C430" s="15" t="s">
        <v>471</v>
      </c>
      <c r="D430" s="5">
        <f>COUNTIFS('Raw Entries'!B:B,ClasswiseUniqueStudents7[[#This Row],[Unique Student Name]],'Raw Entries'!C:C,ClasswiseUniqueStudents7[[#This Row],[Class]])</f>
        <v>2</v>
      </c>
      <c r="E430" s="15">
        <f>ClasswiseUniqueStudents7[[#This Row],[Total Count]]*500</f>
        <v>1000</v>
      </c>
      <c r="F430" s="15"/>
    </row>
    <row r="431" spans="1:6">
      <c r="A431" s="5">
        <v>430</v>
      </c>
      <c r="B431" s="5" t="s">
        <v>467</v>
      </c>
      <c r="C431" s="15" t="s">
        <v>472</v>
      </c>
      <c r="D431" s="5">
        <f>COUNTIFS('Raw Entries'!B:B,ClasswiseUniqueStudents7[[#This Row],[Unique Student Name]],'Raw Entries'!C:C,ClasswiseUniqueStudents7[[#This Row],[Class]])</f>
        <v>3</v>
      </c>
      <c r="E431" s="15">
        <f>ClasswiseUniqueStudents7[[#This Row],[Total Count]]*500</f>
        <v>1500</v>
      </c>
      <c r="F431" s="15"/>
    </row>
    <row r="432" spans="1:6">
      <c r="A432" s="5">
        <v>431</v>
      </c>
      <c r="B432" s="5" t="s">
        <v>467</v>
      </c>
      <c r="C432" s="15" t="s">
        <v>473</v>
      </c>
      <c r="D432" s="5">
        <f>COUNTIFS('Raw Entries'!B:B,ClasswiseUniqueStudents7[[#This Row],[Unique Student Name]],'Raw Entries'!C:C,ClasswiseUniqueStudents7[[#This Row],[Class]])</f>
        <v>3</v>
      </c>
      <c r="E432" s="15">
        <f>ClasswiseUniqueStudents7[[#This Row],[Total Count]]*500</f>
        <v>1500</v>
      </c>
      <c r="F432" s="15"/>
    </row>
    <row r="433" spans="1:6">
      <c r="A433" s="5">
        <v>432</v>
      </c>
      <c r="B433" s="5" t="s">
        <v>467</v>
      </c>
      <c r="C433" s="15" t="s">
        <v>474</v>
      </c>
      <c r="D433" s="5">
        <f>COUNTIFS('Raw Entries'!B:B,ClasswiseUniqueStudents7[[#This Row],[Unique Student Name]],'Raw Entries'!C:C,ClasswiseUniqueStudents7[[#This Row],[Class]])</f>
        <v>0</v>
      </c>
      <c r="E433" s="15">
        <f>ClasswiseUniqueStudents7[[#This Row],[Total Count]]*500</f>
        <v>0</v>
      </c>
      <c r="F433" s="15"/>
    </row>
    <row r="434" spans="1:6">
      <c r="A434" s="5">
        <v>433</v>
      </c>
      <c r="B434" s="5" t="s">
        <v>467</v>
      </c>
      <c r="C434" s="15" t="s">
        <v>475</v>
      </c>
      <c r="D434" s="5">
        <f>COUNTIFS('Raw Entries'!B:B,ClasswiseUniqueStudents7[[#This Row],[Unique Student Name]],'Raw Entries'!C:C,ClasswiseUniqueStudents7[[#This Row],[Class]])</f>
        <v>3</v>
      </c>
      <c r="E434" s="15">
        <f>ClasswiseUniqueStudents7[[#This Row],[Total Count]]*500</f>
        <v>1500</v>
      </c>
      <c r="F434" s="15"/>
    </row>
    <row r="435" spans="1:6">
      <c r="A435" s="5">
        <v>434</v>
      </c>
      <c r="B435" s="5" t="s">
        <v>467</v>
      </c>
      <c r="C435" s="15" t="s">
        <v>476</v>
      </c>
      <c r="D435" s="5">
        <f>COUNTIFS('Raw Entries'!B:B,ClasswiseUniqueStudents7[[#This Row],[Unique Student Name]],'Raw Entries'!C:C,ClasswiseUniqueStudents7[[#This Row],[Class]])</f>
        <v>1</v>
      </c>
      <c r="E435" s="15">
        <f>ClasswiseUniqueStudents7[[#This Row],[Total Count]]*500</f>
        <v>500</v>
      </c>
      <c r="F435" s="15"/>
    </row>
    <row r="436" spans="1:6">
      <c r="A436" s="5">
        <v>435</v>
      </c>
      <c r="B436" s="5" t="s">
        <v>467</v>
      </c>
      <c r="C436" s="15" t="s">
        <v>477</v>
      </c>
      <c r="D436" s="5">
        <f>COUNTIFS('Raw Entries'!B:B,ClasswiseUniqueStudents7[[#This Row],[Unique Student Name]],'Raw Entries'!C:C,ClasswiseUniqueStudents7[[#This Row],[Class]])</f>
        <v>3</v>
      </c>
      <c r="E436" s="15">
        <f>ClasswiseUniqueStudents7[[#This Row],[Total Count]]*500</f>
        <v>1500</v>
      </c>
      <c r="F436" s="15"/>
    </row>
    <row r="437" spans="1:6">
      <c r="A437" s="5">
        <v>436</v>
      </c>
      <c r="B437" s="5" t="s">
        <v>467</v>
      </c>
      <c r="C437" s="15" t="s">
        <v>478</v>
      </c>
      <c r="D437" s="5">
        <f>COUNTIFS('Raw Entries'!B:B,ClasswiseUniqueStudents7[[#This Row],[Unique Student Name]],'Raw Entries'!C:C,ClasswiseUniqueStudents7[[#This Row],[Class]])</f>
        <v>2</v>
      </c>
      <c r="E437" s="15">
        <f>ClasswiseUniqueStudents7[[#This Row],[Total Count]]*500</f>
        <v>1000</v>
      </c>
      <c r="F437" s="15"/>
    </row>
    <row r="438" spans="1:6">
      <c r="A438" s="5">
        <v>437</v>
      </c>
      <c r="B438" s="5" t="s">
        <v>467</v>
      </c>
      <c r="C438" s="15" t="s">
        <v>479</v>
      </c>
      <c r="D438" s="5">
        <f>COUNTIFS('Raw Entries'!B:B,ClasswiseUniqueStudents7[[#This Row],[Unique Student Name]],'Raw Entries'!C:C,ClasswiseUniqueStudents7[[#This Row],[Class]])</f>
        <v>1</v>
      </c>
      <c r="E438" s="15">
        <f>ClasswiseUniqueStudents7[[#This Row],[Total Count]]*500</f>
        <v>500</v>
      </c>
      <c r="F438" s="15"/>
    </row>
    <row r="439" spans="1:6">
      <c r="A439" s="5">
        <v>438</v>
      </c>
      <c r="B439" s="5" t="s">
        <v>480</v>
      </c>
      <c r="C439" s="15" t="s">
        <v>481</v>
      </c>
      <c r="D439" s="5">
        <f>COUNTIFS('Raw Entries'!B:B,ClasswiseUniqueStudents7[[#This Row],[Unique Student Name]],'Raw Entries'!C:C,ClasswiseUniqueStudents7[[#This Row],[Class]])</f>
        <v>1</v>
      </c>
      <c r="E439" s="15">
        <f>ClasswiseUniqueStudents7[[#This Row],[Total Count]]*500</f>
        <v>500</v>
      </c>
      <c r="F439" s="15"/>
    </row>
    <row r="440" spans="1:6">
      <c r="A440" s="5">
        <v>439</v>
      </c>
      <c r="B440" s="5" t="s">
        <v>480</v>
      </c>
      <c r="C440" s="15" t="s">
        <v>482</v>
      </c>
      <c r="D440" s="5">
        <f>COUNTIFS('Raw Entries'!B:B,ClasswiseUniqueStudents7[[#This Row],[Unique Student Name]],'Raw Entries'!C:C,ClasswiseUniqueStudents7[[#This Row],[Class]])</f>
        <v>3</v>
      </c>
      <c r="E440" s="15">
        <f>ClasswiseUniqueStudents7[[#This Row],[Total Count]]*500</f>
        <v>1500</v>
      </c>
      <c r="F440" s="15"/>
    </row>
    <row r="441" spans="1:6">
      <c r="A441" s="5">
        <v>440</v>
      </c>
      <c r="B441" s="5" t="s">
        <v>480</v>
      </c>
      <c r="C441" s="15" t="s">
        <v>483</v>
      </c>
      <c r="D441" s="5">
        <f>COUNTIFS('Raw Entries'!B:B,ClasswiseUniqueStudents7[[#This Row],[Unique Student Name]],'Raw Entries'!C:C,ClasswiseUniqueStudents7[[#This Row],[Class]])</f>
        <v>1</v>
      </c>
      <c r="E441" s="15">
        <f>ClasswiseUniqueStudents7[[#This Row],[Total Count]]*500</f>
        <v>500</v>
      </c>
      <c r="F441" s="15"/>
    </row>
    <row r="442" spans="1:6">
      <c r="A442" s="5">
        <v>441</v>
      </c>
      <c r="B442" s="5" t="s">
        <v>480</v>
      </c>
      <c r="C442" s="15" t="s">
        <v>484</v>
      </c>
      <c r="D442" s="5">
        <f>COUNTIFS('Raw Entries'!B:B,ClasswiseUniqueStudents7[[#This Row],[Unique Student Name]],'Raw Entries'!C:C,ClasswiseUniqueStudents7[[#This Row],[Class]])</f>
        <v>1</v>
      </c>
      <c r="E442" s="15">
        <f>ClasswiseUniqueStudents7[[#This Row],[Total Count]]*500</f>
        <v>500</v>
      </c>
      <c r="F442" s="15"/>
    </row>
    <row r="443" spans="1:6">
      <c r="A443" s="5">
        <v>442</v>
      </c>
      <c r="B443" s="5" t="s">
        <v>480</v>
      </c>
      <c r="C443" s="15" t="s">
        <v>485</v>
      </c>
      <c r="D443" s="5">
        <f>COUNTIFS('Raw Entries'!B:B,ClasswiseUniqueStudents7[[#This Row],[Unique Student Name]],'Raw Entries'!C:C,ClasswiseUniqueStudents7[[#This Row],[Class]])</f>
        <v>1</v>
      </c>
      <c r="E443" s="15">
        <f>ClasswiseUniqueStudents7[[#This Row],[Total Count]]*500</f>
        <v>500</v>
      </c>
      <c r="F443" s="15"/>
    </row>
    <row r="444" spans="1:6">
      <c r="A444" s="5">
        <v>443</v>
      </c>
      <c r="B444" s="5" t="s">
        <v>480</v>
      </c>
      <c r="C444" s="15" t="s">
        <v>486</v>
      </c>
      <c r="D444" s="5">
        <f>COUNTIFS('Raw Entries'!B:B,ClasswiseUniqueStudents7[[#This Row],[Unique Student Name]],'Raw Entries'!C:C,ClasswiseUniqueStudents7[[#This Row],[Class]])</f>
        <v>2</v>
      </c>
      <c r="E444" s="15">
        <f>ClasswiseUniqueStudents7[[#This Row],[Total Count]]*500</f>
        <v>1000</v>
      </c>
      <c r="F444" s="15"/>
    </row>
    <row r="445" spans="1:6">
      <c r="A445" s="5">
        <v>444</v>
      </c>
      <c r="B445" s="5" t="s">
        <v>480</v>
      </c>
      <c r="C445" s="15" t="s">
        <v>487</v>
      </c>
      <c r="D445" s="5">
        <f>COUNTIFS('Raw Entries'!B:B,ClasswiseUniqueStudents7[[#This Row],[Unique Student Name]],'Raw Entries'!C:C,ClasswiseUniqueStudents7[[#This Row],[Class]])</f>
        <v>1</v>
      </c>
      <c r="E445" s="15">
        <f>ClasswiseUniqueStudents7[[#This Row],[Total Count]]*500</f>
        <v>500</v>
      </c>
      <c r="F445" s="15"/>
    </row>
    <row r="446" spans="1:6">
      <c r="A446" s="5">
        <v>445</v>
      </c>
      <c r="B446" s="5" t="s">
        <v>488</v>
      </c>
      <c r="C446" s="15" t="s">
        <v>489</v>
      </c>
      <c r="D446" s="5">
        <f>COUNTIFS('Raw Entries'!B:B,ClasswiseUniqueStudents7[[#This Row],[Unique Student Name]],'Raw Entries'!C:C,ClasswiseUniqueStudents7[[#This Row],[Class]])</f>
        <v>1</v>
      </c>
      <c r="E446" s="15">
        <f>ClasswiseUniqueStudents7[[#This Row],[Total Count]]*500</f>
        <v>500</v>
      </c>
      <c r="F446" s="15"/>
    </row>
    <row r="447" spans="1:6">
      <c r="A447" s="5">
        <v>446</v>
      </c>
      <c r="B447" s="5" t="s">
        <v>488</v>
      </c>
      <c r="C447" s="15" t="s">
        <v>490</v>
      </c>
      <c r="D447" s="5">
        <f>COUNTIFS('Raw Entries'!B:B,ClasswiseUniqueStudents7[[#This Row],[Unique Student Name]],'Raw Entries'!C:C,ClasswiseUniqueStudents7[[#This Row],[Class]])</f>
        <v>1</v>
      </c>
      <c r="E447" s="15">
        <f>ClasswiseUniqueStudents7[[#This Row],[Total Count]]*500</f>
        <v>500</v>
      </c>
      <c r="F447" s="15"/>
    </row>
    <row r="448" spans="1:6">
      <c r="A448" s="5">
        <v>447</v>
      </c>
      <c r="B448" s="5" t="s">
        <v>488</v>
      </c>
      <c r="C448" s="15" t="s">
        <v>491</v>
      </c>
      <c r="D448" s="5">
        <f>COUNTIFS('Raw Entries'!B:B,ClasswiseUniqueStudents7[[#This Row],[Unique Student Name]],'Raw Entries'!C:C,ClasswiseUniqueStudents7[[#This Row],[Class]])</f>
        <v>3</v>
      </c>
      <c r="E448" s="15">
        <f>ClasswiseUniqueStudents7[[#This Row],[Total Count]]*500</f>
        <v>1500</v>
      </c>
      <c r="F448" s="15"/>
    </row>
    <row r="449" spans="1:6">
      <c r="A449" s="5">
        <v>448</v>
      </c>
      <c r="B449" s="5" t="s">
        <v>488</v>
      </c>
      <c r="C449" s="15" t="s">
        <v>492</v>
      </c>
      <c r="D449" s="5">
        <f>COUNTIFS('Raw Entries'!B:B,ClasswiseUniqueStudents7[[#This Row],[Unique Student Name]],'Raw Entries'!C:C,ClasswiseUniqueStudents7[[#This Row],[Class]])</f>
        <v>1</v>
      </c>
      <c r="E449" s="15">
        <f>ClasswiseUniqueStudents7[[#This Row],[Total Count]]*500</f>
        <v>500</v>
      </c>
      <c r="F449" s="15"/>
    </row>
    <row r="450" spans="1:6">
      <c r="A450" s="5">
        <v>449</v>
      </c>
      <c r="B450" s="5" t="s">
        <v>488</v>
      </c>
      <c r="C450" s="15" t="s">
        <v>493</v>
      </c>
      <c r="D450" s="5">
        <f>COUNTIFS('Raw Entries'!B:B,ClasswiseUniqueStudents7[[#This Row],[Unique Student Name]],'Raw Entries'!C:C,ClasswiseUniqueStudents7[[#This Row],[Class]])</f>
        <v>3</v>
      </c>
      <c r="E450" s="15">
        <f>ClasswiseUniqueStudents7[[#This Row],[Total Count]]*500</f>
        <v>1500</v>
      </c>
      <c r="F450" s="15"/>
    </row>
    <row r="451" spans="1:6">
      <c r="A451" s="5">
        <v>450</v>
      </c>
      <c r="B451" s="5" t="s">
        <v>488</v>
      </c>
      <c r="C451" s="15" t="s">
        <v>494</v>
      </c>
      <c r="D451" s="5">
        <f>COUNTIFS('Raw Entries'!B:B,ClasswiseUniqueStudents7[[#This Row],[Unique Student Name]],'Raw Entries'!C:C,ClasswiseUniqueStudents7[[#This Row],[Class]])</f>
        <v>1</v>
      </c>
      <c r="E451" s="15">
        <f>ClasswiseUniqueStudents7[[#This Row],[Total Count]]*500</f>
        <v>500</v>
      </c>
      <c r="F451" s="15"/>
    </row>
    <row r="452" spans="1:6">
      <c r="A452" s="5">
        <v>451</v>
      </c>
      <c r="B452" s="5" t="s">
        <v>488</v>
      </c>
      <c r="C452" s="15" t="s">
        <v>495</v>
      </c>
      <c r="D452" s="5">
        <f>COUNTIFS('Raw Entries'!B:B,ClasswiseUniqueStudents7[[#This Row],[Unique Student Name]],'Raw Entries'!C:C,ClasswiseUniqueStudents7[[#This Row],[Class]])</f>
        <v>1</v>
      </c>
      <c r="E452" s="15">
        <f>ClasswiseUniqueStudents7[[#This Row],[Total Count]]*500</f>
        <v>500</v>
      </c>
      <c r="F452" s="15"/>
    </row>
    <row r="453" spans="1:6">
      <c r="A453" s="5">
        <v>452</v>
      </c>
      <c r="B453" s="5" t="s">
        <v>496</v>
      </c>
      <c r="C453" s="15" t="s">
        <v>497</v>
      </c>
      <c r="D453" s="5">
        <f>COUNTIFS('Raw Entries'!B:B,ClasswiseUniqueStudents7[[#This Row],[Unique Student Name]],'Raw Entries'!C:C,ClasswiseUniqueStudents7[[#This Row],[Class]])</f>
        <v>1</v>
      </c>
      <c r="E453" s="15">
        <f>ClasswiseUniqueStudents7[[#This Row],[Total Count]]*500</f>
        <v>500</v>
      </c>
      <c r="F453" s="15"/>
    </row>
    <row r="454" spans="1:6">
      <c r="A454" s="5">
        <v>453</v>
      </c>
      <c r="B454" s="5" t="s">
        <v>496</v>
      </c>
      <c r="C454" s="15" t="s">
        <v>498</v>
      </c>
      <c r="D454" s="5">
        <f>COUNTIFS('Raw Entries'!B:B,ClasswiseUniqueStudents7[[#This Row],[Unique Student Name]],'Raw Entries'!C:C,ClasswiseUniqueStudents7[[#This Row],[Class]])</f>
        <v>2</v>
      </c>
      <c r="E454" s="15">
        <f>ClasswiseUniqueStudents7[[#This Row],[Total Count]]*500</f>
        <v>1000</v>
      </c>
      <c r="F454" s="15"/>
    </row>
    <row r="455" spans="1:6">
      <c r="A455" s="5">
        <v>454</v>
      </c>
      <c r="B455" s="5" t="s">
        <v>499</v>
      </c>
      <c r="C455" s="15" t="s">
        <v>500</v>
      </c>
      <c r="D455" s="5">
        <f>COUNTIFS('Raw Entries'!B:B,ClasswiseUniqueStudents7[[#This Row],[Unique Student Name]],'Raw Entries'!C:C,ClasswiseUniqueStudents7[[#This Row],[Class]])</f>
        <v>3</v>
      </c>
      <c r="E455" s="15">
        <f>ClasswiseUniqueStudents7[[#This Row],[Total Count]]*500</f>
        <v>1500</v>
      </c>
      <c r="F455" s="15"/>
    </row>
    <row r="456" spans="1:6">
      <c r="A456" s="5">
        <v>455</v>
      </c>
      <c r="B456" s="5" t="s">
        <v>499</v>
      </c>
      <c r="C456" s="15" t="s">
        <v>501</v>
      </c>
      <c r="D456" s="5">
        <f>COUNTIFS('Raw Entries'!B:B,ClasswiseUniqueStudents7[[#This Row],[Unique Student Name]],'Raw Entries'!C:C,ClasswiseUniqueStudents7[[#This Row],[Class]])</f>
        <v>3</v>
      </c>
      <c r="E456" s="15">
        <f>ClasswiseUniqueStudents7[[#This Row],[Total Count]]*500</f>
        <v>1500</v>
      </c>
      <c r="F456" s="15"/>
    </row>
    <row r="457" spans="1:6">
      <c r="A457" s="5">
        <v>456</v>
      </c>
      <c r="B457" s="5" t="s">
        <v>499</v>
      </c>
      <c r="C457" s="15" t="s">
        <v>502</v>
      </c>
      <c r="D457" s="5">
        <f>COUNTIFS('Raw Entries'!B:B,ClasswiseUniqueStudents7[[#This Row],[Unique Student Name]],'Raw Entries'!C:C,ClasswiseUniqueStudents7[[#This Row],[Class]])</f>
        <v>1</v>
      </c>
      <c r="E457" s="15">
        <f>ClasswiseUniqueStudents7[[#This Row],[Total Count]]*500</f>
        <v>500</v>
      </c>
      <c r="F457" s="15"/>
    </row>
    <row r="458" spans="1:6">
      <c r="A458" s="5">
        <v>457</v>
      </c>
      <c r="B458" s="5" t="s">
        <v>499</v>
      </c>
      <c r="C458" s="15" t="s">
        <v>503</v>
      </c>
      <c r="D458" s="5">
        <f>COUNTIFS('Raw Entries'!B:B,ClasswiseUniqueStudents7[[#This Row],[Unique Student Name]],'Raw Entries'!C:C,ClasswiseUniqueStudents7[[#This Row],[Class]])</f>
        <v>3</v>
      </c>
      <c r="E458" s="15">
        <f>ClasswiseUniqueStudents7[[#This Row],[Total Count]]*500</f>
        <v>1500</v>
      </c>
      <c r="F458" s="15"/>
    </row>
    <row r="459" spans="1:6">
      <c r="A459" s="5">
        <v>458</v>
      </c>
      <c r="B459" s="5" t="s">
        <v>504</v>
      </c>
      <c r="C459" s="15" t="s">
        <v>505</v>
      </c>
      <c r="D459" s="5">
        <f>COUNTIFS('Raw Entries'!B:B,ClasswiseUniqueStudents7[[#This Row],[Unique Student Name]],'Raw Entries'!C:C,ClasswiseUniqueStudents7[[#This Row],[Class]])</f>
        <v>1</v>
      </c>
      <c r="E459" s="15">
        <f>ClasswiseUniqueStudents7[[#This Row],[Total Count]]*500</f>
        <v>500</v>
      </c>
      <c r="F459" s="15"/>
    </row>
    <row r="460" spans="1:6">
      <c r="A460" s="5">
        <v>459</v>
      </c>
      <c r="B460" s="5" t="s">
        <v>504</v>
      </c>
      <c r="C460" s="15" t="s">
        <v>506</v>
      </c>
      <c r="D460" s="5">
        <f>COUNTIFS('Raw Entries'!B:B,ClasswiseUniqueStudents7[[#This Row],[Unique Student Name]],'Raw Entries'!C:C,ClasswiseUniqueStudents7[[#This Row],[Class]])</f>
        <v>3</v>
      </c>
      <c r="E460" s="15">
        <f>ClasswiseUniqueStudents7[[#This Row],[Total Count]]*500</f>
        <v>1500</v>
      </c>
      <c r="F460" s="15"/>
    </row>
    <row r="461" spans="1:6">
      <c r="A461" s="5">
        <v>460</v>
      </c>
      <c r="B461" s="5" t="s">
        <v>504</v>
      </c>
      <c r="C461" s="15" t="s">
        <v>507</v>
      </c>
      <c r="D461" s="5">
        <f>COUNTIFS('Raw Entries'!B:B,ClasswiseUniqueStudents7[[#This Row],[Unique Student Name]],'Raw Entries'!C:C,ClasswiseUniqueStudents7[[#This Row],[Class]])</f>
        <v>1</v>
      </c>
      <c r="E461" s="15">
        <f>ClasswiseUniqueStudents7[[#This Row],[Total Count]]*500</f>
        <v>500</v>
      </c>
      <c r="F461" s="15"/>
    </row>
    <row r="462" spans="1:6">
      <c r="A462" s="5">
        <v>461</v>
      </c>
      <c r="B462" s="5" t="s">
        <v>504</v>
      </c>
      <c r="C462" s="15" t="s">
        <v>508</v>
      </c>
      <c r="D462" s="5">
        <f>COUNTIFS('Raw Entries'!B:B,ClasswiseUniqueStudents7[[#This Row],[Unique Student Name]],'Raw Entries'!C:C,ClasswiseUniqueStudents7[[#This Row],[Class]])</f>
        <v>1</v>
      </c>
      <c r="E462" s="15">
        <f>ClasswiseUniqueStudents7[[#This Row],[Total Count]]*500</f>
        <v>500</v>
      </c>
      <c r="F462" s="15"/>
    </row>
    <row r="463" spans="1:6">
      <c r="A463" s="5">
        <v>462</v>
      </c>
      <c r="B463" s="5" t="s">
        <v>509</v>
      </c>
      <c r="C463" s="15" t="s">
        <v>510</v>
      </c>
      <c r="D463" s="5">
        <f>COUNTIFS('Raw Entries'!B:B,ClasswiseUniqueStudents7[[#This Row],[Unique Student Name]],'Raw Entries'!C:C,ClasswiseUniqueStudents7[[#This Row],[Class]])</f>
        <v>1</v>
      </c>
      <c r="E463" s="15">
        <f>ClasswiseUniqueStudents7[[#This Row],[Total Count]]*500</f>
        <v>500</v>
      </c>
      <c r="F463" s="15"/>
    </row>
    <row r="464" spans="1:6">
      <c r="A464" s="5">
        <v>463</v>
      </c>
      <c r="B464" s="5" t="s">
        <v>509</v>
      </c>
      <c r="C464" s="15" t="s">
        <v>511</v>
      </c>
      <c r="D464" s="5">
        <f>COUNTIFS('Raw Entries'!B:B,ClasswiseUniqueStudents7[[#This Row],[Unique Student Name]],'Raw Entries'!C:C,ClasswiseUniqueStudents7[[#This Row],[Class]])</f>
        <v>3</v>
      </c>
      <c r="E464" s="15">
        <f>ClasswiseUniqueStudents7[[#This Row],[Total Count]]*500</f>
        <v>1500</v>
      </c>
      <c r="F464" s="15"/>
    </row>
    <row r="465" spans="1:6">
      <c r="A465" s="5">
        <v>464</v>
      </c>
      <c r="B465" s="5" t="s">
        <v>509</v>
      </c>
      <c r="C465" s="15" t="s">
        <v>512</v>
      </c>
      <c r="D465" s="5">
        <f>COUNTIFS('Raw Entries'!B:B,ClasswiseUniqueStudents7[[#This Row],[Unique Student Name]],'Raw Entries'!C:C,ClasswiseUniqueStudents7[[#This Row],[Class]])</f>
        <v>2</v>
      </c>
      <c r="E465" s="15">
        <f>ClasswiseUniqueStudents7[[#This Row],[Total Count]]*500</f>
        <v>1000</v>
      </c>
      <c r="F465" s="15"/>
    </row>
    <row r="466" spans="1:6">
      <c r="A466" s="5">
        <v>465</v>
      </c>
      <c r="B466" s="5" t="s">
        <v>509</v>
      </c>
      <c r="C466" s="15" t="s">
        <v>513</v>
      </c>
      <c r="D466" s="5">
        <f>COUNTIFS('Raw Entries'!B:B,ClasswiseUniqueStudents7[[#This Row],[Unique Student Name]],'Raw Entries'!C:C,ClasswiseUniqueStudents7[[#This Row],[Class]])</f>
        <v>1</v>
      </c>
      <c r="E466" s="15">
        <f>ClasswiseUniqueStudents7[[#This Row],[Total Count]]*500</f>
        <v>500</v>
      </c>
      <c r="F466" s="15"/>
    </row>
    <row r="467" spans="1:6">
      <c r="A467" s="5">
        <v>466</v>
      </c>
      <c r="B467" s="5" t="s">
        <v>509</v>
      </c>
      <c r="C467" s="15" t="s">
        <v>514</v>
      </c>
      <c r="D467" s="5">
        <f>COUNTIFS('Raw Entries'!B:B,ClasswiseUniqueStudents7[[#This Row],[Unique Student Name]],'Raw Entries'!C:C,ClasswiseUniqueStudents7[[#This Row],[Class]])</f>
        <v>3</v>
      </c>
      <c r="E467" s="15">
        <f>ClasswiseUniqueStudents7[[#This Row],[Total Count]]*500</f>
        <v>1500</v>
      </c>
      <c r="F467" s="15"/>
    </row>
    <row r="468" spans="1:6">
      <c r="A468" s="5">
        <v>467</v>
      </c>
      <c r="B468" s="5" t="s">
        <v>515</v>
      </c>
      <c r="C468" s="15" t="s">
        <v>375</v>
      </c>
      <c r="D468" s="5">
        <f>COUNTIFS('Raw Entries'!B:B,ClasswiseUniqueStudents7[[#This Row],[Unique Student Name]],'Raw Entries'!C:C,ClasswiseUniqueStudents7[[#This Row],[Class]])</f>
        <v>1</v>
      </c>
      <c r="E468" s="15">
        <f>ClasswiseUniqueStudents7[[#This Row],[Total Count]]*500</f>
        <v>500</v>
      </c>
      <c r="F468" s="15"/>
    </row>
    <row r="469" spans="1:6">
      <c r="A469" s="5">
        <v>468</v>
      </c>
      <c r="B469" s="5" t="s">
        <v>515</v>
      </c>
      <c r="C469" s="15" t="s">
        <v>516</v>
      </c>
      <c r="D469" s="5">
        <f>COUNTIFS('Raw Entries'!B:B,ClasswiseUniqueStudents7[[#This Row],[Unique Student Name]],'Raw Entries'!C:C,ClasswiseUniqueStudents7[[#This Row],[Class]])</f>
        <v>1</v>
      </c>
      <c r="E469" s="15">
        <f>ClasswiseUniqueStudents7[[#This Row],[Total Count]]*500</f>
        <v>500</v>
      </c>
      <c r="F469" s="15"/>
    </row>
    <row r="470" spans="1:6">
      <c r="A470" s="5">
        <v>469</v>
      </c>
      <c r="B470" s="5" t="s">
        <v>515</v>
      </c>
      <c r="C470" s="15" t="s">
        <v>517</v>
      </c>
      <c r="D470" s="5">
        <f>COUNTIFS('Raw Entries'!B:B,ClasswiseUniqueStudents7[[#This Row],[Unique Student Name]],'Raw Entries'!C:C,ClasswiseUniqueStudents7[[#This Row],[Class]])</f>
        <v>3</v>
      </c>
      <c r="E470" s="15">
        <f>ClasswiseUniqueStudents7[[#This Row],[Total Count]]*500</f>
        <v>1500</v>
      </c>
      <c r="F470" s="15"/>
    </row>
    <row r="471" spans="1:6">
      <c r="A471" s="5">
        <v>470</v>
      </c>
      <c r="B471" s="5" t="s">
        <v>515</v>
      </c>
      <c r="C471" s="15" t="s">
        <v>518</v>
      </c>
      <c r="D471" s="5">
        <f>COUNTIFS('Raw Entries'!B:B,ClasswiseUniqueStudents7[[#This Row],[Unique Student Name]],'Raw Entries'!C:C,ClasswiseUniqueStudents7[[#This Row],[Class]])</f>
        <v>3</v>
      </c>
      <c r="E471" s="15">
        <f>ClasswiseUniqueStudents7[[#This Row],[Total Count]]*500</f>
        <v>1500</v>
      </c>
      <c r="F471" s="15"/>
    </row>
    <row r="472" spans="1:6">
      <c r="A472" s="5">
        <v>471</v>
      </c>
      <c r="B472" s="5" t="s">
        <v>515</v>
      </c>
      <c r="C472" s="15" t="s">
        <v>519</v>
      </c>
      <c r="D472" s="5">
        <f>COUNTIFS('Raw Entries'!B:B,ClasswiseUniqueStudents7[[#This Row],[Unique Student Name]],'Raw Entries'!C:C,ClasswiseUniqueStudents7[[#This Row],[Class]])</f>
        <v>3</v>
      </c>
      <c r="E472" s="15">
        <f>ClasswiseUniqueStudents7[[#This Row],[Total Count]]*500</f>
        <v>1500</v>
      </c>
      <c r="F472" s="15"/>
    </row>
    <row r="473" spans="1:6">
      <c r="A473" s="5">
        <v>472</v>
      </c>
      <c r="B473" s="5" t="s">
        <v>520</v>
      </c>
      <c r="C473" s="15" t="s">
        <v>521</v>
      </c>
      <c r="D473" s="5">
        <f>COUNTIFS('Raw Entries'!B:B,ClasswiseUniqueStudents7[[#This Row],[Unique Student Name]],'Raw Entries'!C:C,ClasswiseUniqueStudents7[[#This Row],[Class]])</f>
        <v>3</v>
      </c>
      <c r="E473" s="15">
        <f>ClasswiseUniqueStudents7[[#This Row],[Total Count]]*500</f>
        <v>1500</v>
      </c>
      <c r="F473" s="15"/>
    </row>
    <row r="474" spans="1:6">
      <c r="A474" s="5">
        <v>473</v>
      </c>
      <c r="B474" s="5" t="s">
        <v>520</v>
      </c>
      <c r="C474" s="15" t="s">
        <v>522</v>
      </c>
      <c r="D474" s="5">
        <f>COUNTIFS('Raw Entries'!B:B,ClasswiseUniqueStudents7[[#This Row],[Unique Student Name]],'Raw Entries'!C:C,ClasswiseUniqueStudents7[[#This Row],[Class]])</f>
        <v>1</v>
      </c>
      <c r="E474" s="15">
        <f>ClasswiseUniqueStudents7[[#This Row],[Total Count]]*500</f>
        <v>500</v>
      </c>
      <c r="F474" s="15"/>
    </row>
    <row r="475" spans="1:6">
      <c r="A475" s="5">
        <v>474</v>
      </c>
      <c r="B475" s="5" t="s">
        <v>520</v>
      </c>
      <c r="C475" s="15" t="s">
        <v>523</v>
      </c>
      <c r="D475" s="5">
        <f>COUNTIFS('Raw Entries'!B:B,ClasswiseUniqueStudents7[[#This Row],[Unique Student Name]],'Raw Entries'!C:C,ClasswiseUniqueStudents7[[#This Row],[Class]])</f>
        <v>1</v>
      </c>
      <c r="E475" s="15">
        <f>ClasswiseUniqueStudents7[[#This Row],[Total Count]]*500</f>
        <v>500</v>
      </c>
      <c r="F475" s="15"/>
    </row>
    <row r="476" spans="1:6">
      <c r="A476" s="5">
        <v>475</v>
      </c>
      <c r="B476" s="5" t="s">
        <v>520</v>
      </c>
      <c r="C476" s="15" t="s">
        <v>139</v>
      </c>
      <c r="D476" s="5">
        <f>COUNTIFS('Raw Entries'!B:B,ClasswiseUniqueStudents7[[#This Row],[Unique Student Name]],'Raw Entries'!C:C,ClasswiseUniqueStudents7[[#This Row],[Class]])</f>
        <v>1</v>
      </c>
      <c r="E476" s="15">
        <f>ClasswiseUniqueStudents7[[#This Row],[Total Count]]*500</f>
        <v>500</v>
      </c>
      <c r="F476" s="15"/>
    </row>
    <row r="477" spans="1:6">
      <c r="A477" s="5">
        <v>476</v>
      </c>
      <c r="B477" s="5" t="s">
        <v>520</v>
      </c>
      <c r="C477" s="15" t="s">
        <v>524</v>
      </c>
      <c r="D477" s="5">
        <f>COUNTIFS('Raw Entries'!B:B,ClasswiseUniqueStudents7[[#This Row],[Unique Student Name]],'Raw Entries'!C:C,ClasswiseUniqueStudents7[[#This Row],[Class]])</f>
        <v>2</v>
      </c>
      <c r="E477" s="15">
        <f>ClasswiseUniqueStudents7[[#This Row],[Total Count]]*500</f>
        <v>1000</v>
      </c>
      <c r="F477" s="15"/>
    </row>
    <row r="478" spans="1:6">
      <c r="A478" s="5">
        <v>477</v>
      </c>
      <c r="B478" s="5" t="s">
        <v>520</v>
      </c>
      <c r="C478" s="15" t="s">
        <v>525</v>
      </c>
      <c r="D478" s="5">
        <f>COUNTIFS('Raw Entries'!B:B,ClasswiseUniqueStudents7[[#This Row],[Unique Student Name]],'Raw Entries'!C:C,ClasswiseUniqueStudents7[[#This Row],[Class]])</f>
        <v>3</v>
      </c>
      <c r="E478" s="15">
        <f>ClasswiseUniqueStudents7[[#This Row],[Total Count]]*500</f>
        <v>1500</v>
      </c>
      <c r="F478" s="15"/>
    </row>
    <row r="479" spans="1:6">
      <c r="A479" s="5">
        <v>478</v>
      </c>
      <c r="B479" s="5" t="s">
        <v>526</v>
      </c>
      <c r="C479" s="15" t="s">
        <v>527</v>
      </c>
      <c r="D479" s="5">
        <f>COUNTIFS('Raw Entries'!B:B,ClasswiseUniqueStudents7[[#This Row],[Unique Student Name]],'Raw Entries'!C:C,ClasswiseUniqueStudents7[[#This Row],[Class]])</f>
        <v>3</v>
      </c>
      <c r="E479" s="15">
        <f>ClasswiseUniqueStudents7[[#This Row],[Total Count]]*500</f>
        <v>1500</v>
      </c>
      <c r="F479" s="15"/>
    </row>
    <row r="480" spans="1:6">
      <c r="A480" s="5">
        <v>479</v>
      </c>
      <c r="B480" s="5" t="s">
        <v>526</v>
      </c>
      <c r="C480" s="15" t="s">
        <v>528</v>
      </c>
      <c r="D480" s="5">
        <f>COUNTIFS('Raw Entries'!B:B,ClasswiseUniqueStudents7[[#This Row],[Unique Student Name]],'Raw Entries'!C:C,ClasswiseUniqueStudents7[[#This Row],[Class]])</f>
        <v>1</v>
      </c>
      <c r="E480" s="15">
        <f>ClasswiseUniqueStudents7[[#This Row],[Total Count]]*500</f>
        <v>500</v>
      </c>
      <c r="F480" s="15"/>
    </row>
    <row r="481" spans="1:6">
      <c r="A481" s="5">
        <v>480</v>
      </c>
      <c r="B481" s="5" t="s">
        <v>526</v>
      </c>
      <c r="C481" s="15" t="s">
        <v>529</v>
      </c>
      <c r="D481" s="5">
        <f>COUNTIFS('Raw Entries'!B:B,ClasswiseUniqueStudents7[[#This Row],[Unique Student Name]],'Raw Entries'!C:C,ClasswiseUniqueStudents7[[#This Row],[Class]])</f>
        <v>1</v>
      </c>
      <c r="E481" s="15">
        <f>ClasswiseUniqueStudents7[[#This Row],[Total Count]]*500</f>
        <v>500</v>
      </c>
      <c r="F481" s="15"/>
    </row>
    <row r="482" spans="1:6">
      <c r="A482" s="5">
        <v>481</v>
      </c>
      <c r="B482" s="5" t="s">
        <v>526</v>
      </c>
      <c r="C482" s="15" t="s">
        <v>530</v>
      </c>
      <c r="D482" s="5">
        <f>COUNTIFS('Raw Entries'!B:B,ClasswiseUniqueStudents7[[#This Row],[Unique Student Name]],'Raw Entries'!C:C,ClasswiseUniqueStudents7[[#This Row],[Class]])</f>
        <v>2</v>
      </c>
      <c r="E482" s="15">
        <f>ClasswiseUniqueStudents7[[#This Row],[Total Count]]*500</f>
        <v>1000</v>
      </c>
      <c r="F482" s="15"/>
    </row>
    <row r="483" spans="1:6">
      <c r="A483" s="5">
        <v>482</v>
      </c>
      <c r="B483" s="5" t="s">
        <v>526</v>
      </c>
      <c r="C483" s="15" t="s">
        <v>531</v>
      </c>
      <c r="D483" s="5">
        <f>COUNTIFS('Raw Entries'!B:B,ClasswiseUniqueStudents7[[#This Row],[Unique Student Name]],'Raw Entries'!C:C,ClasswiseUniqueStudents7[[#This Row],[Class]])</f>
        <v>1</v>
      </c>
      <c r="E483" s="15">
        <f>ClasswiseUniqueStudents7[[#This Row],[Total Count]]*500</f>
        <v>500</v>
      </c>
      <c r="F483" s="15"/>
    </row>
    <row r="484" spans="1:6">
      <c r="A484" s="5">
        <v>483</v>
      </c>
      <c r="B484" s="5" t="s">
        <v>526</v>
      </c>
      <c r="C484" s="15" t="s">
        <v>532</v>
      </c>
      <c r="D484" s="5">
        <f>COUNTIFS('Raw Entries'!B:B,ClasswiseUniqueStudents7[[#This Row],[Unique Student Name]],'Raw Entries'!C:C,ClasswiseUniqueStudents7[[#This Row],[Class]])</f>
        <v>1</v>
      </c>
      <c r="E484" s="15">
        <f>ClasswiseUniqueStudents7[[#This Row],[Total Count]]*500</f>
        <v>500</v>
      </c>
      <c r="F484" s="15"/>
    </row>
    <row r="485" spans="1:6">
      <c r="A485" s="5">
        <v>484</v>
      </c>
      <c r="B485" s="5" t="s">
        <v>526</v>
      </c>
      <c r="C485" s="15" t="s">
        <v>533</v>
      </c>
      <c r="D485" s="5">
        <f>COUNTIFS('Raw Entries'!B:B,ClasswiseUniqueStudents7[[#This Row],[Unique Student Name]],'Raw Entries'!C:C,ClasswiseUniqueStudents7[[#This Row],[Class]])</f>
        <v>1</v>
      </c>
      <c r="E485" s="15">
        <f>ClasswiseUniqueStudents7[[#This Row],[Total Count]]*500</f>
        <v>500</v>
      </c>
      <c r="F485" s="15"/>
    </row>
    <row r="486" spans="1:6">
      <c r="A486" s="5">
        <v>485</v>
      </c>
      <c r="B486" s="5" t="s">
        <v>526</v>
      </c>
      <c r="C486" s="15" t="s">
        <v>534</v>
      </c>
      <c r="D486" s="5">
        <f>COUNTIFS('Raw Entries'!B:B,ClasswiseUniqueStudents7[[#This Row],[Unique Student Name]],'Raw Entries'!C:C,ClasswiseUniqueStudents7[[#This Row],[Class]])</f>
        <v>3</v>
      </c>
      <c r="E486" s="15">
        <f>ClasswiseUniqueStudents7[[#This Row],[Total Count]]*500</f>
        <v>1500</v>
      </c>
      <c r="F486" s="15"/>
    </row>
    <row r="487" spans="1:6">
      <c r="A487" s="5">
        <v>486</v>
      </c>
      <c r="B487" s="5" t="s">
        <v>526</v>
      </c>
      <c r="C487" s="15" t="s">
        <v>535</v>
      </c>
      <c r="D487" s="5">
        <f>COUNTIFS('Raw Entries'!B:B,ClasswiseUniqueStudents7[[#This Row],[Unique Student Name]],'Raw Entries'!C:C,ClasswiseUniqueStudents7[[#This Row],[Class]])</f>
        <v>1</v>
      </c>
      <c r="E487" s="15">
        <f>ClasswiseUniqueStudents7[[#This Row],[Total Count]]*500</f>
        <v>500</v>
      </c>
      <c r="F487" s="15"/>
    </row>
    <row r="488" spans="1:6">
      <c r="A488" s="5">
        <v>487</v>
      </c>
      <c r="B488" s="5" t="s">
        <v>526</v>
      </c>
      <c r="C488" s="15" t="s">
        <v>536</v>
      </c>
      <c r="D488" s="5">
        <f>COUNTIFS('Raw Entries'!B:B,ClasswiseUniqueStudents7[[#This Row],[Unique Student Name]],'Raw Entries'!C:C,ClasswiseUniqueStudents7[[#This Row],[Class]])</f>
        <v>1</v>
      </c>
      <c r="E488" s="15">
        <f>ClasswiseUniqueStudents7[[#This Row],[Total Count]]*500</f>
        <v>500</v>
      </c>
      <c r="F488" s="15"/>
    </row>
    <row r="489" spans="1:6">
      <c r="A489" s="5">
        <v>488</v>
      </c>
      <c r="B489" s="5" t="s">
        <v>526</v>
      </c>
      <c r="C489" s="15" t="s">
        <v>3939</v>
      </c>
      <c r="D489" s="5">
        <f>COUNTIFS('Raw Entries'!B:B,ClasswiseUniqueStudents7[[#This Row],[Unique Student Name]],'Raw Entries'!C:C,ClasswiseUniqueStudents7[[#This Row],[Class]])</f>
        <v>1</v>
      </c>
      <c r="E489" s="15">
        <f>ClasswiseUniqueStudents7[[#This Row],[Total Count]]*500</f>
        <v>500</v>
      </c>
      <c r="F489" s="15"/>
    </row>
    <row r="490" spans="1:6">
      <c r="A490" s="5">
        <v>489</v>
      </c>
      <c r="B490" s="5" t="s">
        <v>526</v>
      </c>
      <c r="C490" s="15" t="s">
        <v>537</v>
      </c>
      <c r="D490" s="5">
        <f>COUNTIFS('Raw Entries'!B:B,ClasswiseUniqueStudents7[[#This Row],[Unique Student Name]],'Raw Entries'!C:C,ClasswiseUniqueStudents7[[#This Row],[Class]])</f>
        <v>1</v>
      </c>
      <c r="E490" s="15">
        <f>ClasswiseUniqueStudents7[[#This Row],[Total Count]]*500</f>
        <v>500</v>
      </c>
      <c r="F490" s="15"/>
    </row>
    <row r="491" spans="1:6">
      <c r="A491" s="5">
        <v>490</v>
      </c>
      <c r="B491" s="5" t="s">
        <v>538</v>
      </c>
      <c r="C491" s="15" t="s">
        <v>539</v>
      </c>
      <c r="D491" s="5">
        <f>COUNTIFS('Raw Entries'!B:B,ClasswiseUniqueStudents7[[#This Row],[Unique Student Name]],'Raw Entries'!C:C,ClasswiseUniqueStudents7[[#This Row],[Class]])</f>
        <v>3</v>
      </c>
      <c r="E491" s="15">
        <f>ClasswiseUniqueStudents7[[#This Row],[Total Count]]*500</f>
        <v>1500</v>
      </c>
      <c r="F491" s="15"/>
    </row>
    <row r="492" spans="1:6">
      <c r="A492" s="5">
        <v>491</v>
      </c>
      <c r="B492" s="5" t="s">
        <v>538</v>
      </c>
      <c r="C492" s="15" t="s">
        <v>3938</v>
      </c>
      <c r="D492" s="5">
        <f>COUNTIFS('Raw Entries'!B:B,ClasswiseUniqueStudents7[[#This Row],[Unique Student Name]],'Raw Entries'!C:C,ClasswiseUniqueStudents7[[#This Row],[Class]])</f>
        <v>3</v>
      </c>
      <c r="E492" s="15">
        <f>ClasswiseUniqueStudents7[[#This Row],[Total Count]]*500</f>
        <v>1500</v>
      </c>
      <c r="F492" s="15"/>
    </row>
    <row r="493" spans="1:6">
      <c r="A493" s="5">
        <v>492</v>
      </c>
      <c r="B493" s="5" t="s">
        <v>538</v>
      </c>
      <c r="C493" s="15" t="s">
        <v>540</v>
      </c>
      <c r="D493" s="5">
        <f>COUNTIFS('Raw Entries'!B:B,ClasswiseUniqueStudents7[[#This Row],[Unique Student Name]],'Raw Entries'!C:C,ClasswiseUniqueStudents7[[#This Row],[Class]])</f>
        <v>1</v>
      </c>
      <c r="E493" s="15">
        <f>ClasswiseUniqueStudents7[[#This Row],[Total Count]]*500</f>
        <v>500</v>
      </c>
      <c r="F493" s="15"/>
    </row>
    <row r="494" spans="1:6">
      <c r="A494" s="5">
        <v>493</v>
      </c>
      <c r="B494" s="5" t="s">
        <v>538</v>
      </c>
      <c r="C494" s="15" t="s">
        <v>541</v>
      </c>
      <c r="D494" s="5">
        <f>COUNTIFS('Raw Entries'!B:B,ClasswiseUniqueStudents7[[#This Row],[Unique Student Name]],'Raw Entries'!C:C,ClasswiseUniqueStudents7[[#This Row],[Class]])</f>
        <v>2</v>
      </c>
      <c r="E494" s="15">
        <f>ClasswiseUniqueStudents7[[#This Row],[Total Count]]*500</f>
        <v>1000</v>
      </c>
      <c r="F494" s="15"/>
    </row>
    <row r="495" spans="1:6">
      <c r="A495" s="5">
        <v>494</v>
      </c>
      <c r="B495" s="5" t="s">
        <v>538</v>
      </c>
      <c r="C495" s="15" t="s">
        <v>542</v>
      </c>
      <c r="D495" s="5">
        <f>COUNTIFS('Raw Entries'!B:B,ClasswiseUniqueStudents7[[#This Row],[Unique Student Name]],'Raw Entries'!C:C,ClasswiseUniqueStudents7[[#This Row],[Class]])</f>
        <v>1</v>
      </c>
      <c r="E495" s="15">
        <f>ClasswiseUniqueStudents7[[#This Row],[Total Count]]*500</f>
        <v>500</v>
      </c>
      <c r="F495" s="15"/>
    </row>
    <row r="496" spans="1:6">
      <c r="A496" s="5">
        <v>495</v>
      </c>
      <c r="B496" s="5" t="s">
        <v>543</v>
      </c>
      <c r="C496" s="15" t="s">
        <v>544</v>
      </c>
      <c r="D496" s="5">
        <f>COUNTIFS('Raw Entries'!B:B,ClasswiseUniqueStudents7[[#This Row],[Unique Student Name]],'Raw Entries'!C:C,ClasswiseUniqueStudents7[[#This Row],[Class]])</f>
        <v>1</v>
      </c>
      <c r="E496" s="15">
        <f>ClasswiseUniqueStudents7[[#This Row],[Total Count]]*500</f>
        <v>500</v>
      </c>
      <c r="F496" s="15"/>
    </row>
    <row r="497" spans="1:6">
      <c r="A497" s="5">
        <v>496</v>
      </c>
      <c r="B497" s="5" t="s">
        <v>543</v>
      </c>
      <c r="C497" s="15" t="s">
        <v>545</v>
      </c>
      <c r="D497" s="5">
        <f>COUNTIFS('Raw Entries'!B:B,ClasswiseUniqueStudents7[[#This Row],[Unique Student Name]],'Raw Entries'!C:C,ClasswiseUniqueStudents7[[#This Row],[Class]])</f>
        <v>3</v>
      </c>
      <c r="E497" s="15">
        <f>ClasswiseUniqueStudents7[[#This Row],[Total Count]]*500</f>
        <v>1500</v>
      </c>
      <c r="F497" s="15"/>
    </row>
    <row r="498" spans="1:6">
      <c r="A498" s="5">
        <v>497</v>
      </c>
      <c r="B498" s="5" t="s">
        <v>543</v>
      </c>
      <c r="C498" s="15" t="s">
        <v>546</v>
      </c>
      <c r="D498" s="5">
        <f>COUNTIFS('Raw Entries'!B:B,ClasswiseUniqueStudents7[[#This Row],[Unique Student Name]],'Raw Entries'!C:C,ClasswiseUniqueStudents7[[#This Row],[Class]])</f>
        <v>1</v>
      </c>
      <c r="E498" s="15">
        <f>ClasswiseUniqueStudents7[[#This Row],[Total Count]]*500</f>
        <v>500</v>
      </c>
      <c r="F498" s="15"/>
    </row>
    <row r="499" spans="1:6">
      <c r="A499" s="5">
        <v>498</v>
      </c>
      <c r="B499" s="5" t="s">
        <v>543</v>
      </c>
      <c r="C499" s="15" t="s">
        <v>547</v>
      </c>
      <c r="D499" s="5">
        <f>COUNTIFS('Raw Entries'!B:B,ClasswiseUniqueStudents7[[#This Row],[Unique Student Name]],'Raw Entries'!C:C,ClasswiseUniqueStudents7[[#This Row],[Class]])</f>
        <v>1</v>
      </c>
      <c r="E499" s="15">
        <f>ClasswiseUniqueStudents7[[#This Row],[Total Count]]*500</f>
        <v>500</v>
      </c>
      <c r="F499" s="15"/>
    </row>
    <row r="500" spans="1:6">
      <c r="A500" s="5">
        <v>499</v>
      </c>
      <c r="B500" s="5" t="s">
        <v>548</v>
      </c>
      <c r="C500" s="15" t="s">
        <v>549</v>
      </c>
      <c r="D500" s="5">
        <f>COUNTIFS('Raw Entries'!B:B,ClasswiseUniqueStudents7[[#This Row],[Unique Student Name]],'Raw Entries'!C:C,ClasswiseUniqueStudents7[[#This Row],[Class]])</f>
        <v>1</v>
      </c>
      <c r="E500" s="15">
        <f>ClasswiseUniqueStudents7[[#This Row],[Total Count]]*500</f>
        <v>500</v>
      </c>
      <c r="F500" s="15"/>
    </row>
    <row r="501" spans="1:6">
      <c r="A501" s="5">
        <v>500</v>
      </c>
      <c r="B501" s="5" t="s">
        <v>548</v>
      </c>
      <c r="C501" s="15" t="s">
        <v>550</v>
      </c>
      <c r="D501" s="5">
        <f>COUNTIFS('Raw Entries'!B:B,ClasswiseUniqueStudents7[[#This Row],[Unique Student Name]],'Raw Entries'!C:C,ClasswiseUniqueStudents7[[#This Row],[Class]])</f>
        <v>3</v>
      </c>
      <c r="E501" s="15">
        <f>ClasswiseUniqueStudents7[[#This Row],[Total Count]]*500</f>
        <v>1500</v>
      </c>
      <c r="F501" s="15"/>
    </row>
    <row r="502" spans="1:6">
      <c r="A502" s="5">
        <v>501</v>
      </c>
      <c r="B502" s="5" t="s">
        <v>548</v>
      </c>
      <c r="C502" s="15" t="s">
        <v>551</v>
      </c>
      <c r="D502" s="5">
        <f>COUNTIFS('Raw Entries'!B:B,ClasswiseUniqueStudents7[[#This Row],[Unique Student Name]],'Raw Entries'!C:C,ClasswiseUniqueStudents7[[#This Row],[Class]])</f>
        <v>1</v>
      </c>
      <c r="E502" s="15">
        <f>ClasswiseUniqueStudents7[[#This Row],[Total Count]]*500</f>
        <v>500</v>
      </c>
      <c r="F502" s="15"/>
    </row>
    <row r="503" spans="1:6">
      <c r="A503" s="5">
        <v>502</v>
      </c>
      <c r="B503" s="5" t="s">
        <v>548</v>
      </c>
      <c r="C503" s="15" t="s">
        <v>552</v>
      </c>
      <c r="D503" s="5">
        <f>COUNTIFS('Raw Entries'!B:B,ClasswiseUniqueStudents7[[#This Row],[Unique Student Name]],'Raw Entries'!C:C,ClasswiseUniqueStudents7[[#This Row],[Class]])</f>
        <v>3</v>
      </c>
      <c r="E503" s="15">
        <f>ClasswiseUniqueStudents7[[#This Row],[Total Count]]*500</f>
        <v>1500</v>
      </c>
      <c r="F503" s="15"/>
    </row>
    <row r="504" spans="1:6">
      <c r="A504" s="5">
        <v>503</v>
      </c>
      <c r="B504" s="5" t="s">
        <v>548</v>
      </c>
      <c r="C504" s="15" t="s">
        <v>553</v>
      </c>
      <c r="D504" s="5">
        <f>COUNTIFS('Raw Entries'!B:B,ClasswiseUniqueStudents7[[#This Row],[Unique Student Name]],'Raw Entries'!C:C,ClasswiseUniqueStudents7[[#This Row],[Class]])</f>
        <v>3</v>
      </c>
      <c r="E504" s="15">
        <f>ClasswiseUniqueStudents7[[#This Row],[Total Count]]*500</f>
        <v>1500</v>
      </c>
      <c r="F504" s="15"/>
    </row>
    <row r="505" spans="1:6">
      <c r="A505" s="5">
        <v>504</v>
      </c>
      <c r="B505" s="5" t="s">
        <v>548</v>
      </c>
      <c r="C505" s="15" t="s">
        <v>554</v>
      </c>
      <c r="D505" s="5">
        <f>COUNTIFS('Raw Entries'!B:B,ClasswiseUniqueStudents7[[#This Row],[Unique Student Name]],'Raw Entries'!C:C,ClasswiseUniqueStudents7[[#This Row],[Class]])</f>
        <v>1</v>
      </c>
      <c r="E505" s="15">
        <f>ClasswiseUniqueStudents7[[#This Row],[Total Count]]*500</f>
        <v>500</v>
      </c>
      <c r="F505" s="15"/>
    </row>
    <row r="506" spans="1:6">
      <c r="A506" s="5">
        <v>505</v>
      </c>
      <c r="B506" s="5" t="s">
        <v>548</v>
      </c>
      <c r="C506" s="15" t="s">
        <v>555</v>
      </c>
      <c r="D506" s="5">
        <f>COUNTIFS('Raw Entries'!B:B,ClasswiseUniqueStudents7[[#This Row],[Unique Student Name]],'Raw Entries'!C:C,ClasswiseUniqueStudents7[[#This Row],[Class]])</f>
        <v>1</v>
      </c>
      <c r="E506" s="15">
        <f>ClasswiseUniqueStudents7[[#This Row],[Total Count]]*500</f>
        <v>500</v>
      </c>
      <c r="F506" s="15"/>
    </row>
    <row r="507" spans="1:6">
      <c r="A507" s="5">
        <v>506</v>
      </c>
      <c r="B507" s="5" t="s">
        <v>556</v>
      </c>
      <c r="C507" s="15" t="s">
        <v>557</v>
      </c>
      <c r="D507" s="5">
        <f>COUNTIFS('Raw Entries'!B:B,ClasswiseUniqueStudents7[[#This Row],[Unique Student Name]],'Raw Entries'!C:C,ClasswiseUniqueStudents7[[#This Row],[Class]])</f>
        <v>2</v>
      </c>
      <c r="E507" s="15">
        <f>ClasswiseUniqueStudents7[[#This Row],[Total Count]]*500</f>
        <v>1000</v>
      </c>
      <c r="F507" s="15"/>
    </row>
    <row r="508" spans="1:6">
      <c r="A508" s="5">
        <v>507</v>
      </c>
      <c r="B508" s="5" t="s">
        <v>556</v>
      </c>
      <c r="C508" s="15" t="s">
        <v>558</v>
      </c>
      <c r="D508" s="5">
        <f>COUNTIFS('Raw Entries'!B:B,ClasswiseUniqueStudents7[[#This Row],[Unique Student Name]],'Raw Entries'!C:C,ClasswiseUniqueStudents7[[#This Row],[Class]])</f>
        <v>3</v>
      </c>
      <c r="E508" s="15">
        <f>ClasswiseUniqueStudents7[[#This Row],[Total Count]]*500</f>
        <v>1500</v>
      </c>
      <c r="F508" s="15"/>
    </row>
    <row r="509" spans="1:6">
      <c r="A509" s="5">
        <v>508</v>
      </c>
      <c r="B509" s="5" t="s">
        <v>556</v>
      </c>
      <c r="C509" s="15" t="s">
        <v>559</v>
      </c>
      <c r="D509" s="5">
        <f>COUNTIFS('Raw Entries'!B:B,ClasswiseUniqueStudents7[[#This Row],[Unique Student Name]],'Raw Entries'!C:C,ClasswiseUniqueStudents7[[#This Row],[Class]])</f>
        <v>3</v>
      </c>
      <c r="E509" s="15">
        <f>ClasswiseUniqueStudents7[[#This Row],[Total Count]]*500</f>
        <v>1500</v>
      </c>
      <c r="F509" s="15"/>
    </row>
    <row r="510" spans="1:6">
      <c r="A510" s="5">
        <v>509</v>
      </c>
      <c r="B510" s="5" t="s">
        <v>556</v>
      </c>
      <c r="C510" s="15" t="s">
        <v>560</v>
      </c>
      <c r="D510" s="5">
        <f>COUNTIFS('Raw Entries'!B:B,ClasswiseUniqueStudents7[[#This Row],[Unique Student Name]],'Raw Entries'!C:C,ClasswiseUniqueStudents7[[#This Row],[Class]])</f>
        <v>3</v>
      </c>
      <c r="E510" s="15">
        <f>ClasswiseUniqueStudents7[[#This Row],[Total Count]]*500</f>
        <v>1500</v>
      </c>
      <c r="F510" s="15"/>
    </row>
    <row r="511" spans="1:6">
      <c r="A511" s="5">
        <v>510</v>
      </c>
      <c r="B511" s="5" t="s">
        <v>556</v>
      </c>
      <c r="C511" s="15" t="s">
        <v>561</v>
      </c>
      <c r="D511" s="5">
        <f>COUNTIFS('Raw Entries'!B:B,ClasswiseUniqueStudents7[[#This Row],[Unique Student Name]],'Raw Entries'!C:C,ClasswiseUniqueStudents7[[#This Row],[Class]])</f>
        <v>1</v>
      </c>
      <c r="E511" s="15">
        <f>ClasswiseUniqueStudents7[[#This Row],[Total Count]]*500</f>
        <v>500</v>
      </c>
      <c r="F511" s="15"/>
    </row>
    <row r="512" spans="1:6">
      <c r="A512" s="5">
        <v>511</v>
      </c>
      <c r="B512" s="5" t="s">
        <v>556</v>
      </c>
      <c r="C512" s="15" t="s">
        <v>562</v>
      </c>
      <c r="D512" s="5">
        <f>COUNTIFS('Raw Entries'!B:B,ClasswiseUniqueStudents7[[#This Row],[Unique Student Name]],'Raw Entries'!C:C,ClasswiseUniqueStudents7[[#This Row],[Class]])</f>
        <v>1</v>
      </c>
      <c r="E512" s="15">
        <f>ClasswiseUniqueStudents7[[#This Row],[Total Count]]*500</f>
        <v>500</v>
      </c>
      <c r="F512" s="15"/>
    </row>
    <row r="513" spans="1:6">
      <c r="A513" s="5">
        <v>512</v>
      </c>
      <c r="B513" s="5" t="s">
        <v>556</v>
      </c>
      <c r="C513" s="15" t="s">
        <v>563</v>
      </c>
      <c r="D513" s="5">
        <f>COUNTIFS('Raw Entries'!B:B,ClasswiseUniqueStudents7[[#This Row],[Unique Student Name]],'Raw Entries'!C:C,ClasswiseUniqueStudents7[[#This Row],[Class]])</f>
        <v>3</v>
      </c>
      <c r="E513" s="15">
        <f>ClasswiseUniqueStudents7[[#This Row],[Total Count]]*500</f>
        <v>1500</v>
      </c>
      <c r="F513" s="15"/>
    </row>
    <row r="514" spans="1:6">
      <c r="A514" s="5">
        <v>513</v>
      </c>
      <c r="B514" s="5" t="s">
        <v>556</v>
      </c>
      <c r="C514" s="15" t="s">
        <v>564</v>
      </c>
      <c r="D514" s="5">
        <f>COUNTIFS('Raw Entries'!B:B,ClasswiseUniqueStudents7[[#This Row],[Unique Student Name]],'Raw Entries'!C:C,ClasswiseUniqueStudents7[[#This Row],[Class]])</f>
        <v>1</v>
      </c>
      <c r="E514" s="15">
        <f>ClasswiseUniqueStudents7[[#This Row],[Total Count]]*500</f>
        <v>500</v>
      </c>
      <c r="F514" s="15"/>
    </row>
    <row r="515" spans="1:6">
      <c r="A515" s="5">
        <v>514</v>
      </c>
      <c r="B515" s="5" t="s">
        <v>565</v>
      </c>
      <c r="C515" s="15" t="s">
        <v>566</v>
      </c>
      <c r="D515" s="5">
        <f>COUNTIFS('Raw Entries'!B:B,ClasswiseUniqueStudents7[[#This Row],[Unique Student Name]],'Raw Entries'!C:C,ClasswiseUniqueStudents7[[#This Row],[Class]])</f>
        <v>1</v>
      </c>
      <c r="E515" s="15">
        <f>ClasswiseUniqueStudents7[[#This Row],[Total Count]]*500</f>
        <v>500</v>
      </c>
      <c r="F515" s="15"/>
    </row>
    <row r="516" spans="1:6">
      <c r="A516" s="5">
        <v>515</v>
      </c>
      <c r="B516" s="5" t="s">
        <v>565</v>
      </c>
      <c r="C516" s="15" t="s">
        <v>567</v>
      </c>
      <c r="D516" s="5">
        <f>COUNTIFS('Raw Entries'!B:B,ClasswiseUniqueStudents7[[#This Row],[Unique Student Name]],'Raw Entries'!C:C,ClasswiseUniqueStudents7[[#This Row],[Class]])</f>
        <v>3</v>
      </c>
      <c r="E516" s="15">
        <f>ClasswiseUniqueStudents7[[#This Row],[Total Count]]*500</f>
        <v>1500</v>
      </c>
      <c r="F516" s="15"/>
    </row>
    <row r="517" spans="1:6">
      <c r="A517" s="5">
        <v>516</v>
      </c>
      <c r="B517" s="5" t="s">
        <v>565</v>
      </c>
      <c r="C517" s="15" t="s">
        <v>568</v>
      </c>
      <c r="D517" s="5">
        <f>COUNTIFS('Raw Entries'!B:B,ClasswiseUniqueStudents7[[#This Row],[Unique Student Name]],'Raw Entries'!C:C,ClasswiseUniqueStudents7[[#This Row],[Class]])</f>
        <v>1</v>
      </c>
      <c r="E517" s="15">
        <f>ClasswiseUniqueStudents7[[#This Row],[Total Count]]*500</f>
        <v>500</v>
      </c>
      <c r="F517" s="15"/>
    </row>
    <row r="518" spans="1:6">
      <c r="A518" s="5">
        <v>517</v>
      </c>
      <c r="B518" s="5" t="s">
        <v>569</v>
      </c>
      <c r="C518" s="15" t="s">
        <v>570</v>
      </c>
      <c r="D518" s="5">
        <f>COUNTIFS('Raw Entries'!B:B,ClasswiseUniqueStudents7[[#This Row],[Unique Student Name]],'Raw Entries'!C:C,ClasswiseUniqueStudents7[[#This Row],[Class]])</f>
        <v>1</v>
      </c>
      <c r="E518" s="15">
        <f>ClasswiseUniqueStudents7[[#This Row],[Total Count]]*500</f>
        <v>500</v>
      </c>
      <c r="F518" s="15"/>
    </row>
    <row r="519" spans="1:6">
      <c r="A519" s="5">
        <v>518</v>
      </c>
      <c r="B519" s="5" t="s">
        <v>569</v>
      </c>
      <c r="C519" s="15" t="s">
        <v>571</v>
      </c>
      <c r="D519" s="5">
        <f>COUNTIFS('Raw Entries'!B:B,ClasswiseUniqueStudents7[[#This Row],[Unique Student Name]],'Raw Entries'!C:C,ClasswiseUniqueStudents7[[#This Row],[Class]])</f>
        <v>1</v>
      </c>
      <c r="E519" s="15">
        <f>ClasswiseUniqueStudents7[[#This Row],[Total Count]]*500</f>
        <v>500</v>
      </c>
      <c r="F519" s="15"/>
    </row>
    <row r="520" spans="1:6">
      <c r="A520" s="5">
        <v>519</v>
      </c>
      <c r="B520" s="5" t="s">
        <v>572</v>
      </c>
      <c r="C520" s="15" t="s">
        <v>573</v>
      </c>
      <c r="D520" s="5">
        <f>COUNTIFS('Raw Entries'!B:B,ClasswiseUniqueStudents7[[#This Row],[Unique Student Name]],'Raw Entries'!C:C,ClasswiseUniqueStudents7[[#This Row],[Class]])</f>
        <v>1</v>
      </c>
      <c r="E520" s="15">
        <f>ClasswiseUniqueStudents7[[#This Row],[Total Count]]*500</f>
        <v>500</v>
      </c>
      <c r="F520" s="15"/>
    </row>
    <row r="521" spans="1:6">
      <c r="A521" s="5">
        <v>520</v>
      </c>
      <c r="B521" s="5" t="s">
        <v>574</v>
      </c>
      <c r="C521" s="15" t="s">
        <v>575</v>
      </c>
      <c r="D521" s="5">
        <f>COUNTIFS('Raw Entries'!B:B,ClasswiseUniqueStudents7[[#This Row],[Unique Student Name]],'Raw Entries'!C:C,ClasswiseUniqueStudents7[[#This Row],[Class]])</f>
        <v>3</v>
      </c>
      <c r="E521" s="15">
        <f>ClasswiseUniqueStudents7[[#This Row],[Total Count]]*500</f>
        <v>1500</v>
      </c>
      <c r="F521" s="15"/>
    </row>
    <row r="522" spans="1:6">
      <c r="A522" s="5">
        <v>521</v>
      </c>
      <c r="B522" s="5" t="s">
        <v>574</v>
      </c>
      <c r="C522" s="15" t="s">
        <v>576</v>
      </c>
      <c r="D522" s="5">
        <f>COUNTIFS('Raw Entries'!B:B,ClasswiseUniqueStudents7[[#This Row],[Unique Student Name]],'Raw Entries'!C:C,ClasswiseUniqueStudents7[[#This Row],[Class]])</f>
        <v>2</v>
      </c>
      <c r="E522" s="15">
        <f>ClasswiseUniqueStudents7[[#This Row],[Total Count]]*500</f>
        <v>1000</v>
      </c>
      <c r="F522" s="15"/>
    </row>
    <row r="523" spans="1:6">
      <c r="A523" s="5">
        <v>522</v>
      </c>
      <c r="B523" s="5" t="s">
        <v>577</v>
      </c>
      <c r="C523" s="15" t="s">
        <v>578</v>
      </c>
      <c r="D523" s="5">
        <f>COUNTIFS('Raw Entries'!B:B,ClasswiseUniqueStudents7[[#This Row],[Unique Student Name]],'Raw Entries'!C:C,ClasswiseUniqueStudents7[[#This Row],[Class]])</f>
        <v>3</v>
      </c>
      <c r="E523" s="15">
        <f>ClasswiseUniqueStudents7[[#This Row],[Total Count]]*500</f>
        <v>1500</v>
      </c>
      <c r="F523" s="15"/>
    </row>
    <row r="524" spans="1:6">
      <c r="A524" s="5">
        <v>523</v>
      </c>
      <c r="B524" s="5" t="s">
        <v>579</v>
      </c>
      <c r="C524" s="15" t="s">
        <v>580</v>
      </c>
      <c r="D524" s="5">
        <f>COUNTIFS('Raw Entries'!B:B,ClasswiseUniqueStudents7[[#This Row],[Unique Student Name]],'Raw Entries'!C:C,ClasswiseUniqueStudents7[[#This Row],[Class]])</f>
        <v>1</v>
      </c>
      <c r="E524" s="15">
        <f>ClasswiseUniqueStudents7[[#This Row],[Total Count]]*500</f>
        <v>500</v>
      </c>
      <c r="F524" s="15"/>
    </row>
    <row r="525" spans="1:6">
      <c r="A525" s="5">
        <v>524</v>
      </c>
      <c r="B525" s="12" t="s">
        <v>252</v>
      </c>
      <c r="C525" s="13" t="s">
        <v>593</v>
      </c>
      <c r="D525" s="5">
        <f>COUNTIFS('Raw Entries'!B:B,ClasswiseUniqueStudents7[[#This Row],[Unique Student Name]],'Raw Entries'!C:C,ClasswiseUniqueStudents7[[#This Row],[Class]])</f>
        <v>3</v>
      </c>
      <c r="E525" s="15">
        <f>ClasswiseUniqueStudents7[[#This Row],[Total Count]]*500</f>
        <v>1500</v>
      </c>
      <c r="F525" s="15"/>
    </row>
    <row r="526" spans="1:6">
      <c r="A526" s="5">
        <v>525</v>
      </c>
      <c r="B526" s="12" t="s">
        <v>581</v>
      </c>
      <c r="C526" s="13" t="s">
        <v>594</v>
      </c>
      <c r="D526" s="5">
        <f>COUNTIFS('Raw Entries'!B:B,ClasswiseUniqueStudents7[[#This Row],[Unique Student Name]],'Raw Entries'!C:C,ClasswiseUniqueStudents7[[#This Row],[Class]])</f>
        <v>3</v>
      </c>
      <c r="E526" s="15">
        <f>ClasswiseUniqueStudents7[[#This Row],[Total Count]]*500</f>
        <v>1500</v>
      </c>
      <c r="F526" s="15"/>
    </row>
    <row r="527" spans="1:6">
      <c r="A527" s="5">
        <v>526</v>
      </c>
      <c r="B527" s="3" t="s">
        <v>366</v>
      </c>
      <c r="C527" s="1" t="s">
        <v>595</v>
      </c>
      <c r="D527" s="5">
        <f>COUNTIFS('Raw Entries'!B:B,ClasswiseUniqueStudents7[[#This Row],[Unique Student Name]],'Raw Entries'!C:C,ClasswiseUniqueStudents7[[#This Row],[Class]])</f>
        <v>3</v>
      </c>
      <c r="E527" s="15">
        <f>ClasswiseUniqueStudents7[[#This Row],[Total Count]]*500</f>
        <v>1500</v>
      </c>
      <c r="F527" s="15"/>
    </row>
    <row r="528" spans="1:6">
      <c r="A528" s="5">
        <v>527</v>
      </c>
      <c r="B528" s="3" t="s">
        <v>488</v>
      </c>
      <c r="C528" s="1" t="s">
        <v>596</v>
      </c>
      <c r="D528" s="5">
        <f>COUNTIFS('Raw Entries'!B:B,ClasswiseUniqueStudents7[[#This Row],[Unique Student Name]],'Raw Entries'!C:C,ClasswiseUniqueStudents7[[#This Row],[Class]])</f>
        <v>3</v>
      </c>
      <c r="E528" s="15">
        <f>ClasswiseUniqueStudents7[[#This Row],[Total Count]]*500</f>
        <v>1500</v>
      </c>
      <c r="F528" s="15"/>
    </row>
    <row r="529" spans="1:6">
      <c r="A529" s="5">
        <v>528</v>
      </c>
      <c r="B529" s="3" t="s">
        <v>80</v>
      </c>
      <c r="C529" s="1" t="s">
        <v>597</v>
      </c>
      <c r="D529" s="5">
        <f>COUNTIFS('Raw Entries'!B:B,ClasswiseUniqueStudents7[[#This Row],[Unique Student Name]],'Raw Entries'!C:C,ClasswiseUniqueStudents7[[#This Row],[Class]])</f>
        <v>3</v>
      </c>
      <c r="E529" s="15">
        <f>ClasswiseUniqueStudents7[[#This Row],[Total Count]]*500</f>
        <v>1500</v>
      </c>
      <c r="F529" s="15"/>
    </row>
    <row r="530" spans="1:6">
      <c r="A530" s="5">
        <v>529</v>
      </c>
      <c r="B530" s="3" t="s">
        <v>294</v>
      </c>
      <c r="C530" s="1" t="s">
        <v>598</v>
      </c>
      <c r="D530" s="5">
        <f>COUNTIFS('Raw Entries'!B:B,ClasswiseUniqueStudents7[[#This Row],[Unique Student Name]],'Raw Entries'!C:C,ClasswiseUniqueStudents7[[#This Row],[Class]])</f>
        <v>1</v>
      </c>
      <c r="E530" s="15">
        <f>ClasswiseUniqueStudents7[[#This Row],[Total Count]]*500</f>
        <v>500</v>
      </c>
      <c r="F530" s="15"/>
    </row>
    <row r="531" spans="1:6">
      <c r="A531" s="5">
        <v>530</v>
      </c>
      <c r="B531" s="3" t="s">
        <v>496</v>
      </c>
      <c r="C531" s="1" t="s">
        <v>599</v>
      </c>
      <c r="D531" s="5">
        <f>COUNTIFS('Raw Entries'!B:B,ClasswiseUniqueStudents7[[#This Row],[Unique Student Name]],'Raw Entries'!C:C,ClasswiseUniqueStudents7[[#This Row],[Class]])</f>
        <v>1</v>
      </c>
      <c r="E531" s="15">
        <f>ClasswiseUniqueStudents7[[#This Row],[Total Count]]*500</f>
        <v>500</v>
      </c>
      <c r="F531" s="15"/>
    </row>
    <row r="532" spans="1:6">
      <c r="A532" s="5">
        <v>531</v>
      </c>
      <c r="B532" s="3" t="s">
        <v>113</v>
      </c>
      <c r="C532" s="1" t="s">
        <v>600</v>
      </c>
      <c r="D532" s="5">
        <f>COUNTIFS('Raw Entries'!B:B,ClasswiseUniqueStudents7[[#This Row],[Unique Student Name]],'Raw Entries'!C:C,ClasswiseUniqueStudents7[[#This Row],[Class]])</f>
        <v>1</v>
      </c>
      <c r="E532" s="15">
        <f>ClasswiseUniqueStudents7[[#This Row],[Total Count]]*500</f>
        <v>500</v>
      </c>
      <c r="F532" s="15"/>
    </row>
    <row r="533" spans="1:6">
      <c r="A533" s="5">
        <v>532</v>
      </c>
      <c r="B533" s="3" t="s">
        <v>138</v>
      </c>
      <c r="C533" s="1" t="s">
        <v>601</v>
      </c>
      <c r="D533" s="5">
        <f>COUNTIFS('Raw Entries'!B:B,ClasswiseUniqueStudents7[[#This Row],[Unique Student Name]],'Raw Entries'!C:C,ClasswiseUniqueStudents7[[#This Row],[Class]])</f>
        <v>1</v>
      </c>
      <c r="E533" s="15">
        <f>ClasswiseUniqueStudents7[[#This Row],[Total Count]]*500</f>
        <v>500</v>
      </c>
      <c r="F533" s="15"/>
    </row>
    <row r="534" spans="1:6">
      <c r="A534" s="5">
        <v>533</v>
      </c>
      <c r="B534" s="3" t="s">
        <v>397</v>
      </c>
      <c r="C534" s="1" t="s">
        <v>602</v>
      </c>
      <c r="D534" s="5">
        <f>COUNTIFS('Raw Entries'!B:B,ClasswiseUniqueStudents7[[#This Row],[Unique Student Name]],'Raw Entries'!C:C,ClasswiseUniqueStudents7[[#This Row],[Class]])</f>
        <v>3</v>
      </c>
      <c r="E534" s="15">
        <f>ClasswiseUniqueStudents7[[#This Row],[Total Count]]*500</f>
        <v>1500</v>
      </c>
      <c r="F534" s="15"/>
    </row>
    <row r="535" spans="1:6">
      <c r="A535" s="5">
        <v>534</v>
      </c>
      <c r="B535" s="3" t="s">
        <v>409</v>
      </c>
      <c r="C535" s="1" t="s">
        <v>603</v>
      </c>
      <c r="D535" s="5">
        <f>COUNTIFS('Raw Entries'!B:B,ClasswiseUniqueStudents7[[#This Row],[Unique Student Name]],'Raw Entries'!C:C,ClasswiseUniqueStudents7[[#This Row],[Class]])</f>
        <v>3</v>
      </c>
      <c r="E535" s="15">
        <f>ClasswiseUniqueStudents7[[#This Row],[Total Count]]*500</f>
        <v>1500</v>
      </c>
      <c r="F535" s="15"/>
    </row>
    <row r="536" spans="1:6">
      <c r="A536" s="5">
        <v>535</v>
      </c>
      <c r="B536" s="3" t="s">
        <v>102</v>
      </c>
      <c r="C536" s="1" t="s">
        <v>604</v>
      </c>
      <c r="D536" s="5">
        <f>COUNTIFS('Raw Entries'!B:B,ClasswiseUniqueStudents7[[#This Row],[Unique Student Name]],'Raw Entries'!C:C,ClasswiseUniqueStudents7[[#This Row],[Class]])</f>
        <v>1</v>
      </c>
      <c r="E536" s="15">
        <f>ClasswiseUniqueStudents7[[#This Row],[Total Count]]*500</f>
        <v>500</v>
      </c>
      <c r="F536" s="15"/>
    </row>
    <row r="537" spans="1:6">
      <c r="A537" s="5">
        <v>536</v>
      </c>
      <c r="B537" s="3" t="s">
        <v>386</v>
      </c>
      <c r="C537" s="1" t="s">
        <v>605</v>
      </c>
      <c r="D537" s="5">
        <f>COUNTIFS('Raw Entries'!B:B,ClasswiseUniqueStudents7[[#This Row],[Unique Student Name]],'Raw Entries'!C:C,ClasswiseUniqueStudents7[[#This Row],[Class]])</f>
        <v>1</v>
      </c>
      <c r="E537" s="15">
        <f>ClasswiseUniqueStudents7[[#This Row],[Total Count]]*500</f>
        <v>500</v>
      </c>
      <c r="F537" s="15"/>
    </row>
    <row r="538" spans="1:6">
      <c r="A538" s="5">
        <v>537</v>
      </c>
      <c r="B538" s="3" t="s">
        <v>80</v>
      </c>
      <c r="C538" s="1" t="s">
        <v>606</v>
      </c>
      <c r="D538" s="5">
        <f>COUNTIFS('Raw Entries'!B:B,ClasswiseUniqueStudents7[[#This Row],[Unique Student Name]],'Raw Entries'!C:C,ClasswiseUniqueStudents7[[#This Row],[Class]])</f>
        <v>1</v>
      </c>
      <c r="E538" s="15">
        <f>ClasswiseUniqueStudents7[[#This Row],[Total Count]]*500</f>
        <v>500</v>
      </c>
      <c r="F538" s="15"/>
    </row>
    <row r="539" spans="1:6">
      <c r="A539" s="5">
        <v>538</v>
      </c>
      <c r="B539" s="3" t="s">
        <v>340</v>
      </c>
      <c r="C539" s="1" t="s">
        <v>607</v>
      </c>
      <c r="D539" s="5">
        <f>COUNTIFS('Raw Entries'!B:B,ClasswiseUniqueStudents7[[#This Row],[Unique Student Name]],'Raw Entries'!C:C,ClasswiseUniqueStudents7[[#This Row],[Class]])</f>
        <v>1</v>
      </c>
      <c r="E539" s="15">
        <f>ClasswiseUniqueStudents7[[#This Row],[Total Count]]*500</f>
        <v>500</v>
      </c>
      <c r="F539" s="15"/>
    </row>
    <row r="540" spans="1:6">
      <c r="A540" s="5">
        <v>539</v>
      </c>
      <c r="B540" s="3" t="s">
        <v>294</v>
      </c>
      <c r="C540" s="1" t="s">
        <v>608</v>
      </c>
      <c r="D540" s="5">
        <f>COUNTIFS('Raw Entries'!B:B,ClasswiseUniqueStudents7[[#This Row],[Unique Student Name]],'Raw Entries'!C:C,ClasswiseUniqueStudents7[[#This Row],[Class]])</f>
        <v>3</v>
      </c>
      <c r="E540" s="15">
        <f>ClasswiseUniqueStudents7[[#This Row],[Total Count]]*500</f>
        <v>1500</v>
      </c>
      <c r="F540" s="15"/>
    </row>
    <row r="541" spans="1:6">
      <c r="A541" s="5">
        <v>540</v>
      </c>
      <c r="B541" s="3" t="s">
        <v>159</v>
      </c>
      <c r="C541" s="1" t="s">
        <v>609</v>
      </c>
      <c r="D541" s="5">
        <f>COUNTIFS('Raw Entries'!B:B,ClasswiseUniqueStudents7[[#This Row],[Unique Student Name]],'Raw Entries'!C:C,ClasswiseUniqueStudents7[[#This Row],[Class]])</f>
        <v>3</v>
      </c>
      <c r="E541" s="15">
        <f>ClasswiseUniqueStudents7[[#This Row],[Total Count]]*500</f>
        <v>1500</v>
      </c>
      <c r="F541" s="15"/>
    </row>
    <row r="542" spans="1:6">
      <c r="A542" s="5">
        <v>541</v>
      </c>
      <c r="B542" s="3" t="s">
        <v>119</v>
      </c>
      <c r="C542" s="1" t="s">
        <v>610</v>
      </c>
      <c r="D542" s="5">
        <f>COUNTIFS('Raw Entries'!B:B,ClasswiseUniqueStudents7[[#This Row],[Unique Student Name]],'Raw Entries'!C:C,ClasswiseUniqueStudents7[[#This Row],[Class]])</f>
        <v>3</v>
      </c>
      <c r="E542" s="15">
        <f>ClasswiseUniqueStudents7[[#This Row],[Total Count]]*500</f>
        <v>1500</v>
      </c>
      <c r="F542" s="15"/>
    </row>
    <row r="543" spans="1:6">
      <c r="A543" s="5">
        <v>542</v>
      </c>
      <c r="B543" s="3" t="s">
        <v>488</v>
      </c>
      <c r="C543" s="1" t="s">
        <v>611</v>
      </c>
      <c r="D543" s="5">
        <f>COUNTIFS('Raw Entries'!B:B,ClasswiseUniqueStudents7[[#This Row],[Unique Student Name]],'Raw Entries'!C:C,ClasswiseUniqueStudents7[[#This Row],[Class]])</f>
        <v>3</v>
      </c>
      <c r="E543" s="15">
        <f>ClasswiseUniqueStudents7[[#This Row],[Total Count]]*500</f>
        <v>1500</v>
      </c>
      <c r="F543" s="15"/>
    </row>
    <row r="544" spans="1:6">
      <c r="A544" s="5">
        <v>543</v>
      </c>
      <c r="B544" s="3" t="s">
        <v>138</v>
      </c>
      <c r="C544" s="1" t="s">
        <v>612</v>
      </c>
      <c r="D544" s="5">
        <f>COUNTIFS('Raw Entries'!B:B,ClasswiseUniqueStudents7[[#This Row],[Unique Student Name]],'Raw Entries'!C:C,ClasswiseUniqueStudents7[[#This Row],[Class]])</f>
        <v>3</v>
      </c>
      <c r="E544" s="15">
        <f>ClasswiseUniqueStudents7[[#This Row],[Total Count]]*500</f>
        <v>1500</v>
      </c>
      <c r="F544" s="15"/>
    </row>
    <row r="545" spans="1:6">
      <c r="A545" s="5">
        <v>544</v>
      </c>
      <c r="B545" s="3" t="s">
        <v>252</v>
      </c>
      <c r="C545" s="1" t="s">
        <v>613</v>
      </c>
      <c r="D545" s="5">
        <f>COUNTIFS('Raw Entries'!B:B,ClasswiseUniqueStudents7[[#This Row],[Unique Student Name]],'Raw Entries'!C:C,ClasswiseUniqueStudents7[[#This Row],[Class]])</f>
        <v>3</v>
      </c>
      <c r="E545" s="15">
        <f>ClasswiseUniqueStudents7[[#This Row],[Total Count]]*500</f>
        <v>1500</v>
      </c>
      <c r="F545" s="15"/>
    </row>
    <row r="546" spans="1:6">
      <c r="A546" s="5">
        <v>545</v>
      </c>
      <c r="B546" s="3" t="s">
        <v>62</v>
      </c>
      <c r="C546" s="1" t="s">
        <v>614</v>
      </c>
      <c r="D546" s="5">
        <f>COUNTIFS('Raw Entries'!B:B,ClasswiseUniqueStudents7[[#This Row],[Unique Student Name]],'Raw Entries'!C:C,ClasswiseUniqueStudents7[[#This Row],[Class]])</f>
        <v>1</v>
      </c>
      <c r="E546" s="15">
        <f>ClasswiseUniqueStudents7[[#This Row],[Total Count]]*500</f>
        <v>500</v>
      </c>
      <c r="F546" s="15"/>
    </row>
    <row r="547" spans="1:6">
      <c r="A547" s="5">
        <v>546</v>
      </c>
      <c r="B547" s="3" t="s">
        <v>324</v>
      </c>
      <c r="C547" s="1" t="s">
        <v>615</v>
      </c>
      <c r="D547" s="5">
        <f>COUNTIFS('Raw Entries'!B:B,ClasswiseUniqueStudents7[[#This Row],[Unique Student Name]],'Raw Entries'!C:C,ClasswiseUniqueStudents7[[#This Row],[Class]])</f>
        <v>1</v>
      </c>
      <c r="E547" s="15">
        <f>ClasswiseUniqueStudents7[[#This Row],[Total Count]]*500</f>
        <v>500</v>
      </c>
      <c r="F547" s="15"/>
    </row>
    <row r="548" spans="1:6">
      <c r="A548" s="5">
        <v>547</v>
      </c>
      <c r="B548" s="3" t="s">
        <v>159</v>
      </c>
      <c r="C548" s="1" t="s">
        <v>616</v>
      </c>
      <c r="D548" s="5">
        <f>COUNTIFS('Raw Entries'!B:B,ClasswiseUniqueStudents7[[#This Row],[Unique Student Name]],'Raw Entries'!C:C,ClasswiseUniqueStudents7[[#This Row],[Class]])</f>
        <v>1</v>
      </c>
      <c r="E548" s="15">
        <f>ClasswiseUniqueStudents7[[#This Row],[Total Count]]*500</f>
        <v>500</v>
      </c>
      <c r="F548" s="15"/>
    </row>
    <row r="549" spans="1:6">
      <c r="A549" s="5">
        <v>548</v>
      </c>
      <c r="B549" s="3" t="s">
        <v>299</v>
      </c>
      <c r="C549" s="1" t="s">
        <v>617</v>
      </c>
      <c r="D549" s="5">
        <f>COUNTIFS('Raw Entries'!B:B,ClasswiseUniqueStudents7[[#This Row],[Unique Student Name]],'Raw Entries'!C:C,ClasswiseUniqueStudents7[[#This Row],[Class]])</f>
        <v>1</v>
      </c>
      <c r="E549" s="15">
        <f>ClasswiseUniqueStudents7[[#This Row],[Total Count]]*500</f>
        <v>500</v>
      </c>
      <c r="F549" s="15"/>
    </row>
    <row r="550" spans="1:6">
      <c r="A550" s="5">
        <v>549</v>
      </c>
      <c r="B550" s="3" t="s">
        <v>574</v>
      </c>
      <c r="C550" s="1" t="s">
        <v>618</v>
      </c>
      <c r="D550" s="5">
        <f>COUNTIFS('Raw Entries'!B:B,ClasswiseUniqueStudents7[[#This Row],[Unique Student Name]],'Raw Entries'!C:C,ClasswiseUniqueStudents7[[#This Row],[Class]])</f>
        <v>2</v>
      </c>
      <c r="E550" s="15">
        <f>ClasswiseUniqueStudents7[[#This Row],[Total Count]]*500</f>
        <v>1000</v>
      </c>
      <c r="F550" s="15"/>
    </row>
    <row r="551" spans="1:6">
      <c r="A551" s="5">
        <v>550</v>
      </c>
      <c r="B551" s="3" t="s">
        <v>303</v>
      </c>
      <c r="C551" s="1" t="s">
        <v>237</v>
      </c>
      <c r="D551" s="5">
        <f>COUNTIFS('Raw Entries'!B:B,ClasswiseUniqueStudents7[[#This Row],[Unique Student Name]],'Raw Entries'!C:C,ClasswiseUniqueStudents7[[#This Row],[Class]])</f>
        <v>1</v>
      </c>
      <c r="E551" s="15">
        <f>ClasswiseUniqueStudents7[[#This Row],[Total Count]]*500</f>
        <v>500</v>
      </c>
      <c r="F551" s="15"/>
    </row>
    <row r="552" spans="1:6">
      <c r="A552" s="5">
        <v>551</v>
      </c>
      <c r="B552" s="3" t="s">
        <v>211</v>
      </c>
      <c r="C552" s="1" t="s">
        <v>619</v>
      </c>
      <c r="D552" s="5">
        <f>COUNTIFS('Raw Entries'!B:B,ClasswiseUniqueStudents7[[#This Row],[Unique Student Name]],'Raw Entries'!C:C,ClasswiseUniqueStudents7[[#This Row],[Class]])</f>
        <v>3</v>
      </c>
      <c r="E552" s="15">
        <f>ClasswiseUniqueStudents7[[#This Row],[Total Count]]*500</f>
        <v>1500</v>
      </c>
      <c r="F552" s="15"/>
    </row>
    <row r="553" spans="1:6">
      <c r="A553" s="5">
        <v>552</v>
      </c>
      <c r="B553" s="3" t="s">
        <v>429</v>
      </c>
      <c r="C553" s="1" t="s">
        <v>620</v>
      </c>
      <c r="D553" s="5">
        <f>COUNTIFS('Raw Entries'!B:B,ClasswiseUniqueStudents7[[#This Row],[Unique Student Name]],'Raw Entries'!C:C,ClasswiseUniqueStudents7[[#This Row],[Class]])</f>
        <v>1</v>
      </c>
      <c r="E553" s="15">
        <f>ClasswiseUniqueStudents7[[#This Row],[Total Count]]*500</f>
        <v>500</v>
      </c>
      <c r="F553" s="15"/>
    </row>
    <row r="554" spans="1:6">
      <c r="A554" s="5">
        <v>553</v>
      </c>
      <c r="B554" s="3" t="s">
        <v>429</v>
      </c>
      <c r="C554" s="1" t="s">
        <v>621</v>
      </c>
      <c r="D554" s="5">
        <f>COUNTIFS('Raw Entries'!B:B,ClasswiseUniqueStudents7[[#This Row],[Unique Student Name]],'Raw Entries'!C:C,ClasswiseUniqueStudents7[[#This Row],[Class]])</f>
        <v>1</v>
      </c>
      <c r="E554" s="15">
        <f>ClasswiseUniqueStudents7[[#This Row],[Total Count]]*500</f>
        <v>500</v>
      </c>
      <c r="F554" s="15"/>
    </row>
    <row r="555" spans="1:6">
      <c r="A555" s="5">
        <v>554</v>
      </c>
      <c r="B555" s="3" t="s">
        <v>526</v>
      </c>
      <c r="C555" s="1" t="s">
        <v>622</v>
      </c>
      <c r="D555" s="5">
        <f>COUNTIFS('Raw Entries'!B:B,ClasswiseUniqueStudents7[[#This Row],[Unique Student Name]],'Raw Entries'!C:C,ClasswiseUniqueStudents7[[#This Row],[Class]])</f>
        <v>3</v>
      </c>
      <c r="E555" s="15">
        <f>ClasswiseUniqueStudents7[[#This Row],[Total Count]]*500</f>
        <v>1500</v>
      </c>
      <c r="F555" s="15"/>
    </row>
    <row r="556" spans="1:6">
      <c r="A556" s="5">
        <v>555</v>
      </c>
      <c r="B556" s="3" t="s">
        <v>4</v>
      </c>
      <c r="C556" s="1" t="s">
        <v>623</v>
      </c>
      <c r="D556" s="5">
        <f>COUNTIFS('Raw Entries'!B:B,ClasswiseUniqueStudents7[[#This Row],[Unique Student Name]],'Raw Entries'!C:C,ClasswiseUniqueStudents7[[#This Row],[Class]])</f>
        <v>3</v>
      </c>
      <c r="E556" s="15">
        <f>ClasswiseUniqueStudents7[[#This Row],[Total Count]]*500</f>
        <v>1500</v>
      </c>
      <c r="F556" s="15"/>
    </row>
    <row r="557" spans="1:6">
      <c r="A557" s="5">
        <v>556</v>
      </c>
      <c r="B557" s="3" t="s">
        <v>4</v>
      </c>
      <c r="C557" s="1" t="s">
        <v>624</v>
      </c>
      <c r="D557" s="5">
        <f>COUNTIFS('Raw Entries'!B:B,ClasswiseUniqueStudents7[[#This Row],[Unique Student Name]],'Raw Entries'!C:C,ClasswiseUniqueStudents7[[#This Row],[Class]])</f>
        <v>1</v>
      </c>
      <c r="E557" s="15">
        <f>ClasswiseUniqueStudents7[[#This Row],[Total Count]]*500</f>
        <v>500</v>
      </c>
      <c r="F557" s="15"/>
    </row>
    <row r="558" spans="1:6">
      <c r="A558" s="5">
        <v>557</v>
      </c>
      <c r="B558" s="3" t="s">
        <v>340</v>
      </c>
      <c r="C558" s="1" t="s">
        <v>625</v>
      </c>
      <c r="D558" s="5">
        <f>COUNTIFS('Raw Entries'!B:B,ClasswiseUniqueStudents7[[#This Row],[Unique Student Name]],'Raw Entries'!C:C,ClasswiseUniqueStudents7[[#This Row],[Class]])</f>
        <v>3</v>
      </c>
      <c r="E558" s="15">
        <f>ClasswiseUniqueStudents7[[#This Row],[Total Count]]*500</f>
        <v>1500</v>
      </c>
      <c r="F558" s="15"/>
    </row>
    <row r="559" spans="1:6">
      <c r="A559" s="5">
        <v>558</v>
      </c>
      <c r="B559" s="3" t="s">
        <v>252</v>
      </c>
      <c r="C559" s="1" t="s">
        <v>626</v>
      </c>
      <c r="D559" s="5">
        <f>COUNTIFS('Raw Entries'!B:B,ClasswiseUniqueStudents7[[#This Row],[Unique Student Name]],'Raw Entries'!C:C,ClasswiseUniqueStudents7[[#This Row],[Class]])</f>
        <v>1</v>
      </c>
      <c r="E559" s="15">
        <f>ClasswiseUniqueStudents7[[#This Row],[Total Count]]*500</f>
        <v>500</v>
      </c>
      <c r="F559" s="15"/>
    </row>
    <row r="560" spans="1:6">
      <c r="A560" s="5">
        <v>559</v>
      </c>
      <c r="B560" s="3" t="s">
        <v>397</v>
      </c>
      <c r="C560" s="1" t="s">
        <v>627</v>
      </c>
      <c r="D560" s="5">
        <f>COUNTIFS('Raw Entries'!B:B,ClasswiseUniqueStudents7[[#This Row],[Unique Student Name]],'Raw Entries'!C:C,ClasswiseUniqueStudents7[[#This Row],[Class]])</f>
        <v>1</v>
      </c>
      <c r="E560" s="15">
        <f>ClasswiseUniqueStudents7[[#This Row],[Total Count]]*500</f>
        <v>500</v>
      </c>
      <c r="F560" s="15"/>
    </row>
    <row r="561" spans="1:6">
      <c r="A561" s="5">
        <v>560</v>
      </c>
      <c r="B561" s="3" t="s">
        <v>582</v>
      </c>
      <c r="C561" s="1" t="s">
        <v>628</v>
      </c>
      <c r="D561" s="5">
        <f>COUNTIFS('Raw Entries'!B:B,ClasswiseUniqueStudents7[[#This Row],[Unique Student Name]],'Raw Entries'!C:C,ClasswiseUniqueStudents7[[#This Row],[Class]])</f>
        <v>2</v>
      </c>
      <c r="E561" s="15">
        <f>ClasswiseUniqueStudents7[[#This Row],[Total Count]]*500</f>
        <v>1000</v>
      </c>
      <c r="F561" s="15"/>
    </row>
    <row r="562" spans="1:6">
      <c r="A562" s="5">
        <v>561</v>
      </c>
      <c r="B562" s="3" t="s">
        <v>299</v>
      </c>
      <c r="C562" s="1" t="s">
        <v>629</v>
      </c>
      <c r="D562" s="5">
        <f>COUNTIFS('Raw Entries'!B:B,ClasswiseUniqueStudents7[[#This Row],[Unique Student Name]],'Raw Entries'!C:C,ClasswiseUniqueStudents7[[#This Row],[Class]])</f>
        <v>1</v>
      </c>
      <c r="E562" s="15">
        <f>ClasswiseUniqueStudents7[[#This Row],[Total Count]]*500</f>
        <v>500</v>
      </c>
      <c r="F562" s="15"/>
    </row>
    <row r="563" spans="1:6">
      <c r="A563" s="5">
        <v>562</v>
      </c>
      <c r="B563" s="3" t="s">
        <v>463</v>
      </c>
      <c r="C563" s="1" t="s">
        <v>630</v>
      </c>
      <c r="D563" s="5">
        <f>COUNTIFS('Raw Entries'!B:B,ClasswiseUniqueStudents7[[#This Row],[Unique Student Name]],'Raw Entries'!C:C,ClasswiseUniqueStudents7[[#This Row],[Class]])</f>
        <v>1</v>
      </c>
      <c r="E563" s="15">
        <f>ClasswiseUniqueStudents7[[#This Row],[Total Count]]*500</f>
        <v>500</v>
      </c>
      <c r="F563" s="15"/>
    </row>
    <row r="564" spans="1:6">
      <c r="A564" s="5">
        <v>563</v>
      </c>
      <c r="B564" s="3" t="s">
        <v>397</v>
      </c>
      <c r="C564" s="1" t="s">
        <v>631</v>
      </c>
      <c r="D564" s="5">
        <f>COUNTIFS('Raw Entries'!B:B,ClasswiseUniqueStudents7[[#This Row],[Unique Student Name]],'Raw Entries'!C:C,ClasswiseUniqueStudents7[[#This Row],[Class]])</f>
        <v>1</v>
      </c>
      <c r="E564" s="15">
        <f>ClasswiseUniqueStudents7[[#This Row],[Total Count]]*500</f>
        <v>500</v>
      </c>
      <c r="F564" s="15"/>
    </row>
    <row r="565" spans="1:6">
      <c r="A565" s="5">
        <v>564</v>
      </c>
      <c r="B565" s="3" t="s">
        <v>265</v>
      </c>
      <c r="C565" s="1" t="s">
        <v>632</v>
      </c>
      <c r="D565" s="5">
        <f>COUNTIFS('Raw Entries'!B:B,ClasswiseUniqueStudents7[[#This Row],[Unique Student Name]],'Raw Entries'!C:C,ClasswiseUniqueStudents7[[#This Row],[Class]])</f>
        <v>3</v>
      </c>
      <c r="E565" s="15">
        <f>ClasswiseUniqueStudents7[[#This Row],[Total Count]]*500</f>
        <v>1500</v>
      </c>
      <c r="F565" s="15"/>
    </row>
    <row r="566" spans="1:6">
      <c r="A566" s="5">
        <v>565</v>
      </c>
      <c r="B566" s="3" t="s">
        <v>374</v>
      </c>
      <c r="C566" s="1" t="s">
        <v>633</v>
      </c>
      <c r="D566" s="5">
        <f>COUNTIFS('Raw Entries'!B:B,ClasswiseUniqueStudents7[[#This Row],[Unique Student Name]],'Raw Entries'!C:C,ClasswiseUniqueStudents7[[#This Row],[Class]])</f>
        <v>2</v>
      </c>
      <c r="E566" s="15">
        <f>ClasswiseUniqueStudents7[[#This Row],[Total Count]]*500</f>
        <v>1000</v>
      </c>
      <c r="F566" s="15"/>
    </row>
    <row r="567" spans="1:6">
      <c r="A567" s="5">
        <v>566</v>
      </c>
      <c r="B567" s="3" t="s">
        <v>548</v>
      </c>
      <c r="C567" s="1" t="s">
        <v>634</v>
      </c>
      <c r="D567" s="5">
        <f>COUNTIFS('Raw Entries'!B:B,ClasswiseUniqueStudents7[[#This Row],[Unique Student Name]],'Raw Entries'!C:C,ClasswiseUniqueStudents7[[#This Row],[Class]])</f>
        <v>3</v>
      </c>
      <c r="E567" s="15">
        <f>ClasswiseUniqueStudents7[[#This Row],[Total Count]]*500</f>
        <v>1500</v>
      </c>
      <c r="F567" s="15"/>
    </row>
    <row r="568" spans="1:6">
      <c r="A568" s="5">
        <v>567</v>
      </c>
      <c r="B568" s="3" t="s">
        <v>397</v>
      </c>
      <c r="C568" s="1" t="s">
        <v>635</v>
      </c>
      <c r="D568" s="5">
        <f>COUNTIFS('Raw Entries'!B:B,ClasswiseUniqueStudents7[[#This Row],[Unique Student Name]],'Raw Entries'!C:C,ClasswiseUniqueStudents7[[#This Row],[Class]])</f>
        <v>3</v>
      </c>
      <c r="E568" s="15">
        <f>ClasswiseUniqueStudents7[[#This Row],[Total Count]]*500</f>
        <v>1500</v>
      </c>
      <c r="F568" s="15"/>
    </row>
    <row r="569" spans="1:6">
      <c r="A569" s="5">
        <v>568</v>
      </c>
      <c r="B569" s="3" t="s">
        <v>232</v>
      </c>
      <c r="C569" s="1" t="s">
        <v>636</v>
      </c>
      <c r="D569" s="5">
        <f>COUNTIFS('Raw Entries'!B:B,ClasswiseUniqueStudents7[[#This Row],[Unique Student Name]],'Raw Entries'!C:C,ClasswiseUniqueStudents7[[#This Row],[Class]])</f>
        <v>1</v>
      </c>
      <c r="E569" s="15">
        <f>ClasswiseUniqueStudents7[[#This Row],[Total Count]]*500</f>
        <v>500</v>
      </c>
      <c r="F569" s="15"/>
    </row>
    <row r="570" spans="1:6">
      <c r="A570" s="5">
        <v>569</v>
      </c>
      <c r="B570" s="3" t="s">
        <v>467</v>
      </c>
      <c r="C570" s="1" t="s">
        <v>637</v>
      </c>
      <c r="D570" s="5">
        <f>COUNTIFS('Raw Entries'!B:B,ClasswiseUniqueStudents7[[#This Row],[Unique Student Name]],'Raw Entries'!C:C,ClasswiseUniqueStudents7[[#This Row],[Class]])</f>
        <v>1</v>
      </c>
      <c r="E570" s="15">
        <f>ClasswiseUniqueStudents7[[#This Row],[Total Count]]*500</f>
        <v>500</v>
      </c>
      <c r="F570" s="15"/>
    </row>
    <row r="571" spans="1:6">
      <c r="A571" s="5">
        <v>570</v>
      </c>
      <c r="B571" s="3" t="s">
        <v>556</v>
      </c>
      <c r="C571" s="1" t="s">
        <v>638</v>
      </c>
      <c r="D571" s="5">
        <f>COUNTIFS('Raw Entries'!B:B,ClasswiseUniqueStudents7[[#This Row],[Unique Student Name]],'Raw Entries'!C:C,ClasswiseUniqueStudents7[[#This Row],[Class]])</f>
        <v>1</v>
      </c>
      <c r="E571" s="15">
        <f>ClasswiseUniqueStudents7[[#This Row],[Total Count]]*500</f>
        <v>500</v>
      </c>
      <c r="F571" s="15"/>
    </row>
    <row r="572" spans="1:6">
      <c r="A572" s="5">
        <v>571</v>
      </c>
      <c r="B572" s="3" t="s">
        <v>119</v>
      </c>
      <c r="C572" s="1" t="s">
        <v>639</v>
      </c>
      <c r="D572" s="5">
        <f>COUNTIFS('Raw Entries'!B:B,ClasswiseUniqueStudents7[[#This Row],[Unique Student Name]],'Raw Entries'!C:C,ClasswiseUniqueStudents7[[#This Row],[Class]])</f>
        <v>3</v>
      </c>
      <c r="E572" s="15">
        <f>ClasswiseUniqueStudents7[[#This Row],[Total Count]]*500</f>
        <v>1500</v>
      </c>
      <c r="F572" s="15"/>
    </row>
    <row r="573" spans="1:6">
      <c r="A573" s="5">
        <v>572</v>
      </c>
      <c r="B573" s="3" t="s">
        <v>409</v>
      </c>
      <c r="C573" s="1" t="s">
        <v>640</v>
      </c>
      <c r="D573" s="5">
        <f>COUNTIFS('Raw Entries'!B:B,ClasswiseUniqueStudents7[[#This Row],[Unique Student Name]],'Raw Entries'!C:C,ClasswiseUniqueStudents7[[#This Row],[Class]])</f>
        <v>3</v>
      </c>
      <c r="E573" s="15">
        <f>ClasswiseUniqueStudents7[[#This Row],[Total Count]]*500</f>
        <v>1500</v>
      </c>
      <c r="F573" s="15"/>
    </row>
    <row r="574" spans="1:6">
      <c r="A574" s="5">
        <v>573</v>
      </c>
      <c r="B574" s="3" t="s">
        <v>415</v>
      </c>
      <c r="C574" s="1" t="s">
        <v>641</v>
      </c>
      <c r="D574" s="5">
        <f>COUNTIFS('Raw Entries'!B:B,ClasswiseUniqueStudents7[[#This Row],[Unique Student Name]],'Raw Entries'!C:C,ClasswiseUniqueStudents7[[#This Row],[Class]])</f>
        <v>3</v>
      </c>
      <c r="E574" s="15">
        <f>ClasswiseUniqueStudents7[[#This Row],[Total Count]]*500</f>
        <v>1500</v>
      </c>
      <c r="F574" s="15"/>
    </row>
    <row r="575" spans="1:6">
      <c r="A575" s="5">
        <v>574</v>
      </c>
      <c r="B575" s="3" t="s">
        <v>324</v>
      </c>
      <c r="C575" s="1" t="s">
        <v>642</v>
      </c>
      <c r="D575" s="5">
        <f>COUNTIFS('Raw Entries'!B:B,ClasswiseUniqueStudents7[[#This Row],[Unique Student Name]],'Raw Entries'!C:C,ClasswiseUniqueStudents7[[#This Row],[Class]])</f>
        <v>1</v>
      </c>
      <c r="E575" s="15">
        <f>ClasswiseUniqueStudents7[[#This Row],[Total Count]]*500</f>
        <v>500</v>
      </c>
      <c r="F575" s="15"/>
    </row>
    <row r="576" spans="1:6">
      <c r="A576" s="5">
        <v>575</v>
      </c>
      <c r="B576" s="3" t="s">
        <v>232</v>
      </c>
      <c r="C576" s="1" t="s">
        <v>643</v>
      </c>
      <c r="D576" s="5">
        <f>COUNTIFS('Raw Entries'!B:B,ClasswiseUniqueStudents7[[#This Row],[Unique Student Name]],'Raw Entries'!C:C,ClasswiseUniqueStudents7[[#This Row],[Class]])</f>
        <v>1</v>
      </c>
      <c r="E576" s="15">
        <f>ClasswiseUniqueStudents7[[#This Row],[Total Count]]*500</f>
        <v>500</v>
      </c>
      <c r="F576" s="15"/>
    </row>
    <row r="577" spans="1:6">
      <c r="A577" s="5">
        <v>576</v>
      </c>
      <c r="B577" s="3" t="s">
        <v>397</v>
      </c>
      <c r="C577" s="1" t="s">
        <v>644</v>
      </c>
      <c r="D577" s="5">
        <f>COUNTIFS('Raw Entries'!B:B,ClasswiseUniqueStudents7[[#This Row],[Unique Student Name]],'Raw Entries'!C:C,ClasswiseUniqueStudents7[[#This Row],[Class]])</f>
        <v>1</v>
      </c>
      <c r="E577" s="15">
        <f>ClasswiseUniqueStudents7[[#This Row],[Total Count]]*500</f>
        <v>500</v>
      </c>
      <c r="F577" s="15"/>
    </row>
    <row r="578" spans="1:6">
      <c r="A578" s="5">
        <v>577</v>
      </c>
      <c r="B578" s="3" t="s">
        <v>440</v>
      </c>
      <c r="C578" s="1" t="s">
        <v>645</v>
      </c>
      <c r="D578" s="5">
        <f>COUNTIFS('Raw Entries'!B:B,ClasswiseUniqueStudents7[[#This Row],[Unique Student Name]],'Raw Entries'!C:C,ClasswiseUniqueStudents7[[#This Row],[Class]])</f>
        <v>1</v>
      </c>
      <c r="E578" s="15">
        <f>ClasswiseUniqueStudents7[[#This Row],[Total Count]]*500</f>
        <v>500</v>
      </c>
      <c r="F578" s="15"/>
    </row>
    <row r="579" spans="1:6">
      <c r="A579" s="5">
        <v>578</v>
      </c>
      <c r="B579" s="3" t="s">
        <v>548</v>
      </c>
      <c r="C579" s="1" t="s">
        <v>646</v>
      </c>
      <c r="D579" s="5">
        <f>COUNTIFS('Raw Entries'!B:B,ClasswiseUniqueStudents7[[#This Row],[Unique Student Name]],'Raw Entries'!C:C,ClasswiseUniqueStudents7[[#This Row],[Class]])</f>
        <v>1</v>
      </c>
      <c r="E579" s="15">
        <f>ClasswiseUniqueStudents7[[#This Row],[Total Count]]*500</f>
        <v>500</v>
      </c>
      <c r="F579" s="15"/>
    </row>
    <row r="580" spans="1:6">
      <c r="A580" s="5">
        <v>579</v>
      </c>
      <c r="B580" s="3" t="s">
        <v>581</v>
      </c>
      <c r="C580" s="1" t="s">
        <v>647</v>
      </c>
      <c r="D580" s="5">
        <f>COUNTIFS('Raw Entries'!B:B,ClasswiseUniqueStudents7[[#This Row],[Unique Student Name]],'Raw Entries'!C:C,ClasswiseUniqueStudents7[[#This Row],[Class]])</f>
        <v>1</v>
      </c>
      <c r="E580" s="15">
        <f>ClasswiseUniqueStudents7[[#This Row],[Total Count]]*500</f>
        <v>500</v>
      </c>
      <c r="F580" s="15"/>
    </row>
    <row r="581" spans="1:6">
      <c r="A581" s="5">
        <v>580</v>
      </c>
      <c r="B581" s="3" t="s">
        <v>62</v>
      </c>
      <c r="C581" s="1" t="s">
        <v>648</v>
      </c>
      <c r="D581" s="5">
        <f>COUNTIFS('Raw Entries'!B:B,ClasswiseUniqueStudents7[[#This Row],[Unique Student Name]],'Raw Entries'!C:C,ClasswiseUniqueStudents7[[#This Row],[Class]])</f>
        <v>3</v>
      </c>
      <c r="E581" s="15">
        <f>ClasswiseUniqueStudents7[[#This Row],[Total Count]]*500</f>
        <v>1500</v>
      </c>
      <c r="F581" s="15"/>
    </row>
    <row r="582" spans="1:6">
      <c r="A582" s="5">
        <v>581</v>
      </c>
      <c r="B582" s="3" t="s">
        <v>480</v>
      </c>
      <c r="C582" s="1" t="s">
        <v>649</v>
      </c>
      <c r="D582" s="5">
        <f>COUNTIFS('Raw Entries'!B:B,ClasswiseUniqueStudents7[[#This Row],[Unique Student Name]],'Raw Entries'!C:C,ClasswiseUniqueStudents7[[#This Row],[Class]])</f>
        <v>1</v>
      </c>
      <c r="E582" s="15">
        <f>ClasswiseUniqueStudents7[[#This Row],[Total Count]]*500</f>
        <v>500</v>
      </c>
      <c r="F582" s="15"/>
    </row>
    <row r="583" spans="1:6">
      <c r="A583" s="5">
        <v>582</v>
      </c>
      <c r="B583" s="3" t="s">
        <v>113</v>
      </c>
      <c r="C583" s="1" t="s">
        <v>650</v>
      </c>
      <c r="D583" s="5">
        <f>COUNTIFS('Raw Entries'!B:B,ClasswiseUniqueStudents7[[#This Row],[Unique Student Name]],'Raw Entries'!C:C,ClasswiseUniqueStudents7[[#This Row],[Class]])</f>
        <v>3</v>
      </c>
      <c r="E583" s="15">
        <f>ClasswiseUniqueStudents7[[#This Row],[Total Count]]*500</f>
        <v>1500</v>
      </c>
      <c r="F583" s="15"/>
    </row>
    <row r="584" spans="1:6">
      <c r="A584" s="5">
        <v>583</v>
      </c>
      <c r="B584" s="3" t="s">
        <v>366</v>
      </c>
      <c r="C584" s="1" t="s">
        <v>651</v>
      </c>
      <c r="D584" s="5">
        <f>COUNTIFS('Raw Entries'!B:B,ClasswiseUniqueStudents7[[#This Row],[Unique Student Name]],'Raw Entries'!C:C,ClasswiseUniqueStudents7[[#This Row],[Class]])</f>
        <v>3</v>
      </c>
      <c r="E584" s="15">
        <f>ClasswiseUniqueStudents7[[#This Row],[Total Count]]*500</f>
        <v>1500</v>
      </c>
      <c r="F584" s="15"/>
    </row>
    <row r="585" spans="1:6">
      <c r="A585" s="5">
        <v>584</v>
      </c>
      <c r="B585" s="3" t="s">
        <v>480</v>
      </c>
      <c r="C585" s="1" t="s">
        <v>652</v>
      </c>
      <c r="D585" s="5">
        <f>COUNTIFS('Raw Entries'!B:B,ClasswiseUniqueStudents7[[#This Row],[Unique Student Name]],'Raw Entries'!C:C,ClasswiseUniqueStudents7[[#This Row],[Class]])</f>
        <v>3</v>
      </c>
      <c r="E585" s="15">
        <f>ClasswiseUniqueStudents7[[#This Row],[Total Count]]*500</f>
        <v>1500</v>
      </c>
      <c r="F585" s="15"/>
    </row>
    <row r="586" spans="1:6">
      <c r="A586" s="5">
        <v>585</v>
      </c>
      <c r="B586" s="3" t="s">
        <v>294</v>
      </c>
      <c r="C586" s="1" t="s">
        <v>653</v>
      </c>
      <c r="D586" s="5">
        <f>COUNTIFS('Raw Entries'!B:B,ClasswiseUniqueStudents7[[#This Row],[Unique Student Name]],'Raw Entries'!C:C,ClasswiseUniqueStudents7[[#This Row],[Class]])</f>
        <v>3</v>
      </c>
      <c r="E586" s="15">
        <f>ClasswiseUniqueStudents7[[#This Row],[Total Count]]*500</f>
        <v>1500</v>
      </c>
      <c r="F586" s="15"/>
    </row>
    <row r="587" spans="1:6">
      <c r="A587" s="5">
        <v>586</v>
      </c>
      <c r="B587" s="3" t="s">
        <v>294</v>
      </c>
      <c r="C587" s="1" t="s">
        <v>654</v>
      </c>
      <c r="D587" s="5">
        <f>COUNTIFS('Raw Entries'!B:B,ClasswiseUniqueStudents7[[#This Row],[Unique Student Name]],'Raw Entries'!C:C,ClasswiseUniqueStudents7[[#This Row],[Class]])</f>
        <v>3</v>
      </c>
      <c r="E587" s="15">
        <f>ClasswiseUniqueStudents7[[#This Row],[Total Count]]*500</f>
        <v>1500</v>
      </c>
      <c r="F587" s="15"/>
    </row>
    <row r="588" spans="1:6">
      <c r="A588" s="5">
        <v>587</v>
      </c>
      <c r="B588" s="3" t="s">
        <v>366</v>
      </c>
      <c r="C588" s="1" t="s">
        <v>655</v>
      </c>
      <c r="D588" s="5">
        <f>COUNTIFS('Raw Entries'!B:B,ClasswiseUniqueStudents7[[#This Row],[Unique Student Name]],'Raw Entries'!C:C,ClasswiseUniqueStudents7[[#This Row],[Class]])</f>
        <v>3</v>
      </c>
      <c r="E588" s="15">
        <f>ClasswiseUniqueStudents7[[#This Row],[Total Count]]*500</f>
        <v>1500</v>
      </c>
      <c r="F588" s="15"/>
    </row>
    <row r="589" spans="1:6">
      <c r="A589" s="5">
        <v>588</v>
      </c>
      <c r="B589" s="3" t="s">
        <v>453</v>
      </c>
      <c r="C589" s="1" t="s">
        <v>656</v>
      </c>
      <c r="D589" s="5">
        <f>COUNTIFS('Raw Entries'!B:B,ClasswiseUniqueStudents7[[#This Row],[Unique Student Name]],'Raw Entries'!C:C,ClasswiseUniqueStudents7[[#This Row],[Class]])</f>
        <v>2</v>
      </c>
      <c r="E589" s="15">
        <f>ClasswiseUniqueStudents7[[#This Row],[Total Count]]*500</f>
        <v>1000</v>
      </c>
      <c r="F589" s="15"/>
    </row>
    <row r="590" spans="1:6">
      <c r="A590" s="5">
        <v>589</v>
      </c>
      <c r="B590" s="3" t="s">
        <v>324</v>
      </c>
      <c r="C590" s="1" t="s">
        <v>657</v>
      </c>
      <c r="D590" s="5">
        <f>COUNTIFS('Raw Entries'!B:B,ClasswiseUniqueStudents7[[#This Row],[Unique Student Name]],'Raw Entries'!C:C,ClasswiseUniqueStudents7[[#This Row],[Class]])</f>
        <v>1</v>
      </c>
      <c r="E590" s="15">
        <f>ClasswiseUniqueStudents7[[#This Row],[Total Count]]*500</f>
        <v>500</v>
      </c>
      <c r="F590" s="15"/>
    </row>
    <row r="591" spans="1:6">
      <c r="A591" s="5">
        <v>590</v>
      </c>
      <c r="B591" s="3" t="s">
        <v>128</v>
      </c>
      <c r="C591" s="1" t="s">
        <v>658</v>
      </c>
      <c r="D591" s="5">
        <f>COUNTIFS('Raw Entries'!B:B,ClasswiseUniqueStudents7[[#This Row],[Unique Student Name]],'Raw Entries'!C:C,ClasswiseUniqueStudents7[[#This Row],[Class]])</f>
        <v>1</v>
      </c>
      <c r="E591" s="15">
        <f>ClasswiseUniqueStudents7[[#This Row],[Total Count]]*500</f>
        <v>500</v>
      </c>
      <c r="F591" s="15"/>
    </row>
    <row r="592" spans="1:6">
      <c r="A592" s="5">
        <v>591</v>
      </c>
      <c r="B592" s="3" t="s">
        <v>453</v>
      </c>
      <c r="C592" s="1" t="s">
        <v>659</v>
      </c>
      <c r="D592" s="5">
        <f>COUNTIFS('Raw Entries'!B:B,ClasswiseUniqueStudents7[[#This Row],[Unique Student Name]],'Raw Entries'!C:C,ClasswiseUniqueStudents7[[#This Row],[Class]])</f>
        <v>1</v>
      </c>
      <c r="E592" s="15">
        <f>ClasswiseUniqueStudents7[[#This Row],[Total Count]]*500</f>
        <v>500</v>
      </c>
      <c r="F592" s="15"/>
    </row>
    <row r="593" spans="1:6">
      <c r="A593" s="5">
        <v>592</v>
      </c>
      <c r="B593" s="3" t="s">
        <v>113</v>
      </c>
      <c r="C593" s="1" t="s">
        <v>660</v>
      </c>
      <c r="D593" s="5">
        <f>COUNTIFS('Raw Entries'!B:B,ClasswiseUniqueStudents7[[#This Row],[Unique Student Name]],'Raw Entries'!C:C,ClasswiseUniqueStudents7[[#This Row],[Class]])</f>
        <v>1</v>
      </c>
      <c r="E593" s="15">
        <f>ClasswiseUniqueStudents7[[#This Row],[Total Count]]*500</f>
        <v>500</v>
      </c>
      <c r="F593" s="15"/>
    </row>
    <row r="594" spans="1:6">
      <c r="A594" s="5">
        <v>593</v>
      </c>
      <c r="B594" s="3" t="s">
        <v>496</v>
      </c>
      <c r="C594" s="1" t="s">
        <v>661</v>
      </c>
      <c r="D594" s="5">
        <f>COUNTIFS('Raw Entries'!B:B,ClasswiseUniqueStudents7[[#This Row],[Unique Student Name]],'Raw Entries'!C:C,ClasswiseUniqueStudents7[[#This Row],[Class]])</f>
        <v>1</v>
      </c>
      <c r="E594" s="15">
        <f>ClasswiseUniqueStudents7[[#This Row],[Total Count]]*500</f>
        <v>500</v>
      </c>
      <c r="F594" s="15"/>
    </row>
    <row r="595" spans="1:6">
      <c r="A595" s="5">
        <v>594</v>
      </c>
      <c r="B595" s="3" t="s">
        <v>51</v>
      </c>
      <c r="C595" s="1" t="s">
        <v>662</v>
      </c>
      <c r="D595" s="5">
        <f>COUNTIFS('Raw Entries'!B:B,ClasswiseUniqueStudents7[[#This Row],[Unique Student Name]],'Raw Entries'!C:C,ClasswiseUniqueStudents7[[#This Row],[Class]])</f>
        <v>1</v>
      </c>
      <c r="E595" s="15">
        <f>ClasswiseUniqueStudents7[[#This Row],[Total Count]]*500</f>
        <v>500</v>
      </c>
      <c r="F595" s="15"/>
    </row>
    <row r="596" spans="1:6">
      <c r="A596" s="5">
        <v>595</v>
      </c>
      <c r="B596" s="11" t="s">
        <v>409</v>
      </c>
      <c r="C596" s="1" t="s">
        <v>663</v>
      </c>
      <c r="D596" s="5">
        <f>COUNTIFS('Raw Entries'!B:B,ClasswiseUniqueStudents7[[#This Row],[Unique Student Name]],'Raw Entries'!C:C,ClasswiseUniqueStudents7[[#This Row],[Class]])</f>
        <v>3</v>
      </c>
      <c r="E596" s="15">
        <f>ClasswiseUniqueStudents7[[#This Row],[Total Count]]*500</f>
        <v>1500</v>
      </c>
      <c r="F596" s="15"/>
    </row>
    <row r="597" spans="1:6">
      <c r="A597" s="5">
        <v>596</v>
      </c>
      <c r="B597" s="3" t="s">
        <v>409</v>
      </c>
      <c r="C597" s="1" t="s">
        <v>664</v>
      </c>
      <c r="D597" s="5">
        <f>COUNTIFS('Raw Entries'!B:B,ClasswiseUniqueStudents7[[#This Row],[Unique Student Name]],'Raw Entries'!C:C,ClasswiseUniqueStudents7[[#This Row],[Class]])</f>
        <v>3</v>
      </c>
      <c r="E597" s="15">
        <f>ClasswiseUniqueStudents7[[#This Row],[Total Count]]*500</f>
        <v>1500</v>
      </c>
      <c r="F597" s="15"/>
    </row>
    <row r="598" spans="1:6">
      <c r="A598" s="5">
        <v>597</v>
      </c>
      <c r="B598" s="3" t="s">
        <v>51</v>
      </c>
      <c r="C598" s="1" t="s">
        <v>665</v>
      </c>
      <c r="D598" s="5">
        <f>COUNTIFS('Raw Entries'!B:B,ClasswiseUniqueStudents7[[#This Row],[Unique Student Name]],'Raw Entries'!C:C,ClasswiseUniqueStudents7[[#This Row],[Class]])</f>
        <v>1</v>
      </c>
      <c r="E598" s="15">
        <f>ClasswiseUniqueStudents7[[#This Row],[Total Count]]*500</f>
        <v>500</v>
      </c>
      <c r="F598" s="15"/>
    </row>
    <row r="599" spans="1:6">
      <c r="A599" s="5">
        <v>598</v>
      </c>
      <c r="B599" s="3" t="s">
        <v>32</v>
      </c>
      <c r="C599" s="1" t="s">
        <v>666</v>
      </c>
      <c r="D599" s="5">
        <f>COUNTIFS('Raw Entries'!B:B,ClasswiseUniqueStudents7[[#This Row],[Unique Student Name]],'Raw Entries'!C:C,ClasswiseUniqueStudents7[[#This Row],[Class]])</f>
        <v>3</v>
      </c>
      <c r="E599" s="15">
        <f>ClasswiseUniqueStudents7[[#This Row],[Total Count]]*500</f>
        <v>1500</v>
      </c>
      <c r="F599" s="15"/>
    </row>
    <row r="600" spans="1:6">
      <c r="A600" s="5">
        <v>599</v>
      </c>
      <c r="B600" s="3" t="s">
        <v>32</v>
      </c>
      <c r="C600" s="1" t="s">
        <v>667</v>
      </c>
      <c r="D600" s="5">
        <f>COUNTIFS('Raw Entries'!B:B,ClasswiseUniqueStudents7[[#This Row],[Unique Student Name]],'Raw Entries'!C:C,ClasswiseUniqueStudents7[[#This Row],[Class]])</f>
        <v>3</v>
      </c>
      <c r="E600" s="15">
        <f>ClasswiseUniqueStudents7[[#This Row],[Total Count]]*500</f>
        <v>1500</v>
      </c>
      <c r="F600" s="15"/>
    </row>
    <row r="601" spans="1:6">
      <c r="A601" s="5">
        <v>600</v>
      </c>
      <c r="B601" s="3" t="s">
        <v>175</v>
      </c>
      <c r="C601" s="1" t="s">
        <v>668</v>
      </c>
      <c r="D601" s="5">
        <f>COUNTIFS('Raw Entries'!B:B,ClasswiseUniqueStudents7[[#This Row],[Unique Student Name]],'Raw Entries'!C:C,ClasswiseUniqueStudents7[[#This Row],[Class]])</f>
        <v>3</v>
      </c>
      <c r="E601" s="15">
        <f>ClasswiseUniqueStudents7[[#This Row],[Total Count]]*500</f>
        <v>1500</v>
      </c>
      <c r="F601" s="15"/>
    </row>
    <row r="602" spans="1:6">
      <c r="A602" s="5">
        <v>601</v>
      </c>
      <c r="B602" s="3" t="s">
        <v>195</v>
      </c>
      <c r="C602" s="1" t="s">
        <v>669</v>
      </c>
      <c r="D602" s="5">
        <f>COUNTIFS('Raw Entries'!B:B,ClasswiseUniqueStudents7[[#This Row],[Unique Student Name]],'Raw Entries'!C:C,ClasswiseUniqueStudents7[[#This Row],[Class]])</f>
        <v>3</v>
      </c>
      <c r="E602" s="15">
        <f>ClasswiseUniqueStudents7[[#This Row],[Total Count]]*500</f>
        <v>1500</v>
      </c>
      <c r="F602" s="15"/>
    </row>
    <row r="603" spans="1:6">
      <c r="A603" s="5">
        <v>602</v>
      </c>
      <c r="B603" s="3" t="s">
        <v>480</v>
      </c>
      <c r="C603" s="1" t="s">
        <v>670</v>
      </c>
      <c r="D603" s="5">
        <f>COUNTIFS('Raw Entries'!B:B,ClasswiseUniqueStudents7[[#This Row],[Unique Student Name]],'Raw Entries'!C:C,ClasswiseUniqueStudents7[[#This Row],[Class]])</f>
        <v>3</v>
      </c>
      <c r="E603" s="15">
        <f>ClasswiseUniqueStudents7[[#This Row],[Total Count]]*500</f>
        <v>1500</v>
      </c>
      <c r="F603" s="15"/>
    </row>
    <row r="604" spans="1:6">
      <c r="A604" s="5">
        <v>603</v>
      </c>
      <c r="B604" s="3" t="s">
        <v>334</v>
      </c>
      <c r="C604" s="1" t="s">
        <v>671</v>
      </c>
      <c r="D604" s="5">
        <f>COUNTIFS('Raw Entries'!B:B,ClasswiseUniqueStudents7[[#This Row],[Unique Student Name]],'Raw Entries'!C:C,ClasswiseUniqueStudents7[[#This Row],[Class]])</f>
        <v>1</v>
      </c>
      <c r="E604" s="15">
        <f>ClasswiseUniqueStudents7[[#This Row],[Total Count]]*500</f>
        <v>500</v>
      </c>
      <c r="F604" s="15"/>
    </row>
    <row r="605" spans="1:6">
      <c r="A605" s="5">
        <v>604</v>
      </c>
      <c r="B605" s="3" t="s">
        <v>252</v>
      </c>
      <c r="C605" s="1" t="s">
        <v>672</v>
      </c>
      <c r="D605" s="5">
        <f>COUNTIFS('Raw Entries'!B:B,ClasswiseUniqueStudents7[[#This Row],[Unique Student Name]],'Raw Entries'!C:C,ClasswiseUniqueStudents7[[#This Row],[Class]])</f>
        <v>1</v>
      </c>
      <c r="E605" s="15">
        <f>ClasswiseUniqueStudents7[[#This Row],[Total Count]]*500</f>
        <v>500</v>
      </c>
      <c r="F605" s="15"/>
    </row>
    <row r="606" spans="1:6">
      <c r="A606" s="5">
        <v>605</v>
      </c>
      <c r="B606" s="3" t="s">
        <v>467</v>
      </c>
      <c r="C606" s="1" t="s">
        <v>673</v>
      </c>
      <c r="D606" s="5">
        <f>COUNTIFS('Raw Entries'!B:B,ClasswiseUniqueStudents7[[#This Row],[Unique Student Name]],'Raw Entries'!C:C,ClasswiseUniqueStudents7[[#This Row],[Class]])</f>
        <v>1</v>
      </c>
      <c r="E606" s="15">
        <f>ClasswiseUniqueStudents7[[#This Row],[Total Count]]*500</f>
        <v>500</v>
      </c>
      <c r="F606" s="15"/>
    </row>
    <row r="607" spans="1:6">
      <c r="A607" s="5">
        <v>606</v>
      </c>
      <c r="B607" s="3" t="s">
        <v>265</v>
      </c>
      <c r="C607" s="1" t="s">
        <v>674</v>
      </c>
      <c r="D607" s="5">
        <f>COUNTIFS('Raw Entries'!B:B,ClasswiseUniqueStudents7[[#This Row],[Unique Student Name]],'Raw Entries'!C:C,ClasswiseUniqueStudents7[[#This Row],[Class]])</f>
        <v>1</v>
      </c>
      <c r="E607" s="15">
        <f>ClasswiseUniqueStudents7[[#This Row],[Total Count]]*500</f>
        <v>500</v>
      </c>
      <c r="F607" s="15"/>
    </row>
    <row r="608" spans="1:6">
      <c r="A608" s="5">
        <v>607</v>
      </c>
      <c r="B608" s="3" t="s">
        <v>294</v>
      </c>
      <c r="C608" s="1" t="s">
        <v>675</v>
      </c>
      <c r="D608" s="5">
        <f>COUNTIFS('Raw Entries'!B:B,ClasswiseUniqueStudents7[[#This Row],[Unique Student Name]],'Raw Entries'!C:C,ClasswiseUniqueStudents7[[#This Row],[Class]])</f>
        <v>1</v>
      </c>
      <c r="E608" s="15">
        <f>ClasswiseUniqueStudents7[[#This Row],[Total Count]]*500</f>
        <v>500</v>
      </c>
      <c r="F608" s="15"/>
    </row>
    <row r="609" spans="1:6">
      <c r="A609" s="5">
        <v>608</v>
      </c>
      <c r="B609" s="3" t="s">
        <v>356</v>
      </c>
      <c r="C609" s="1" t="s">
        <v>676</v>
      </c>
      <c r="D609" s="5">
        <f>COUNTIFS('Raw Entries'!B:B,ClasswiseUniqueStudents7[[#This Row],[Unique Student Name]],'Raw Entries'!C:C,ClasswiseUniqueStudents7[[#This Row],[Class]])</f>
        <v>1</v>
      </c>
      <c r="E609" s="15">
        <f>ClasswiseUniqueStudents7[[#This Row],[Total Count]]*500</f>
        <v>500</v>
      </c>
      <c r="F609" s="15"/>
    </row>
    <row r="610" spans="1:6">
      <c r="A610" s="5">
        <v>609</v>
      </c>
      <c r="B610" s="3" t="s">
        <v>62</v>
      </c>
      <c r="C610" s="1" t="s">
        <v>677</v>
      </c>
      <c r="D610" s="5">
        <f>COUNTIFS('Raw Entries'!B:B,ClasswiseUniqueStudents7[[#This Row],[Unique Student Name]],'Raw Entries'!C:C,ClasswiseUniqueStudents7[[#This Row],[Class]])</f>
        <v>3</v>
      </c>
      <c r="E610" s="15">
        <f>ClasswiseUniqueStudents7[[#This Row],[Total Count]]*500</f>
        <v>1500</v>
      </c>
      <c r="F610" s="15"/>
    </row>
    <row r="611" spans="1:6">
      <c r="A611" s="5">
        <v>610</v>
      </c>
      <c r="B611" s="3" t="s">
        <v>374</v>
      </c>
      <c r="C611" s="1" t="s">
        <v>678</v>
      </c>
      <c r="D611" s="5">
        <f>COUNTIFS('Raw Entries'!B:B,ClasswiseUniqueStudents7[[#This Row],[Unique Student Name]],'Raw Entries'!C:C,ClasswiseUniqueStudents7[[#This Row],[Class]])</f>
        <v>1</v>
      </c>
      <c r="E611" s="15">
        <f>ClasswiseUniqueStudents7[[#This Row],[Total Count]]*500</f>
        <v>500</v>
      </c>
      <c r="F611" s="15"/>
    </row>
    <row r="612" spans="1:6">
      <c r="A612" s="5">
        <v>611</v>
      </c>
      <c r="B612" s="3" t="s">
        <v>299</v>
      </c>
      <c r="C612" s="1" t="s">
        <v>679</v>
      </c>
      <c r="D612" s="5">
        <f>COUNTIFS('Raw Entries'!B:B,ClasswiseUniqueStudents7[[#This Row],[Unique Student Name]],'Raw Entries'!C:C,ClasswiseUniqueStudents7[[#This Row],[Class]])</f>
        <v>2</v>
      </c>
      <c r="E612" s="15">
        <f>ClasswiseUniqueStudents7[[#This Row],[Total Count]]*500</f>
        <v>1000</v>
      </c>
      <c r="F612" s="15"/>
    </row>
    <row r="613" spans="1:6">
      <c r="A613" s="5">
        <v>612</v>
      </c>
      <c r="B613" s="3" t="s">
        <v>20</v>
      </c>
      <c r="C613" s="1" t="s">
        <v>680</v>
      </c>
      <c r="D613" s="5">
        <f>COUNTIFS('Raw Entries'!B:B,ClasswiseUniqueStudents7[[#This Row],[Unique Student Name]],'Raw Entries'!C:C,ClasswiseUniqueStudents7[[#This Row],[Class]])</f>
        <v>3</v>
      </c>
      <c r="E613" s="15">
        <f>ClasswiseUniqueStudents7[[#This Row],[Total Count]]*500</f>
        <v>1500</v>
      </c>
      <c r="F613" s="15"/>
    </row>
    <row r="614" spans="1:6">
      <c r="A614" s="5">
        <v>613</v>
      </c>
      <c r="B614" s="3" t="s">
        <v>453</v>
      </c>
      <c r="C614" s="1" t="s">
        <v>681</v>
      </c>
      <c r="D614" s="5">
        <f>COUNTIFS('Raw Entries'!B:B,ClasswiseUniqueStudents7[[#This Row],[Unique Student Name]],'Raw Entries'!C:C,ClasswiseUniqueStudents7[[#This Row],[Class]])</f>
        <v>1</v>
      </c>
      <c r="E614" s="15">
        <f>ClasswiseUniqueStudents7[[#This Row],[Total Count]]*500</f>
        <v>500</v>
      </c>
      <c r="F614" s="15"/>
    </row>
    <row r="615" spans="1:6">
      <c r="A615" s="5">
        <v>614</v>
      </c>
      <c r="B615" s="3" t="s">
        <v>548</v>
      </c>
      <c r="C615" s="1" t="s">
        <v>682</v>
      </c>
      <c r="D615" s="5">
        <f>COUNTIFS('Raw Entries'!B:B,ClasswiseUniqueStudents7[[#This Row],[Unique Student Name]],'Raw Entries'!C:C,ClasswiseUniqueStudents7[[#This Row],[Class]])</f>
        <v>1</v>
      </c>
      <c r="E615" s="15">
        <f>ClasswiseUniqueStudents7[[#This Row],[Total Count]]*500</f>
        <v>500</v>
      </c>
      <c r="F615" s="15"/>
    </row>
    <row r="616" spans="1:6">
      <c r="A616" s="5">
        <v>615</v>
      </c>
      <c r="B616" s="3" t="s">
        <v>356</v>
      </c>
      <c r="C616" s="1" t="s">
        <v>683</v>
      </c>
      <c r="D616" s="5">
        <f>COUNTIFS('Raw Entries'!B:B,ClasswiseUniqueStudents7[[#This Row],[Unique Student Name]],'Raw Entries'!C:C,ClasswiseUniqueStudents7[[#This Row],[Class]])</f>
        <v>1</v>
      </c>
      <c r="E616" s="15">
        <f>ClasswiseUniqueStudents7[[#This Row],[Total Count]]*500</f>
        <v>500</v>
      </c>
      <c r="F616" s="15"/>
    </row>
    <row r="617" spans="1:6" s="15" customFormat="1">
      <c r="A617" s="5">
        <v>616</v>
      </c>
      <c r="B617" s="3" t="s">
        <v>185</v>
      </c>
      <c r="C617" s="1" t="s">
        <v>684</v>
      </c>
      <c r="D617" s="5">
        <f>COUNTIFS('Raw Entries'!B:B,ClasswiseUniqueStudents7[[#This Row],[Unique Student Name]],'Raw Entries'!C:C,ClasswiseUniqueStudents7[[#This Row],[Class]])</f>
        <v>1</v>
      </c>
      <c r="E617" s="15">
        <f>ClasswiseUniqueStudents7[[#This Row],[Total Count]]*500</f>
        <v>500</v>
      </c>
    </row>
    <row r="618" spans="1:6">
      <c r="A618" s="5">
        <v>617</v>
      </c>
      <c r="B618" s="3" t="s">
        <v>397</v>
      </c>
      <c r="C618" s="1" t="s">
        <v>1840</v>
      </c>
      <c r="D618" s="5">
        <f>COUNTIFS('Raw Entries'!B:B,ClasswiseUniqueStudents7[[#This Row],[Unique Student Name]],'Raw Entries'!C:C,ClasswiseUniqueStudents7[[#This Row],[Class]])</f>
        <v>1</v>
      </c>
      <c r="E618" s="15">
        <f>ClasswiseUniqueStudents7[[#This Row],[Total Count]]*500</f>
        <v>500</v>
      </c>
      <c r="F618" s="15"/>
    </row>
    <row r="619" spans="1:6" s="15" customFormat="1">
      <c r="A619" s="5">
        <v>618</v>
      </c>
      <c r="B619" s="3" t="s">
        <v>294</v>
      </c>
      <c r="C619" s="1" t="s">
        <v>1841</v>
      </c>
      <c r="D619" s="5">
        <f>COUNTIFS('Raw Entries'!B:B,ClasswiseUniqueStudents7[[#This Row],[Unique Student Name]],'Raw Entries'!C:C,ClasswiseUniqueStudents7[[#This Row],[Class]])</f>
        <v>3</v>
      </c>
      <c r="E619" s="15">
        <f>ClasswiseUniqueStudents7[[#This Row],[Total Count]]*500</f>
        <v>1500</v>
      </c>
    </row>
    <row r="620" spans="1:6" s="15" customFormat="1">
      <c r="A620" s="5">
        <v>619</v>
      </c>
      <c r="B620" s="3" t="s">
        <v>447</v>
      </c>
      <c r="C620" s="1" t="s">
        <v>1842</v>
      </c>
      <c r="D620" s="5">
        <f>COUNTIFS('Raw Entries'!B:B,ClasswiseUniqueStudents7[[#This Row],[Unique Student Name]],'Raw Entries'!C:C,ClasswiseUniqueStudents7[[#This Row],[Class]])</f>
        <v>3</v>
      </c>
      <c r="E620" s="15">
        <f>ClasswiseUniqueStudents7[[#This Row],[Total Count]]*500</f>
        <v>1500</v>
      </c>
    </row>
    <row r="621" spans="1:6">
      <c r="A621" s="5">
        <v>620</v>
      </c>
      <c r="B621" s="3" t="s">
        <v>538</v>
      </c>
      <c r="C621" s="1" t="s">
        <v>1843</v>
      </c>
      <c r="D621" s="5">
        <f>COUNTIFS('Raw Entries'!B:B,ClasswiseUniqueStudents7[[#This Row],[Unique Student Name]],'Raw Entries'!C:C,ClasswiseUniqueStudents7[[#This Row],[Class]])</f>
        <v>1</v>
      </c>
      <c r="E621" s="15">
        <f>ClasswiseUniqueStudents7[[#This Row],[Total Count]]*500</f>
        <v>500</v>
      </c>
      <c r="F621" s="15"/>
    </row>
    <row r="622" spans="1:6">
      <c r="A622" s="5">
        <v>621</v>
      </c>
      <c r="B622" s="3" t="s">
        <v>366</v>
      </c>
      <c r="C622" s="1" t="s">
        <v>1844</v>
      </c>
      <c r="D622" s="5">
        <f>COUNTIFS('Raw Entries'!B:B,ClasswiseUniqueStudents7[[#This Row],[Unique Student Name]],'Raw Entries'!C:C,ClasswiseUniqueStudents7[[#This Row],[Class]])</f>
        <v>1</v>
      </c>
      <c r="E622" s="15">
        <f>ClasswiseUniqueStudents7[[#This Row],[Total Count]]*500</f>
        <v>500</v>
      </c>
      <c r="F622" s="15"/>
    </row>
    <row r="623" spans="1:6">
      <c r="A623" s="5">
        <v>622</v>
      </c>
      <c r="B623" s="3" t="s">
        <v>102</v>
      </c>
      <c r="C623" s="1" t="s">
        <v>1845</v>
      </c>
      <c r="D623" s="5">
        <f>COUNTIFS('Raw Entries'!B:B,ClasswiseUniqueStudents7[[#This Row],[Unique Student Name]],'Raw Entries'!C:C,ClasswiseUniqueStudents7[[#This Row],[Class]])</f>
        <v>1</v>
      </c>
      <c r="E623" s="15">
        <f>ClasswiseUniqueStudents7[[#This Row],[Total Count]]*500</f>
        <v>500</v>
      </c>
      <c r="F623" s="15"/>
    </row>
    <row r="624" spans="1:6">
      <c r="A624" s="5">
        <v>623</v>
      </c>
      <c r="B624" s="11" t="s">
        <v>515</v>
      </c>
      <c r="C624" s="1" t="s">
        <v>1846</v>
      </c>
      <c r="D624" s="5">
        <f>COUNTIFS('Raw Entries'!B:B,ClasswiseUniqueStudents7[[#This Row],[Unique Student Name]],'Raw Entries'!C:C,ClasswiseUniqueStudents7[[#This Row],[Class]])</f>
        <v>1</v>
      </c>
      <c r="E624" s="15">
        <f>ClasswiseUniqueStudents7[[#This Row],[Total Count]]*500</f>
        <v>500</v>
      </c>
      <c r="F624" s="15"/>
    </row>
    <row r="625" spans="1:6">
      <c r="A625" s="5">
        <v>624</v>
      </c>
      <c r="B625" s="3" t="s">
        <v>415</v>
      </c>
      <c r="C625" s="1" t="s">
        <v>1847</v>
      </c>
      <c r="D625" s="5">
        <f>COUNTIFS('Raw Entries'!B:B,ClasswiseUniqueStudents7[[#This Row],[Unique Student Name]],'Raw Entries'!C:C,ClasswiseUniqueStudents7[[#This Row],[Class]])</f>
        <v>1</v>
      </c>
      <c r="E625" s="15">
        <f>ClasswiseUniqueStudents7[[#This Row],[Total Count]]*500</f>
        <v>500</v>
      </c>
      <c r="F625" s="15"/>
    </row>
    <row r="626" spans="1:6">
      <c r="A626" s="5">
        <v>625</v>
      </c>
      <c r="B626" s="3" t="s">
        <v>175</v>
      </c>
      <c r="C626" s="1" t="s">
        <v>1848</v>
      </c>
      <c r="D626" s="5">
        <f>COUNTIFS('Raw Entries'!B:B,ClasswiseUniqueStudents7[[#This Row],[Unique Student Name]],'Raw Entries'!C:C,ClasswiseUniqueStudents7[[#This Row],[Class]])</f>
        <v>1</v>
      </c>
      <c r="E626" s="15">
        <f>ClasswiseUniqueStudents7[[#This Row],[Total Count]]*500</f>
        <v>500</v>
      </c>
      <c r="F626" s="15"/>
    </row>
    <row r="627" spans="1:6">
      <c r="A627" s="5">
        <v>626</v>
      </c>
      <c r="B627" s="3" t="s">
        <v>62</v>
      </c>
      <c r="C627" s="1" t="s">
        <v>1849</v>
      </c>
      <c r="D627" s="5">
        <f>COUNTIFS('Raw Entries'!B:B,ClasswiseUniqueStudents7[[#This Row],[Unique Student Name]],'Raw Entries'!C:C,ClasswiseUniqueStudents7[[#This Row],[Class]])</f>
        <v>1</v>
      </c>
      <c r="E627" s="15">
        <f>ClasswiseUniqueStudents7[[#This Row],[Total Count]]*500</f>
        <v>500</v>
      </c>
      <c r="F627" s="15"/>
    </row>
    <row r="628" spans="1:6">
      <c r="A628" s="5">
        <v>627</v>
      </c>
      <c r="B628" s="3" t="s">
        <v>51</v>
      </c>
      <c r="C628" s="1" t="s">
        <v>1850</v>
      </c>
      <c r="D628" s="5">
        <f>COUNTIFS('Raw Entries'!B:B,ClasswiseUniqueStudents7[[#This Row],[Unique Student Name]],'Raw Entries'!C:C,ClasswiseUniqueStudents7[[#This Row],[Class]])</f>
        <v>3</v>
      </c>
      <c r="E628" s="15">
        <f>ClasswiseUniqueStudents7[[#This Row],[Total Count]]*500</f>
        <v>1500</v>
      </c>
      <c r="F628" s="15"/>
    </row>
    <row r="629" spans="1:6">
      <c r="A629" s="5">
        <v>628</v>
      </c>
      <c r="B629" s="3" t="s">
        <v>1851</v>
      </c>
      <c r="C629" s="1" t="s">
        <v>1852</v>
      </c>
      <c r="D629" s="5">
        <f>COUNTIFS('Raw Entries'!B:B,ClasswiseUniqueStudents7[[#This Row],[Unique Student Name]],'Raw Entries'!C:C,ClasswiseUniqueStudents7[[#This Row],[Class]])</f>
        <v>3</v>
      </c>
      <c r="E629" s="15">
        <f>ClasswiseUniqueStudents7[[#This Row],[Total Count]]*500</f>
        <v>1500</v>
      </c>
      <c r="F629" s="15"/>
    </row>
    <row r="630" spans="1:6">
      <c r="A630" s="5">
        <v>629</v>
      </c>
      <c r="B630" s="3" t="s">
        <v>496</v>
      </c>
      <c r="C630" s="1" t="s">
        <v>1853</v>
      </c>
      <c r="D630" s="5">
        <f>COUNTIFS('Raw Entries'!B:B,ClasswiseUniqueStudents7[[#This Row],[Unique Student Name]],'Raw Entries'!C:C,ClasswiseUniqueStudents7[[#This Row],[Class]])</f>
        <v>1</v>
      </c>
      <c r="E630" s="15">
        <f>ClasswiseUniqueStudents7[[#This Row],[Total Count]]*500</f>
        <v>500</v>
      </c>
      <c r="F630" s="15"/>
    </row>
    <row r="631" spans="1:6">
      <c r="A631" s="5">
        <v>630</v>
      </c>
      <c r="B631" s="3" t="s">
        <v>415</v>
      </c>
      <c r="C631" s="1" t="s">
        <v>1854</v>
      </c>
      <c r="D631" s="5">
        <f>COUNTIFS('Raw Entries'!B:B,ClasswiseUniqueStudents7[[#This Row],[Unique Student Name]],'Raw Entries'!C:C,ClasswiseUniqueStudents7[[#This Row],[Class]])</f>
        <v>3</v>
      </c>
      <c r="E631" s="15">
        <f>ClasswiseUniqueStudents7[[#This Row],[Total Count]]*500</f>
        <v>1500</v>
      </c>
      <c r="F631" s="15"/>
    </row>
    <row r="632" spans="1:6">
      <c r="A632" s="5">
        <v>631</v>
      </c>
      <c r="B632" s="3" t="s">
        <v>320</v>
      </c>
      <c r="C632" s="1" t="s">
        <v>1855</v>
      </c>
      <c r="D632" s="5">
        <f>COUNTIFS('Raw Entries'!B:B,ClasswiseUniqueStudents7[[#This Row],[Unique Student Name]],'Raw Entries'!C:C,ClasswiseUniqueStudents7[[#This Row],[Class]])</f>
        <v>1</v>
      </c>
      <c r="E632" s="15">
        <f>ClasswiseUniqueStudents7[[#This Row],[Total Count]]*500</f>
        <v>500</v>
      </c>
      <c r="F632" s="15"/>
    </row>
    <row r="633" spans="1:6">
      <c r="A633" s="5">
        <v>632</v>
      </c>
      <c r="B633" s="11" t="s">
        <v>171</v>
      </c>
      <c r="C633" s="1" t="s">
        <v>1899</v>
      </c>
      <c r="D633" s="5">
        <f>COUNTIFS('Raw Entries'!B:B,ClasswiseUniqueStudents7[[#This Row],[Unique Student Name]],'Raw Entries'!C:C,ClasswiseUniqueStudents7[[#This Row],[Class]])</f>
        <v>1</v>
      </c>
      <c r="E633" s="15">
        <f>ClasswiseUniqueStudents7[[#This Row],[Total Count]]*500</f>
        <v>500</v>
      </c>
      <c r="F633" s="15"/>
    </row>
    <row r="634" spans="1:6">
      <c r="A634" s="5">
        <v>633</v>
      </c>
      <c r="B634" s="11" t="s">
        <v>356</v>
      </c>
      <c r="C634" s="1" t="s">
        <v>1900</v>
      </c>
      <c r="D634" s="5">
        <f>COUNTIFS('Raw Entries'!B:B,ClasswiseUniqueStudents7[[#This Row],[Unique Student Name]],'Raw Entries'!C:C,ClasswiseUniqueStudents7[[#This Row],[Class]])</f>
        <v>3</v>
      </c>
      <c r="E634" s="15">
        <f>ClasswiseUniqueStudents7[[#This Row],[Total Count]]*500</f>
        <v>1500</v>
      </c>
      <c r="F634" s="15"/>
    </row>
    <row r="635" spans="1:6">
      <c r="A635" s="5">
        <v>634</v>
      </c>
      <c r="B635" s="11" t="s">
        <v>356</v>
      </c>
      <c r="C635" s="1" t="s">
        <v>1901</v>
      </c>
      <c r="D635" s="5">
        <f>COUNTIFS('Raw Entries'!B:B,ClasswiseUniqueStudents7[[#This Row],[Unique Student Name]],'Raw Entries'!C:C,ClasswiseUniqueStudents7[[#This Row],[Class]])</f>
        <v>1</v>
      </c>
      <c r="E635" s="15">
        <f>ClasswiseUniqueStudents7[[#This Row],[Total Count]]*500</f>
        <v>500</v>
      </c>
      <c r="F635" s="15"/>
    </row>
    <row r="636" spans="1:6">
      <c r="A636" s="5">
        <v>635</v>
      </c>
      <c r="B636" s="11" t="s">
        <v>496</v>
      </c>
      <c r="C636" s="1" t="s">
        <v>1902</v>
      </c>
      <c r="D636" s="5">
        <f>COUNTIFS('Raw Entries'!B:B,ClasswiseUniqueStudents7[[#This Row],[Unique Student Name]],'Raw Entries'!C:C,ClasswiseUniqueStudents7[[#This Row],[Class]])</f>
        <v>1</v>
      </c>
      <c r="E636" s="15">
        <f>ClasswiseUniqueStudents7[[#This Row],[Total Count]]*500</f>
        <v>500</v>
      </c>
      <c r="F636" s="15"/>
    </row>
    <row r="637" spans="1:6">
      <c r="A637" s="5">
        <v>636</v>
      </c>
      <c r="B637" s="11" t="s">
        <v>463</v>
      </c>
      <c r="C637" s="1" t="s">
        <v>1903</v>
      </c>
      <c r="D637" s="5">
        <f>COUNTIFS('Raw Entries'!B:B,ClasswiseUniqueStudents7[[#This Row],[Unique Student Name]],'Raw Entries'!C:C,ClasswiseUniqueStudents7[[#This Row],[Class]])</f>
        <v>1</v>
      </c>
      <c r="E637" s="15">
        <f>ClasswiseUniqueStudents7[[#This Row],[Total Count]]*500</f>
        <v>500</v>
      </c>
      <c r="F637" s="15"/>
    </row>
    <row r="638" spans="1:6">
      <c r="A638" s="5">
        <v>637</v>
      </c>
      <c r="B638" s="11" t="s">
        <v>496</v>
      </c>
      <c r="C638" s="1" t="s">
        <v>1904</v>
      </c>
      <c r="D638" s="5">
        <f>COUNTIFS('Raw Entries'!B:B,ClasswiseUniqueStudents7[[#This Row],[Unique Student Name]],'Raw Entries'!C:C,ClasswiseUniqueStudents7[[#This Row],[Class]])</f>
        <v>3</v>
      </c>
      <c r="E638" s="15">
        <f>ClasswiseUniqueStudents7[[#This Row],[Total Count]]*500</f>
        <v>1500</v>
      </c>
      <c r="F638" s="15"/>
    </row>
    <row r="639" spans="1:6">
      <c r="A639" s="5">
        <v>638</v>
      </c>
      <c r="B639" s="11" t="s">
        <v>51</v>
      </c>
      <c r="C639" s="1" t="s">
        <v>1905</v>
      </c>
      <c r="D639" s="5">
        <f>COUNTIFS('Raw Entries'!B:B,ClasswiseUniqueStudents7[[#This Row],[Unique Student Name]],'Raw Entries'!C:C,ClasswiseUniqueStudents7[[#This Row],[Class]])</f>
        <v>3</v>
      </c>
      <c r="E639" s="15">
        <f>ClasswiseUniqueStudents7[[#This Row],[Total Count]]*500</f>
        <v>1500</v>
      </c>
      <c r="F639" s="15"/>
    </row>
    <row r="640" spans="1:6">
      <c r="A640" s="5">
        <v>639</v>
      </c>
      <c r="B640" s="11" t="s">
        <v>128</v>
      </c>
      <c r="C640" s="1" t="s">
        <v>1906</v>
      </c>
      <c r="D640" s="5">
        <f>COUNTIFS('Raw Entries'!B:B,ClasswiseUniqueStudents7[[#This Row],[Unique Student Name]],'Raw Entries'!C:C,ClasswiseUniqueStudents7[[#This Row],[Class]])</f>
        <v>3</v>
      </c>
      <c r="E640" s="15">
        <f>ClasswiseUniqueStudents7[[#This Row],[Total Count]]*500</f>
        <v>1500</v>
      </c>
      <c r="F640" s="15"/>
    </row>
    <row r="641" spans="1:6">
      <c r="A641" s="5">
        <v>640</v>
      </c>
      <c r="B641" s="11" t="s">
        <v>334</v>
      </c>
      <c r="C641" s="1" t="s">
        <v>1907</v>
      </c>
      <c r="D641" s="5">
        <f>COUNTIFS('Raw Entries'!B:B,ClasswiseUniqueStudents7[[#This Row],[Unique Student Name]],'Raw Entries'!C:C,ClasswiseUniqueStudents7[[#This Row],[Class]])</f>
        <v>2</v>
      </c>
      <c r="E641" s="15">
        <f>ClasswiseUniqueStudents7[[#This Row],[Total Count]]*500</f>
        <v>1000</v>
      </c>
      <c r="F641" s="15"/>
    </row>
    <row r="642" spans="1:6">
      <c r="A642" s="5">
        <v>641</v>
      </c>
      <c r="B642" s="11" t="s">
        <v>227</v>
      </c>
      <c r="C642" s="1" t="s">
        <v>1908</v>
      </c>
      <c r="D642" s="5">
        <f>COUNTIFS('Raw Entries'!B:B,ClasswiseUniqueStudents7[[#This Row],[Unique Student Name]],'Raw Entries'!C:C,ClasswiseUniqueStudents7[[#This Row],[Class]])</f>
        <v>3</v>
      </c>
      <c r="E642" s="15">
        <f>ClasswiseUniqueStudents7[[#This Row],[Total Count]]*500</f>
        <v>1500</v>
      </c>
      <c r="F642" s="15"/>
    </row>
    <row r="643" spans="1:6">
      <c r="A643" s="5">
        <v>642</v>
      </c>
      <c r="B643" s="11" t="s">
        <v>68</v>
      </c>
      <c r="C643" s="1" t="s">
        <v>3957</v>
      </c>
      <c r="D643" s="5">
        <f>COUNTIFS('Raw Entries'!B:B,ClasswiseUniqueStudents7[[#This Row],[Unique Student Name]],'Raw Entries'!C:C,ClasswiseUniqueStudents7[[#This Row],[Class]])</f>
        <v>1</v>
      </c>
      <c r="E643" s="15">
        <f>ClasswiseUniqueStudents7[[#This Row],[Total Count]]*500</f>
        <v>500</v>
      </c>
      <c r="F643" s="15"/>
    </row>
    <row r="644" spans="1:6">
      <c r="A644" s="5">
        <v>643</v>
      </c>
      <c r="B644" s="11" t="s">
        <v>221</v>
      </c>
      <c r="C644" s="1" t="s">
        <v>1909</v>
      </c>
      <c r="D644" s="5">
        <f>COUNTIFS('Raw Entries'!B:B,ClasswiseUniqueStudents7[[#This Row],[Unique Student Name]],'Raw Entries'!C:C,ClasswiseUniqueStudents7[[#This Row],[Class]])</f>
        <v>1</v>
      </c>
      <c r="E644" s="15">
        <f>ClasswiseUniqueStudents7[[#This Row],[Total Count]]*500</f>
        <v>500</v>
      </c>
      <c r="F644" s="15"/>
    </row>
    <row r="645" spans="1:6">
      <c r="A645" s="5">
        <v>644</v>
      </c>
      <c r="B645" s="11" t="s">
        <v>340</v>
      </c>
      <c r="C645" s="1" t="s">
        <v>1910</v>
      </c>
      <c r="D645" s="5">
        <f>COUNTIFS('Raw Entries'!B:B,ClasswiseUniqueStudents7[[#This Row],[Unique Student Name]],'Raw Entries'!C:C,ClasswiseUniqueStudents7[[#This Row],[Class]])</f>
        <v>1</v>
      </c>
      <c r="E645" s="15">
        <f>ClasswiseUniqueStudents7[[#This Row],[Total Count]]*500</f>
        <v>500</v>
      </c>
      <c r="F645" s="15"/>
    </row>
    <row r="646" spans="1:6">
      <c r="A646" s="5">
        <v>645</v>
      </c>
      <c r="B646" s="11" t="s">
        <v>265</v>
      </c>
      <c r="C646" s="1" t="s">
        <v>1911</v>
      </c>
      <c r="D646" s="5">
        <f>COUNTIFS('Raw Entries'!B:B,ClasswiseUniqueStudents7[[#This Row],[Unique Student Name]],'Raw Entries'!C:C,ClasswiseUniqueStudents7[[#This Row],[Class]])</f>
        <v>3</v>
      </c>
      <c r="E646" s="15">
        <f>ClasswiseUniqueStudents7[[#This Row],[Total Count]]*500</f>
        <v>1500</v>
      </c>
      <c r="F646" s="15"/>
    </row>
    <row r="647" spans="1:6">
      <c r="A647" s="5">
        <v>646</v>
      </c>
      <c r="B647" s="11" t="s">
        <v>62</v>
      </c>
      <c r="C647" s="1" t="s">
        <v>1912</v>
      </c>
      <c r="D647" s="5">
        <f>COUNTIFS('Raw Entries'!B:B,ClasswiseUniqueStudents7[[#This Row],[Unique Student Name]],'Raw Entries'!C:C,ClasswiseUniqueStudents7[[#This Row],[Class]])</f>
        <v>3</v>
      </c>
      <c r="E647" s="15">
        <f>ClasswiseUniqueStudents7[[#This Row],[Total Count]]*500</f>
        <v>1500</v>
      </c>
      <c r="F647" s="15"/>
    </row>
    <row r="648" spans="1:6">
      <c r="A648" s="5">
        <v>647</v>
      </c>
      <c r="B648" s="11" t="s">
        <v>20</v>
      </c>
      <c r="C648" s="1" t="s">
        <v>1913</v>
      </c>
      <c r="D648" s="5">
        <f>COUNTIFS('Raw Entries'!B:B,ClasswiseUniqueStudents7[[#This Row],[Unique Student Name]],'Raw Entries'!C:C,ClasswiseUniqueStudents7[[#This Row],[Class]])</f>
        <v>2</v>
      </c>
      <c r="E648" s="15">
        <f>ClasswiseUniqueStudents7[[#This Row],[Total Count]]*500</f>
        <v>1000</v>
      </c>
      <c r="F648" s="15"/>
    </row>
    <row r="649" spans="1:6">
      <c r="A649" s="5">
        <v>648</v>
      </c>
      <c r="B649" s="3" t="s">
        <v>351</v>
      </c>
      <c r="C649" s="1" t="s">
        <v>1946</v>
      </c>
      <c r="D649" s="5">
        <f>COUNTIFS('Raw Entries'!B:B,ClasswiseUniqueStudents7[[#This Row],[Unique Student Name]],'Raw Entries'!C:C,ClasswiseUniqueStudents7[[#This Row],[Class]])</f>
        <v>3</v>
      </c>
      <c r="E649" s="15">
        <f>ClasswiseUniqueStudents7[[#This Row],[Total Count]]*500</f>
        <v>1500</v>
      </c>
      <c r="F649" s="15"/>
    </row>
    <row r="650" spans="1:6">
      <c r="A650" s="5">
        <v>649</v>
      </c>
      <c r="B650" s="3" t="s">
        <v>366</v>
      </c>
      <c r="C650" s="15" t="s">
        <v>3888</v>
      </c>
      <c r="D650" s="5">
        <f>COUNTIFS('Raw Entries'!B:B,ClasswiseUniqueStudents7[[#This Row],[Unique Student Name]],'Raw Entries'!C:C,ClasswiseUniqueStudents7[[#This Row],[Class]])</f>
        <v>1</v>
      </c>
      <c r="E650" s="15">
        <f>ClasswiseUniqueStudents7[[#This Row],[Total Count]]*500</f>
        <v>500</v>
      </c>
      <c r="F650" s="15"/>
    </row>
    <row r="651" spans="1:6">
      <c r="A651" s="5">
        <v>650</v>
      </c>
      <c r="B651" s="3" t="s">
        <v>304</v>
      </c>
      <c r="C651" s="15" t="s">
        <v>3394</v>
      </c>
      <c r="D651" s="5">
        <f>COUNTIFS('Raw Entries'!B:B,ClasswiseUniqueStudents7[[#This Row],[Unique Student Name]],'Raw Entries'!C:C,ClasswiseUniqueStudents7[[#This Row],[Class]])</f>
        <v>1</v>
      </c>
      <c r="E651" s="15">
        <f>ClasswiseUniqueStudents7[[#This Row],[Total Count]]*500</f>
        <v>500</v>
      </c>
      <c r="F651" s="15"/>
    </row>
    <row r="652" spans="1:6">
      <c r="A652" s="5">
        <v>651</v>
      </c>
      <c r="B652" s="3" t="s">
        <v>320</v>
      </c>
      <c r="C652" s="15" t="s">
        <v>3447</v>
      </c>
      <c r="D652" s="5">
        <f>COUNTIFS('Raw Entries'!B:B,ClasswiseUniqueStudents7[[#This Row],[Unique Student Name]],'Raw Entries'!C:C,ClasswiseUniqueStudents7[[#This Row],[Class]])</f>
        <v>3</v>
      </c>
      <c r="E652" s="15">
        <f>ClasswiseUniqueStudents7[[#This Row],[Total Count]]*500</f>
        <v>1500</v>
      </c>
      <c r="F652" s="15"/>
    </row>
    <row r="653" spans="1:6">
      <c r="A653" s="5">
        <v>652</v>
      </c>
      <c r="B653" s="3" t="s">
        <v>386</v>
      </c>
      <c r="C653" s="15" t="s">
        <v>2566</v>
      </c>
      <c r="D653" s="5">
        <f>COUNTIFS('Raw Entries'!B:B,ClasswiseUniqueStudents7[[#This Row],[Unique Student Name]],'Raw Entries'!C:C,ClasswiseUniqueStudents7[[#This Row],[Class]])</f>
        <v>2</v>
      </c>
      <c r="E653" s="15">
        <f>ClasswiseUniqueStudents7[[#This Row],[Total Count]]*500</f>
        <v>1000</v>
      </c>
      <c r="F653" s="15"/>
    </row>
    <row r="654" spans="1:6">
      <c r="A654" s="5">
        <v>653</v>
      </c>
      <c r="B654" s="3" t="s">
        <v>58</v>
      </c>
      <c r="C654" s="15" t="s">
        <v>3790</v>
      </c>
      <c r="D654" s="5">
        <f>COUNTIFS('Raw Entries'!B:B,ClasswiseUniqueStudents7[[#This Row],[Unique Student Name]],'Raw Entries'!C:C,ClasswiseUniqueStudents7[[#This Row],[Class]])</f>
        <v>1</v>
      </c>
      <c r="E654" s="15">
        <f>ClasswiseUniqueStudents7[[#This Row],[Total Count]]*500</f>
        <v>500</v>
      </c>
      <c r="F654" s="15"/>
    </row>
    <row r="655" spans="1:6">
      <c r="A655" s="5">
        <v>654</v>
      </c>
      <c r="B655" s="3" t="s">
        <v>286</v>
      </c>
      <c r="C655" s="15" t="s">
        <v>3322</v>
      </c>
      <c r="D655" s="5">
        <f>COUNTIFS('Raw Entries'!B:B,ClasswiseUniqueStudents7[[#This Row],[Unique Student Name]],'Raw Entries'!C:C,ClasswiseUniqueStudents7[[#This Row],[Class]])</f>
        <v>3</v>
      </c>
      <c r="E655" s="15">
        <f>ClasswiseUniqueStudents7[[#This Row],[Total Count]]*500</f>
        <v>1500</v>
      </c>
      <c r="F655" s="15"/>
    </row>
    <row r="656" spans="1:6">
      <c r="A656" s="5">
        <v>655</v>
      </c>
      <c r="B656" s="3" t="s">
        <v>429</v>
      </c>
      <c r="C656" s="15" t="s">
        <v>2355</v>
      </c>
      <c r="D656" s="5">
        <f>COUNTIFS('Raw Entries'!B:B,ClasswiseUniqueStudents7[[#This Row],[Unique Student Name]],'Raw Entries'!C:C,ClasswiseUniqueStudents7[[#This Row],[Class]])</f>
        <v>3</v>
      </c>
      <c r="E656" s="15">
        <f>ClasswiseUniqueStudents7[[#This Row],[Total Count]]*500</f>
        <v>1500</v>
      </c>
      <c r="F656" s="15"/>
    </row>
    <row r="657" spans="1:6">
      <c r="A657" s="5">
        <v>656</v>
      </c>
      <c r="B657" s="3" t="s">
        <v>51</v>
      </c>
      <c r="C657" s="15" t="s">
        <v>3767</v>
      </c>
      <c r="D657" s="5">
        <f>COUNTIFS('Raw Entries'!B:B,ClasswiseUniqueStudents7[[#This Row],[Unique Student Name]],'Raw Entries'!C:C,ClasswiseUniqueStudents7[[#This Row],[Class]])</f>
        <v>1</v>
      </c>
      <c r="E657" s="15">
        <f>ClasswiseUniqueStudents7[[#This Row],[Total Count]]*500</f>
        <v>500</v>
      </c>
      <c r="F657" s="15"/>
    </row>
    <row r="658" spans="1:6">
      <c r="A658" s="5">
        <v>657</v>
      </c>
      <c r="B658" s="3" t="s">
        <v>294</v>
      </c>
      <c r="C658" s="15" t="s">
        <v>1985</v>
      </c>
      <c r="D658" s="5">
        <f>COUNTIFS('Raw Entries'!B:B,ClasswiseUniqueStudents7[[#This Row],[Unique Student Name]],'Raw Entries'!C:C,ClasswiseUniqueStudents7[[#This Row],[Class]])</f>
        <v>1</v>
      </c>
      <c r="E658" s="15">
        <f>ClasswiseUniqueStudents7[[#This Row],[Total Count]]*500</f>
        <v>500</v>
      </c>
      <c r="F658" s="15"/>
    </row>
    <row r="659" spans="1:6">
      <c r="A659" s="5">
        <v>658</v>
      </c>
      <c r="B659" s="3" t="s">
        <v>113</v>
      </c>
      <c r="C659" s="15" t="s">
        <v>2908</v>
      </c>
      <c r="D659" s="5">
        <f>COUNTIFS('Raw Entries'!B:B,ClasswiseUniqueStudents7[[#This Row],[Unique Student Name]],'Raw Entries'!C:C,ClasswiseUniqueStudents7[[#This Row],[Class]])</f>
        <v>1</v>
      </c>
      <c r="E659" s="15">
        <f>ClasswiseUniqueStudents7[[#This Row],[Total Count]]*500</f>
        <v>500</v>
      </c>
      <c r="F659" s="15"/>
    </row>
    <row r="660" spans="1:6">
      <c r="A660" s="5">
        <v>659</v>
      </c>
      <c r="B660" s="3" t="s">
        <v>68</v>
      </c>
      <c r="C660" s="15" t="s">
        <v>3644</v>
      </c>
      <c r="D660" s="5">
        <f>COUNTIFS('Raw Entries'!B:B,ClasswiseUniqueStudents7[[#This Row],[Unique Student Name]],'Raw Entries'!C:C,ClasswiseUniqueStudents7[[#This Row],[Class]])</f>
        <v>3</v>
      </c>
      <c r="E660" s="15">
        <f>ClasswiseUniqueStudents7[[#This Row],[Total Count]]*500</f>
        <v>1500</v>
      </c>
      <c r="F660" s="15"/>
    </row>
    <row r="661" spans="1:6">
      <c r="A661" s="5">
        <v>660</v>
      </c>
      <c r="B661" s="3" t="s">
        <v>128</v>
      </c>
      <c r="C661" s="15" t="s">
        <v>2961</v>
      </c>
      <c r="D661" s="5">
        <f>COUNTIFS('Raw Entries'!B:B,ClasswiseUniqueStudents7[[#This Row],[Unique Student Name]],'Raw Entries'!C:C,ClasswiseUniqueStudents7[[#This Row],[Class]])</f>
        <v>3</v>
      </c>
      <c r="E661" s="15">
        <f>ClasswiseUniqueStudents7[[#This Row],[Total Count]]*500</f>
        <v>1500</v>
      </c>
      <c r="F661" s="15"/>
    </row>
    <row r="662" spans="1:6">
      <c r="A662" s="5">
        <v>661</v>
      </c>
      <c r="B662" s="3" t="s">
        <v>1884</v>
      </c>
      <c r="C662" s="15" t="s">
        <v>2708</v>
      </c>
      <c r="D662" s="5">
        <f>COUNTIFS('Raw Entries'!B:B,ClasswiseUniqueStudents7[[#This Row],[Unique Student Name]],'Raw Entries'!C:C,ClasswiseUniqueStudents7[[#This Row],[Class]])</f>
        <v>3</v>
      </c>
      <c r="E662" s="15">
        <f>ClasswiseUniqueStudents7[[#This Row],[Total Count]]*500</f>
        <v>1500</v>
      </c>
      <c r="F662" s="15"/>
    </row>
    <row r="663" spans="1:6">
      <c r="A663" s="5">
        <v>662</v>
      </c>
      <c r="B663" s="3" t="s">
        <v>205</v>
      </c>
      <c r="C663" s="15" t="s">
        <v>3133</v>
      </c>
      <c r="D663" s="5">
        <f>COUNTIFS('Raw Entries'!B:B,ClasswiseUniqueStudents7[[#This Row],[Unique Student Name]],'Raw Entries'!C:C,ClasswiseUniqueStudents7[[#This Row],[Class]])</f>
        <v>3</v>
      </c>
      <c r="E663" s="15">
        <f>ClasswiseUniqueStudents7[[#This Row],[Total Count]]*500</f>
        <v>1500</v>
      </c>
      <c r="F663" s="15"/>
    </row>
    <row r="664" spans="1:6">
      <c r="A664" s="5">
        <v>663</v>
      </c>
      <c r="B664" s="3" t="s">
        <v>304</v>
      </c>
      <c r="C664" s="15" t="s">
        <v>3423</v>
      </c>
      <c r="D664" s="5">
        <f>COUNTIFS('Raw Entries'!B:B,ClasswiseUniqueStudents7[[#This Row],[Unique Student Name]],'Raw Entries'!C:C,ClasswiseUniqueStudents7[[#This Row],[Class]])</f>
        <v>3</v>
      </c>
      <c r="E664" s="15">
        <f>ClasswiseUniqueStudents7[[#This Row],[Total Count]]*500</f>
        <v>1500</v>
      </c>
      <c r="F664" s="15"/>
    </row>
    <row r="665" spans="1:6">
      <c r="A665" s="5">
        <v>664</v>
      </c>
      <c r="B665" s="3" t="s">
        <v>572</v>
      </c>
      <c r="C665" s="15" t="s">
        <v>2684</v>
      </c>
      <c r="D665" s="5">
        <f>COUNTIFS('Raw Entries'!B:B,ClasswiseUniqueStudents7[[#This Row],[Unique Student Name]],'Raw Entries'!C:C,ClasswiseUniqueStudents7[[#This Row],[Class]])</f>
        <v>2</v>
      </c>
      <c r="E665" s="15">
        <f>ClasswiseUniqueStudents7[[#This Row],[Total Count]]*500</f>
        <v>1000</v>
      </c>
      <c r="F665" s="15"/>
    </row>
    <row r="666" spans="1:6">
      <c r="A666" s="5">
        <v>665</v>
      </c>
      <c r="B666" s="3" t="s">
        <v>304</v>
      </c>
      <c r="C666" s="15" t="s">
        <v>3426</v>
      </c>
      <c r="D666" s="5">
        <f>COUNTIFS('Raw Entries'!B:B,ClasswiseUniqueStudents7[[#This Row],[Unique Student Name]],'Raw Entries'!C:C,ClasswiseUniqueStudents7[[#This Row],[Class]])</f>
        <v>1</v>
      </c>
      <c r="E666" s="15">
        <f>ClasswiseUniqueStudents7[[#This Row],[Total Count]]*500</f>
        <v>500</v>
      </c>
      <c r="F666" s="15"/>
    </row>
    <row r="667" spans="1:6">
      <c r="A667" s="5">
        <v>666</v>
      </c>
      <c r="B667" s="3" t="s">
        <v>128</v>
      </c>
      <c r="C667" s="15" t="s">
        <v>2964</v>
      </c>
      <c r="D667" s="5">
        <f>COUNTIFS('Raw Entries'!B:B,ClasswiseUniqueStudents7[[#This Row],[Unique Student Name]],'Raw Entries'!C:C,ClasswiseUniqueStudents7[[#This Row],[Class]])</f>
        <v>3</v>
      </c>
      <c r="E667" s="15">
        <f>ClasswiseUniqueStudents7[[#This Row],[Total Count]]*500</f>
        <v>1500</v>
      </c>
      <c r="F667" s="15"/>
    </row>
    <row r="668" spans="1:6">
      <c r="A668" s="5">
        <v>667</v>
      </c>
      <c r="B668" s="3" t="s">
        <v>415</v>
      </c>
      <c r="C668" s="15" t="s">
        <v>2642</v>
      </c>
      <c r="D668" s="5">
        <f>COUNTIFS('Raw Entries'!B:B,ClasswiseUniqueStudents7[[#This Row],[Unique Student Name]],'Raw Entries'!C:C,ClasswiseUniqueStudents7[[#This Row],[Class]])</f>
        <v>1</v>
      </c>
      <c r="E668" s="15">
        <f>ClasswiseUniqueStudents7[[#This Row],[Total Count]]*500</f>
        <v>500</v>
      </c>
      <c r="F668" s="15"/>
    </row>
    <row r="669" spans="1:6">
      <c r="A669" s="5">
        <v>668</v>
      </c>
      <c r="B669" s="3" t="s">
        <v>320</v>
      </c>
      <c r="C669" s="15" t="s">
        <v>3457</v>
      </c>
      <c r="D669" s="5">
        <f>COUNTIFS('Raw Entries'!B:B,ClasswiseUniqueStudents7[[#This Row],[Unique Student Name]],'Raw Entries'!C:C,ClasswiseUniqueStudents7[[#This Row],[Class]])</f>
        <v>1</v>
      </c>
      <c r="E669" s="15">
        <f>ClasswiseUniqueStudents7[[#This Row],[Total Count]]*500</f>
        <v>500</v>
      </c>
      <c r="F669" s="15"/>
    </row>
    <row r="670" spans="1:6">
      <c r="A670" s="5">
        <v>669</v>
      </c>
      <c r="B670" s="3" t="s">
        <v>526</v>
      </c>
      <c r="C670" s="15" t="s">
        <v>2033</v>
      </c>
      <c r="D670" s="5">
        <f>COUNTIFS('Raw Entries'!B:B,ClasswiseUniqueStudents7[[#This Row],[Unique Student Name]],'Raw Entries'!C:C,ClasswiseUniqueStudents7[[#This Row],[Class]])</f>
        <v>1</v>
      </c>
      <c r="E670" s="15">
        <f>ClasswiseUniqueStudents7[[#This Row],[Total Count]]*500</f>
        <v>500</v>
      </c>
      <c r="F670" s="15"/>
    </row>
    <row r="671" spans="1:6">
      <c r="A671" s="5">
        <v>670</v>
      </c>
      <c r="B671" s="3" t="s">
        <v>4</v>
      </c>
      <c r="C671" s="15" t="s">
        <v>3730</v>
      </c>
      <c r="D671" s="5">
        <f>COUNTIFS('Raw Entries'!B:B,ClasswiseUniqueStudents7[[#This Row],[Unique Student Name]],'Raw Entries'!C:C,ClasswiseUniqueStudents7[[#This Row],[Class]])</f>
        <v>1</v>
      </c>
      <c r="E671" s="15">
        <f>ClasswiseUniqueStudents7[[#This Row],[Total Count]]*500</f>
        <v>500</v>
      </c>
      <c r="F671" s="15"/>
    </row>
    <row r="672" spans="1:6">
      <c r="A672" s="5">
        <v>671</v>
      </c>
      <c r="B672" s="3" t="s">
        <v>574</v>
      </c>
      <c r="C672" s="15" t="s">
        <v>2689</v>
      </c>
      <c r="D672" s="5">
        <f>COUNTIFS('Raw Entries'!B:B,ClasswiseUniqueStudents7[[#This Row],[Unique Student Name]],'Raw Entries'!C:C,ClasswiseUniqueStudents7[[#This Row],[Class]])</f>
        <v>1</v>
      </c>
      <c r="E672" s="15">
        <f>ClasswiseUniqueStudents7[[#This Row],[Total Count]]*500</f>
        <v>500</v>
      </c>
      <c r="F672" s="15"/>
    </row>
    <row r="673" spans="1:6">
      <c r="A673" s="5">
        <v>672</v>
      </c>
      <c r="B673" s="3" t="s">
        <v>171</v>
      </c>
      <c r="C673" s="15" t="s">
        <v>3050</v>
      </c>
      <c r="D673" s="5">
        <f>COUNTIFS('Raw Entries'!B:B,ClasswiseUniqueStudents7[[#This Row],[Unique Student Name]],'Raw Entries'!C:C,ClasswiseUniqueStudents7[[#This Row],[Class]])</f>
        <v>1</v>
      </c>
      <c r="E673" s="15">
        <f>ClasswiseUniqueStudents7[[#This Row],[Total Count]]*500</f>
        <v>500</v>
      </c>
      <c r="F673" s="15"/>
    </row>
    <row r="674" spans="1:6">
      <c r="A674" s="5">
        <v>673</v>
      </c>
      <c r="B674" s="3" t="s">
        <v>62</v>
      </c>
      <c r="C674" s="15" t="s">
        <v>3830</v>
      </c>
      <c r="D674" s="5">
        <f>COUNTIFS('Raw Entries'!B:B,ClasswiseUniqueStudents7[[#This Row],[Unique Student Name]],'Raw Entries'!C:C,ClasswiseUniqueStudents7[[#This Row],[Class]])</f>
        <v>3</v>
      </c>
      <c r="E674" s="15">
        <f>ClasswiseUniqueStudents7[[#This Row],[Total Count]]*500</f>
        <v>1500</v>
      </c>
      <c r="F674" s="15"/>
    </row>
    <row r="675" spans="1:6">
      <c r="A675" s="5">
        <v>674</v>
      </c>
      <c r="B675" s="3" t="s">
        <v>4</v>
      </c>
      <c r="C675" s="15" t="s">
        <v>3731</v>
      </c>
      <c r="D675" s="5">
        <f>COUNTIFS('Raw Entries'!B:B,ClasswiseUniqueStudents7[[#This Row],[Unique Student Name]],'Raw Entries'!C:C,ClasswiseUniqueStudents7[[#This Row],[Class]])</f>
        <v>1</v>
      </c>
      <c r="E675" s="15">
        <f>ClasswiseUniqueStudents7[[#This Row],[Total Count]]*500</f>
        <v>500</v>
      </c>
      <c r="F675" s="15"/>
    </row>
    <row r="676" spans="1:6">
      <c r="A676" s="5">
        <v>675</v>
      </c>
      <c r="B676" s="3" t="s">
        <v>294</v>
      </c>
      <c r="C676" s="15" t="s">
        <v>298</v>
      </c>
      <c r="D676" s="5">
        <f>COUNTIFS('Raw Entries'!B:B,ClasswiseUniqueStudents7[[#This Row],[Unique Student Name]],'Raw Entries'!C:C,ClasswiseUniqueStudents7[[#This Row],[Class]])</f>
        <v>1</v>
      </c>
      <c r="E676" s="15">
        <f>ClasswiseUniqueStudents7[[#This Row],[Total Count]]*500</f>
        <v>500</v>
      </c>
      <c r="F676" s="15"/>
    </row>
    <row r="677" spans="1:6">
      <c r="A677" s="5">
        <v>676</v>
      </c>
      <c r="B677" s="3" t="s">
        <v>149</v>
      </c>
      <c r="C677" s="15" t="s">
        <v>3006</v>
      </c>
      <c r="D677" s="5">
        <f>COUNTIFS('Raw Entries'!B:B,ClasswiseUniqueStudents7[[#This Row],[Unique Student Name]],'Raw Entries'!C:C,ClasswiseUniqueStudents7[[#This Row],[Class]])</f>
        <v>1</v>
      </c>
      <c r="E677" s="15">
        <f>ClasswiseUniqueStudents7[[#This Row],[Total Count]]*500</f>
        <v>500</v>
      </c>
      <c r="F677" s="15"/>
    </row>
    <row r="678" spans="1:6">
      <c r="A678" s="5">
        <v>677</v>
      </c>
      <c r="B678" s="3" t="s">
        <v>113</v>
      </c>
      <c r="C678" s="15" t="s">
        <v>2913</v>
      </c>
      <c r="D678" s="5">
        <f>COUNTIFS('Raw Entries'!B:B,ClasswiseUniqueStudents7[[#This Row],[Unique Student Name]],'Raw Entries'!C:C,ClasswiseUniqueStudents7[[#This Row],[Class]])</f>
        <v>1</v>
      </c>
      <c r="E678" s="15">
        <f>ClasswiseUniqueStudents7[[#This Row],[Total Count]]*500</f>
        <v>500</v>
      </c>
      <c r="F678" s="15"/>
    </row>
    <row r="679" spans="1:6">
      <c r="A679" s="5">
        <v>678</v>
      </c>
      <c r="B679" s="3" t="s">
        <v>62</v>
      </c>
      <c r="C679" s="15" t="s">
        <v>3833</v>
      </c>
      <c r="D679" s="5">
        <f>COUNTIFS('Raw Entries'!B:B,ClasswiseUniqueStudents7[[#This Row],[Unique Student Name]],'Raw Entries'!C:C,ClasswiseUniqueStudents7[[#This Row],[Class]])</f>
        <v>3</v>
      </c>
      <c r="E679" s="15">
        <f>ClasswiseUniqueStudents7[[#This Row],[Total Count]]*500</f>
        <v>1500</v>
      </c>
      <c r="F679" s="15"/>
    </row>
    <row r="680" spans="1:6">
      <c r="A680" s="5">
        <v>679</v>
      </c>
      <c r="B680" s="3" t="s">
        <v>227</v>
      </c>
      <c r="C680" s="15" t="s">
        <v>3214</v>
      </c>
      <c r="D680" s="5">
        <f>COUNTIFS('Raw Entries'!B:B,ClasswiseUniqueStudents7[[#This Row],[Unique Student Name]],'Raw Entries'!C:C,ClasswiseUniqueStudents7[[#This Row],[Class]])</f>
        <v>1</v>
      </c>
      <c r="E680" s="15">
        <f>ClasswiseUniqueStudents7[[#This Row],[Total Count]]*500</f>
        <v>500</v>
      </c>
      <c r="F680" s="15"/>
    </row>
    <row r="681" spans="1:6">
      <c r="A681" s="5">
        <v>680</v>
      </c>
      <c r="B681" s="3" t="s">
        <v>252</v>
      </c>
      <c r="C681" s="15" t="s">
        <v>3261</v>
      </c>
      <c r="D681" s="5">
        <f>COUNTIFS('Raw Entries'!B:B,ClasswiseUniqueStudents7[[#This Row],[Unique Student Name]],'Raw Entries'!C:C,ClasswiseUniqueStudents7[[#This Row],[Class]])</f>
        <v>2</v>
      </c>
      <c r="E681" s="15">
        <f>ClasswiseUniqueStudents7[[#This Row],[Total Count]]*500</f>
        <v>1000</v>
      </c>
      <c r="F681" s="15"/>
    </row>
    <row r="682" spans="1:6">
      <c r="A682" s="5">
        <v>681</v>
      </c>
      <c r="B682" s="3" t="s">
        <v>232</v>
      </c>
      <c r="C682" s="15" t="s">
        <v>3237</v>
      </c>
      <c r="D682" s="5">
        <f>COUNTIFS('Raw Entries'!B:B,ClasswiseUniqueStudents7[[#This Row],[Unique Student Name]],'Raw Entries'!C:C,ClasswiseUniqueStudents7[[#This Row],[Class]])</f>
        <v>3</v>
      </c>
      <c r="E682" s="15">
        <f>ClasswiseUniqueStudents7[[#This Row],[Total Count]]*500</f>
        <v>1500</v>
      </c>
      <c r="F682" s="15"/>
    </row>
    <row r="683" spans="1:6">
      <c r="A683" s="5">
        <v>682</v>
      </c>
      <c r="B683" s="3" t="s">
        <v>299</v>
      </c>
      <c r="C683" s="15" t="s">
        <v>3382</v>
      </c>
      <c r="D683" s="5">
        <f>COUNTIFS('Raw Entries'!B:B,ClasswiseUniqueStudents7[[#This Row],[Unique Student Name]],'Raw Entries'!C:C,ClasswiseUniqueStudents7[[#This Row],[Class]])</f>
        <v>1</v>
      </c>
      <c r="E683" s="15">
        <f>ClasswiseUniqueStudents7[[#This Row],[Total Count]]*500</f>
        <v>500</v>
      </c>
      <c r="F683" s="15"/>
    </row>
    <row r="684" spans="1:6">
      <c r="A684" s="5">
        <v>683</v>
      </c>
      <c r="B684" s="3" t="s">
        <v>227</v>
      </c>
      <c r="C684" s="15" t="s">
        <v>3215</v>
      </c>
      <c r="D684" s="5">
        <f>COUNTIFS('Raw Entries'!B:B,ClasswiseUniqueStudents7[[#This Row],[Unique Student Name]],'Raw Entries'!C:C,ClasswiseUniqueStudents7[[#This Row],[Class]])</f>
        <v>1</v>
      </c>
      <c r="E684" s="15">
        <f>ClasswiseUniqueStudents7[[#This Row],[Total Count]]*500</f>
        <v>500</v>
      </c>
      <c r="F684" s="15"/>
    </row>
    <row r="685" spans="1:6">
      <c r="A685" s="5">
        <v>684</v>
      </c>
      <c r="B685" s="3" t="s">
        <v>467</v>
      </c>
      <c r="C685" s="15" t="s">
        <v>2148</v>
      </c>
      <c r="D685" s="5">
        <f>COUNTIFS('Raw Entries'!B:B,ClasswiseUniqueStudents7[[#This Row],[Unique Student Name]],'Raw Entries'!C:C,ClasswiseUniqueStudents7[[#This Row],[Class]])</f>
        <v>1</v>
      </c>
      <c r="E685" s="15">
        <f>ClasswiseUniqueStudents7[[#This Row],[Total Count]]*500</f>
        <v>500</v>
      </c>
      <c r="F685" s="15"/>
    </row>
    <row r="686" spans="1:6">
      <c r="A686" s="5">
        <v>685</v>
      </c>
      <c r="B686" s="3" t="s">
        <v>32</v>
      </c>
      <c r="C686" s="15" t="s">
        <v>3758</v>
      </c>
      <c r="D686" s="5">
        <f>COUNTIFS('Raw Entries'!B:B,ClasswiseUniqueStudents7[[#This Row],[Unique Student Name]],'Raw Entries'!C:C,ClasswiseUniqueStudents7[[#This Row],[Class]])</f>
        <v>2</v>
      </c>
      <c r="E686" s="15">
        <f>ClasswiseUniqueStudents7[[#This Row],[Total Count]]*500</f>
        <v>1000</v>
      </c>
      <c r="F686" s="15"/>
    </row>
    <row r="687" spans="1:6">
      <c r="A687" s="5">
        <v>686</v>
      </c>
      <c r="B687" s="3" t="s">
        <v>32</v>
      </c>
      <c r="C687" s="15" t="s">
        <v>3759</v>
      </c>
      <c r="D687" s="5">
        <f>COUNTIFS('Raw Entries'!B:B,ClasswiseUniqueStudents7[[#This Row],[Unique Student Name]],'Raw Entries'!C:C,ClasswiseUniqueStudents7[[#This Row],[Class]])</f>
        <v>3</v>
      </c>
      <c r="E687" s="15">
        <f>ClasswiseUniqueStudents7[[#This Row],[Total Count]]*500</f>
        <v>1500</v>
      </c>
      <c r="F687" s="15"/>
    </row>
    <row r="688" spans="1:6">
      <c r="A688" s="5">
        <v>687</v>
      </c>
      <c r="B688" s="3" t="s">
        <v>467</v>
      </c>
      <c r="C688" s="15" t="s">
        <v>3941</v>
      </c>
      <c r="D688" s="5">
        <f>COUNTIFS('Raw Entries'!B:B,ClasswiseUniqueStudents7[[#This Row],[Unique Student Name]],'Raw Entries'!C:C,ClasswiseUniqueStudents7[[#This Row],[Class]])</f>
        <v>1</v>
      </c>
      <c r="E688" s="15">
        <f>ClasswiseUniqueStudents7[[#This Row],[Total Count]]*500</f>
        <v>500</v>
      </c>
      <c r="F688" s="15"/>
    </row>
    <row r="689" spans="1:6">
      <c r="A689" s="5">
        <v>688</v>
      </c>
      <c r="B689" s="3" t="s">
        <v>113</v>
      </c>
      <c r="C689" s="15" t="s">
        <v>3953</v>
      </c>
      <c r="D689" s="5">
        <f>COUNTIFS('Raw Entries'!B:B,ClasswiseUniqueStudents7[[#This Row],[Unique Student Name]],'Raw Entries'!C:C,ClasswiseUniqueStudents7[[#This Row],[Class]])</f>
        <v>1</v>
      </c>
      <c r="E689" s="15">
        <f>ClasswiseUniqueStudents7[[#This Row],[Total Count]]*500</f>
        <v>500</v>
      </c>
      <c r="F689" s="15"/>
    </row>
    <row r="690" spans="1:6">
      <c r="A690" s="5">
        <v>689</v>
      </c>
      <c r="B690" s="3" t="s">
        <v>334</v>
      </c>
      <c r="C690" s="15" t="s">
        <v>3514</v>
      </c>
      <c r="D690" s="5">
        <f>COUNTIFS('Raw Entries'!B:B,ClasswiseUniqueStudents7[[#This Row],[Unique Student Name]],'Raw Entries'!C:C,ClasswiseUniqueStudents7[[#This Row],[Class]])</f>
        <v>3</v>
      </c>
      <c r="E690" s="15">
        <f>ClasswiseUniqueStudents7[[#This Row],[Total Count]]*500</f>
        <v>1500</v>
      </c>
      <c r="F690" s="15"/>
    </row>
    <row r="691" spans="1:6">
      <c r="A691" s="5">
        <v>690</v>
      </c>
      <c r="B691" s="3" t="s">
        <v>320</v>
      </c>
      <c r="C691" s="15" t="s">
        <v>3468</v>
      </c>
      <c r="D691" s="5">
        <f>COUNTIFS('Raw Entries'!B:B,ClasswiseUniqueStudents7[[#This Row],[Unique Student Name]],'Raw Entries'!C:C,ClasswiseUniqueStudents7[[#This Row],[Class]])</f>
        <v>1</v>
      </c>
      <c r="E691" s="15">
        <f>ClasswiseUniqueStudents7[[#This Row],[Total Count]]*500</f>
        <v>500</v>
      </c>
      <c r="F691" s="15"/>
    </row>
    <row r="692" spans="1:6">
      <c r="A692" s="5">
        <v>691</v>
      </c>
      <c r="B692" s="3" t="s">
        <v>20</v>
      </c>
      <c r="C692" s="15" t="s">
        <v>3748</v>
      </c>
      <c r="D692" s="5">
        <f>COUNTIFS('Raw Entries'!B:B,ClasswiseUniqueStudents7[[#This Row],[Unique Student Name]],'Raw Entries'!C:C,ClasswiseUniqueStudents7[[#This Row],[Class]])</f>
        <v>1</v>
      </c>
      <c r="E692" s="15">
        <f>ClasswiseUniqueStudents7[[#This Row],[Total Count]]*500</f>
        <v>500</v>
      </c>
      <c r="F692" s="15"/>
    </row>
    <row r="693" spans="1:6">
      <c r="A693" s="5">
        <v>692</v>
      </c>
      <c r="B693" s="3" t="s">
        <v>51</v>
      </c>
      <c r="C693" s="15" t="s">
        <v>3785</v>
      </c>
      <c r="D693" s="5">
        <f>COUNTIFS('Raw Entries'!B:B,ClasswiseUniqueStudents7[[#This Row],[Unique Student Name]],'Raw Entries'!C:C,ClasswiseUniqueStudents7[[#This Row],[Class]])</f>
        <v>1</v>
      </c>
      <c r="E693" s="15">
        <f>ClasswiseUniqueStudents7[[#This Row],[Total Count]]*500</f>
        <v>500</v>
      </c>
      <c r="F693" s="15"/>
    </row>
    <row r="694" spans="1:6">
      <c r="A694" s="5">
        <v>693</v>
      </c>
      <c r="B694" s="3" t="s">
        <v>265</v>
      </c>
      <c r="C694" s="15" t="s">
        <v>3295</v>
      </c>
      <c r="D694" s="5">
        <f>COUNTIFS('Raw Entries'!B:B,ClasswiseUniqueStudents7[[#This Row],[Unique Student Name]],'Raw Entries'!C:C,ClasswiseUniqueStudents7[[#This Row],[Class]])</f>
        <v>3</v>
      </c>
      <c r="E694" s="15">
        <f>ClasswiseUniqueStudents7[[#This Row],[Total Count]]*500</f>
        <v>1500</v>
      </c>
      <c r="F694" s="15"/>
    </row>
    <row r="695" spans="1:6">
      <c r="A695" s="5">
        <v>694</v>
      </c>
      <c r="B695" s="3" t="s">
        <v>294</v>
      </c>
      <c r="C695" s="15" t="s">
        <v>3370</v>
      </c>
      <c r="D695" s="5">
        <f>COUNTIFS('Raw Entries'!B:B,ClasswiseUniqueStudents7[[#This Row],[Unique Student Name]],'Raw Entries'!C:C,ClasswiseUniqueStudents7[[#This Row],[Class]])</f>
        <v>1</v>
      </c>
      <c r="E695" s="15">
        <f>ClasswiseUniqueStudents7[[#This Row],[Total Count]]*500</f>
        <v>500</v>
      </c>
      <c r="F695" s="15"/>
    </row>
    <row r="696" spans="1:6">
      <c r="A696" s="5">
        <v>695</v>
      </c>
      <c r="B696" s="3" t="s">
        <v>4</v>
      </c>
      <c r="C696" s="15" t="s">
        <v>3735</v>
      </c>
      <c r="D696" s="5">
        <f>COUNTIFS('Raw Entries'!B:B,ClasswiseUniqueStudents7[[#This Row],[Unique Student Name]],'Raw Entries'!C:C,ClasswiseUniqueStudents7[[#This Row],[Class]])</f>
        <v>3</v>
      </c>
      <c r="E696" s="15">
        <f>ClasswiseUniqueStudents7[[#This Row],[Total Count]]*500</f>
        <v>1500</v>
      </c>
      <c r="F696" s="15"/>
    </row>
    <row r="697" spans="1:6">
      <c r="A697" s="5">
        <v>696</v>
      </c>
      <c r="B697" s="44" t="s">
        <v>175</v>
      </c>
      <c r="C697" s="45" t="s">
        <v>108</v>
      </c>
      <c r="D697" s="5">
        <f>COUNTIFS('Raw Entries'!B:B,ClasswiseUniqueStudents7[[#This Row],[Unique Student Name]],'Raw Entries'!C:C,ClasswiseUniqueStudents7[[#This Row],[Class]])</f>
        <v>1</v>
      </c>
      <c r="E697" s="15">
        <f>ClasswiseUniqueStudents7[[#This Row],[Total Count]]*500</f>
        <v>500</v>
      </c>
      <c r="F697" s="15"/>
    </row>
    <row r="698" spans="1:6">
      <c r="A698" s="5">
        <v>697</v>
      </c>
      <c r="B698" s="15"/>
      <c r="C698" s="15" t="s">
        <v>3960</v>
      </c>
      <c r="D698" s="5">
        <f>COUNTIFS('Raw Entries'!B:B,ClasswiseUniqueStudents7[[#This Row],[Unique Student Name]],'Raw Entries'!C:C,ClasswiseUniqueStudents7[[#This Row],[Class]])</f>
        <v>0</v>
      </c>
      <c r="E698" s="15">
        <f>ClasswiseUniqueStudents7[[#This Row],[Total Count]]*500</f>
        <v>0</v>
      </c>
      <c r="F698" s="15"/>
    </row>
    <row r="699" spans="1:6">
      <c r="A699" s="5">
        <v>698</v>
      </c>
      <c r="B699" s="15"/>
      <c r="C699" s="15" t="s">
        <v>3960</v>
      </c>
      <c r="D699" s="5">
        <f>COUNTIFS('Raw Entries'!B:B,ClasswiseUniqueStudents7[[#This Row],[Unique Student Name]],'Raw Entries'!C:C,ClasswiseUniqueStudents7[[#This Row],[Class]])</f>
        <v>0</v>
      </c>
      <c r="E699" s="15">
        <f>ClasswiseUniqueStudents7[[#This Row],[Total Count]]*500</f>
        <v>0</v>
      </c>
      <c r="F699" s="15"/>
    </row>
    <row r="700" spans="1:6">
      <c r="A700" s="5">
        <v>699</v>
      </c>
      <c r="B700" s="15"/>
      <c r="C700" s="15" t="s">
        <v>3960</v>
      </c>
      <c r="D700" s="5">
        <f>COUNTIFS('Raw Entries'!B:B,ClasswiseUniqueStudents7[[#This Row],[Unique Student Name]],'Raw Entries'!C:C,ClasswiseUniqueStudents7[[#This Row],[Class]])</f>
        <v>0</v>
      </c>
      <c r="E700" s="15">
        <f>ClasswiseUniqueStudents7[[#This Row],[Total Count]]*500</f>
        <v>0</v>
      </c>
      <c r="F700" s="15"/>
    </row>
    <row r="701" spans="1:6">
      <c r="A701" s="5">
        <v>700</v>
      </c>
      <c r="B701" s="15"/>
      <c r="C701" s="15" t="s">
        <v>3960</v>
      </c>
      <c r="D701" s="5">
        <f>COUNTIFS('Raw Entries'!B:B,ClasswiseUniqueStudents7[[#This Row],[Unique Student Name]],'Raw Entries'!C:C,ClasswiseUniqueStudents7[[#This Row],[Class]])</f>
        <v>0</v>
      </c>
      <c r="E701" s="15">
        <f>ClasswiseUniqueStudents7[[#This Row],[Total Count]]*500</f>
        <v>0</v>
      </c>
      <c r="F701" s="15"/>
    </row>
    <row r="702" spans="1:6">
      <c r="A702" s="5">
        <v>701</v>
      </c>
      <c r="B702" s="15"/>
      <c r="C702" s="15" t="s">
        <v>3960</v>
      </c>
      <c r="D702" s="5">
        <f>COUNTIFS('Raw Entries'!B:B,ClasswiseUniqueStudents7[[#This Row],[Unique Student Name]],'Raw Entries'!C:C,ClasswiseUniqueStudents7[[#This Row],[Class]])</f>
        <v>0</v>
      </c>
      <c r="E702" s="15">
        <f>ClasswiseUniqueStudents7[[#This Row],[Total Count]]*500</f>
        <v>0</v>
      </c>
      <c r="F702" s="15"/>
    </row>
    <row r="703" spans="1:6">
      <c r="A703" s="5">
        <v>702</v>
      </c>
      <c r="B703" s="15"/>
      <c r="C703" s="15" t="s">
        <v>3960</v>
      </c>
      <c r="D703" s="5">
        <f>COUNTIFS('Raw Entries'!B:B,ClasswiseUniqueStudents7[[#This Row],[Unique Student Name]],'Raw Entries'!C:C,ClasswiseUniqueStudents7[[#This Row],[Class]])</f>
        <v>0</v>
      </c>
      <c r="E703" s="15">
        <f>ClasswiseUniqueStudents7[[#This Row],[Total Count]]*500</f>
        <v>0</v>
      </c>
      <c r="F703" s="15"/>
    </row>
    <row r="704" spans="1:6">
      <c r="A704" s="5">
        <v>703</v>
      </c>
      <c r="B704" s="15"/>
      <c r="C704" s="15"/>
      <c r="D704" s="5">
        <f>COUNTIFS('Raw Entries'!B:B,ClasswiseUniqueStudents7[[#This Row],[Unique Student Name]],'Raw Entries'!C:C,ClasswiseUniqueStudents7[[#This Row],[Class]])</f>
        <v>0</v>
      </c>
      <c r="E704" s="15">
        <f>ClasswiseUniqueStudents7[[#This Row],[Total Count]]*500</f>
        <v>0</v>
      </c>
      <c r="F704" s="15"/>
    </row>
    <row r="705" spans="1:6">
      <c r="A705" s="5">
        <v>704</v>
      </c>
      <c r="B705" s="15"/>
      <c r="C705" s="15" t="s">
        <v>3960</v>
      </c>
      <c r="D705" s="5">
        <f>COUNTIFS('Raw Entries'!B:B,ClasswiseUniqueStudents7[[#This Row],[Unique Student Name]],'Raw Entries'!C:C,ClasswiseUniqueStudents7[[#This Row],[Class]])</f>
        <v>0</v>
      </c>
      <c r="E705" s="15">
        <f>ClasswiseUniqueStudents7[[#This Row],[Total Count]]*500</f>
        <v>0</v>
      </c>
      <c r="F705" s="15"/>
    </row>
    <row r="706" spans="1:6">
      <c r="A706" s="5">
        <v>705</v>
      </c>
      <c r="B706" s="15"/>
      <c r="C706" s="15" t="s">
        <v>3960</v>
      </c>
      <c r="D706" s="5">
        <f>COUNTIFS('Raw Entries'!B:B,ClasswiseUniqueStudents7[[#This Row],[Unique Student Name]],'Raw Entries'!C:C,ClasswiseUniqueStudents7[[#This Row],[Class]])</f>
        <v>0</v>
      </c>
      <c r="E706" s="15">
        <f>ClasswiseUniqueStudents7[[#This Row],[Total Count]]*500</f>
        <v>0</v>
      </c>
      <c r="F706" s="15"/>
    </row>
    <row r="707" spans="1:6">
      <c r="A707" s="5">
        <v>706</v>
      </c>
      <c r="B707" s="15"/>
      <c r="C707" s="15" t="s">
        <v>3960</v>
      </c>
      <c r="D707" s="5">
        <f>COUNTIFS('Raw Entries'!B:B,ClasswiseUniqueStudents7[[#This Row],[Unique Student Name]],'Raw Entries'!C:C,ClasswiseUniqueStudents7[[#This Row],[Class]])</f>
        <v>0</v>
      </c>
      <c r="E707" s="15">
        <f>ClasswiseUniqueStudents7[[#This Row],[Total Count]]*500</f>
        <v>0</v>
      </c>
      <c r="F707" s="15"/>
    </row>
    <row r="708" spans="1:6">
      <c r="A708" s="5">
        <v>707</v>
      </c>
      <c r="B708" s="15"/>
      <c r="C708" s="15" t="s">
        <v>3960</v>
      </c>
      <c r="D708" s="5">
        <f>COUNTIFS('Raw Entries'!B:B,ClasswiseUniqueStudents7[[#This Row],[Unique Student Name]],'Raw Entries'!C:C,ClasswiseUniqueStudents7[[#This Row],[Class]])</f>
        <v>0</v>
      </c>
      <c r="E708" s="15">
        <f>ClasswiseUniqueStudents7[[#This Row],[Total Count]]*500</f>
        <v>0</v>
      </c>
      <c r="F708" s="15"/>
    </row>
    <row r="709" spans="1:6">
      <c r="A709" s="5">
        <v>708</v>
      </c>
      <c r="B709" s="15"/>
      <c r="C709" s="15" t="s">
        <v>3960</v>
      </c>
      <c r="D709" s="5">
        <f>COUNTIFS('Raw Entries'!B:B,ClasswiseUniqueStudents7[[#This Row],[Unique Student Name]],'Raw Entries'!C:C,ClasswiseUniqueStudents7[[#This Row],[Class]])</f>
        <v>0</v>
      </c>
      <c r="E709" s="15">
        <f>ClasswiseUniqueStudents7[[#This Row],[Total Count]]*500</f>
        <v>0</v>
      </c>
      <c r="F709" s="15"/>
    </row>
    <row r="710" spans="1:6">
      <c r="A710" s="5">
        <v>709</v>
      </c>
      <c r="B710" s="15"/>
      <c r="C710" s="15" t="s">
        <v>3960</v>
      </c>
      <c r="D710" s="5">
        <f>COUNTIFS('Raw Entries'!B:B,ClasswiseUniqueStudents7[[#This Row],[Unique Student Name]],'Raw Entries'!C:C,ClasswiseUniqueStudents7[[#This Row],[Class]])</f>
        <v>0</v>
      </c>
      <c r="E710" s="15">
        <f>ClasswiseUniqueStudents7[[#This Row],[Total Count]]*500</f>
        <v>0</v>
      </c>
      <c r="F710" s="15"/>
    </row>
    <row r="711" spans="1:6">
      <c r="A711" s="5">
        <v>710</v>
      </c>
      <c r="B711" s="15"/>
      <c r="C711" s="15" t="s">
        <v>3960</v>
      </c>
      <c r="D711" s="5">
        <f>COUNTIFS('Raw Entries'!B:B,ClasswiseUniqueStudents7[[#This Row],[Unique Student Name]],'Raw Entries'!C:C,ClasswiseUniqueStudents7[[#This Row],[Class]])</f>
        <v>0</v>
      </c>
      <c r="E711" s="15">
        <f>ClasswiseUniqueStudents7[[#This Row],[Total Count]]*500</f>
        <v>0</v>
      </c>
      <c r="F711" s="15"/>
    </row>
    <row r="712" spans="1:6">
      <c r="A712" s="5">
        <v>711</v>
      </c>
      <c r="B712" s="15"/>
      <c r="C712" s="15" t="s">
        <v>3960</v>
      </c>
      <c r="D712" s="5">
        <f>COUNTIFS('Raw Entries'!B:B,ClasswiseUniqueStudents7[[#This Row],[Unique Student Name]],'Raw Entries'!C:C,ClasswiseUniqueStudents7[[#This Row],[Class]])</f>
        <v>0</v>
      </c>
      <c r="E712" s="15">
        <f>ClasswiseUniqueStudents7[[#This Row],[Total Count]]*500</f>
        <v>0</v>
      </c>
      <c r="F712" s="15"/>
    </row>
    <row r="713" spans="1:6">
      <c r="A713" s="5">
        <v>712</v>
      </c>
      <c r="B713" s="15"/>
      <c r="C713" s="15" t="s">
        <v>3960</v>
      </c>
      <c r="D713" s="5">
        <f>COUNTIFS('Raw Entries'!B:B,ClasswiseUniqueStudents7[[#This Row],[Unique Student Name]],'Raw Entries'!C:C,ClasswiseUniqueStudents7[[#This Row],[Class]])</f>
        <v>0</v>
      </c>
      <c r="E713" s="15">
        <f>ClasswiseUniqueStudents7[[#This Row],[Total Count]]*500</f>
        <v>0</v>
      </c>
      <c r="F713" s="15"/>
    </row>
    <row r="714" spans="1:6">
      <c r="A714" s="5">
        <v>713</v>
      </c>
      <c r="B714" s="15"/>
      <c r="C714" s="15" t="s">
        <v>3960</v>
      </c>
      <c r="D714" s="5">
        <f>COUNTIFS('Raw Entries'!B:B,ClasswiseUniqueStudents7[[#This Row],[Unique Student Name]],'Raw Entries'!C:C,ClasswiseUniqueStudents7[[#This Row],[Class]])</f>
        <v>0</v>
      </c>
      <c r="E714" s="15">
        <f>ClasswiseUniqueStudents7[[#This Row],[Total Count]]*500</f>
        <v>0</v>
      </c>
      <c r="F714" s="15"/>
    </row>
    <row r="715" spans="1:6">
      <c r="A715" s="5">
        <v>714</v>
      </c>
      <c r="B715" s="15"/>
      <c r="C715" s="15" t="s">
        <v>3960</v>
      </c>
      <c r="D715" s="5">
        <f>COUNTIFS('Raw Entries'!B:B,ClasswiseUniqueStudents7[[#This Row],[Unique Student Name]],'Raw Entries'!C:C,ClasswiseUniqueStudents7[[#This Row],[Class]])</f>
        <v>0</v>
      </c>
      <c r="E715" s="15">
        <f>ClasswiseUniqueStudents7[[#This Row],[Total Count]]*500</f>
        <v>0</v>
      </c>
      <c r="F715" s="15"/>
    </row>
    <row r="716" spans="1:6">
      <c r="A716" s="5">
        <v>715</v>
      </c>
      <c r="B716" s="15"/>
      <c r="C716" s="15" t="s">
        <v>3960</v>
      </c>
      <c r="D716" s="5">
        <f>COUNTIFS('Raw Entries'!B:B,ClasswiseUniqueStudents7[[#This Row],[Unique Student Name]],'Raw Entries'!C:C,ClasswiseUniqueStudents7[[#This Row],[Class]])</f>
        <v>0</v>
      </c>
      <c r="E716" s="15">
        <f>ClasswiseUniqueStudents7[[#This Row],[Total Count]]*500</f>
        <v>0</v>
      </c>
      <c r="F716" s="15"/>
    </row>
    <row r="717" spans="1:6">
      <c r="A717" s="5">
        <v>716</v>
      </c>
      <c r="B717" s="15"/>
      <c r="C717" s="15" t="s">
        <v>3960</v>
      </c>
      <c r="D717" s="5">
        <f>COUNTIFS('Raw Entries'!B:B,ClasswiseUniqueStudents7[[#This Row],[Unique Student Name]],'Raw Entries'!C:C,ClasswiseUniqueStudents7[[#This Row],[Class]])</f>
        <v>0</v>
      </c>
      <c r="E717" s="15">
        <f>ClasswiseUniqueStudents7[[#This Row],[Total Count]]*500</f>
        <v>0</v>
      </c>
      <c r="F717" s="15"/>
    </row>
    <row r="718" spans="1:6">
      <c r="A718" s="5">
        <v>717</v>
      </c>
      <c r="B718" s="15"/>
      <c r="C718" s="15" t="s">
        <v>3960</v>
      </c>
      <c r="D718" s="5">
        <f>COUNTIFS('Raw Entries'!B:B,ClasswiseUniqueStudents7[[#This Row],[Unique Student Name]],'Raw Entries'!C:C,ClasswiseUniqueStudents7[[#This Row],[Class]])</f>
        <v>0</v>
      </c>
      <c r="E718" s="15">
        <f>ClasswiseUniqueStudents7[[#This Row],[Total Count]]*500</f>
        <v>0</v>
      </c>
      <c r="F718" s="15"/>
    </row>
    <row r="719" spans="1:6">
      <c r="A719" s="5">
        <v>718</v>
      </c>
      <c r="B719" s="15"/>
      <c r="C719" s="15" t="s">
        <v>3960</v>
      </c>
      <c r="D719" s="5">
        <f>COUNTIFS('Raw Entries'!B:B,ClasswiseUniqueStudents7[[#This Row],[Unique Student Name]],'Raw Entries'!C:C,ClasswiseUniqueStudents7[[#This Row],[Class]])</f>
        <v>0</v>
      </c>
      <c r="E719" s="15">
        <f>ClasswiseUniqueStudents7[[#This Row],[Total Count]]*500</f>
        <v>0</v>
      </c>
      <c r="F719" s="15"/>
    </row>
    <row r="720" spans="1:6">
      <c r="A720" s="5">
        <v>719</v>
      </c>
      <c r="B720" s="15"/>
      <c r="C720" s="15" t="s">
        <v>3960</v>
      </c>
      <c r="D720" s="5">
        <f>COUNTIFS('Raw Entries'!B:B,ClasswiseUniqueStudents7[[#This Row],[Unique Student Name]],'Raw Entries'!C:C,ClasswiseUniqueStudents7[[#This Row],[Class]])</f>
        <v>0</v>
      </c>
      <c r="E720" s="15">
        <f>ClasswiseUniqueStudents7[[#This Row],[Total Count]]*500</f>
        <v>0</v>
      </c>
      <c r="F720" s="15"/>
    </row>
    <row r="721" spans="1:6">
      <c r="A721" s="5">
        <v>720</v>
      </c>
      <c r="B721" s="15"/>
      <c r="C721" s="15" t="s">
        <v>3960</v>
      </c>
      <c r="D721" s="5">
        <f>COUNTIFS('Raw Entries'!B:B,ClasswiseUniqueStudents7[[#This Row],[Unique Student Name]],'Raw Entries'!C:C,ClasswiseUniqueStudents7[[#This Row],[Class]])</f>
        <v>0</v>
      </c>
      <c r="E721" s="15">
        <f>ClasswiseUniqueStudents7[[#This Row],[Total Count]]*500</f>
        <v>0</v>
      </c>
      <c r="F721" s="15"/>
    </row>
    <row r="722" spans="1:6">
      <c r="A722" s="5">
        <v>721</v>
      </c>
      <c r="B722" s="15"/>
      <c r="C722" s="15" t="s">
        <v>3960</v>
      </c>
      <c r="D722" s="5">
        <f>COUNTIFS('Raw Entries'!B:B,ClasswiseUniqueStudents7[[#This Row],[Unique Student Name]],'Raw Entries'!C:C,ClasswiseUniqueStudents7[[#This Row],[Class]])</f>
        <v>0</v>
      </c>
      <c r="E722" s="15">
        <f>ClasswiseUniqueStudents7[[#This Row],[Total Count]]*500</f>
        <v>0</v>
      </c>
      <c r="F722" s="15"/>
    </row>
    <row r="723" spans="1:6">
      <c r="A723" s="5">
        <v>722</v>
      </c>
      <c r="B723" s="15"/>
      <c r="C723" s="15" t="s">
        <v>3960</v>
      </c>
      <c r="D723" s="5">
        <f>COUNTIFS('Raw Entries'!B:B,ClasswiseUniqueStudents7[[#This Row],[Unique Student Name]],'Raw Entries'!C:C,ClasswiseUniqueStudents7[[#This Row],[Class]])</f>
        <v>0</v>
      </c>
      <c r="E723" s="15">
        <f>ClasswiseUniqueStudents7[[#This Row],[Total Count]]*500</f>
        <v>0</v>
      </c>
      <c r="F723" s="15"/>
    </row>
    <row r="724" spans="1:6">
      <c r="A724" s="5">
        <v>723</v>
      </c>
      <c r="B724" s="15"/>
      <c r="C724" s="15" t="s">
        <v>3960</v>
      </c>
      <c r="D724" s="5">
        <f>COUNTIFS('Raw Entries'!B:B,ClasswiseUniqueStudents7[[#This Row],[Unique Student Name]],'Raw Entries'!C:C,ClasswiseUniqueStudents7[[#This Row],[Class]])</f>
        <v>0</v>
      </c>
      <c r="E724" s="15">
        <f>ClasswiseUniqueStudents7[[#This Row],[Total Count]]*500</f>
        <v>0</v>
      </c>
      <c r="F724" s="15"/>
    </row>
    <row r="725" spans="1:6">
      <c r="A725" s="5">
        <v>724</v>
      </c>
      <c r="B725" s="15"/>
      <c r="C725" s="15" t="s">
        <v>3960</v>
      </c>
      <c r="D725" s="5">
        <f>COUNTIFS('Raw Entries'!B:B,ClasswiseUniqueStudents7[[#This Row],[Unique Student Name]],'Raw Entries'!C:C,ClasswiseUniqueStudents7[[#This Row],[Class]])</f>
        <v>0</v>
      </c>
      <c r="E725" s="15">
        <f>ClasswiseUniqueStudents7[[#This Row],[Total Count]]*500</f>
        <v>0</v>
      </c>
      <c r="F725" s="15"/>
    </row>
    <row r="726" spans="1:6">
      <c r="A726" s="5">
        <v>725</v>
      </c>
      <c r="B726" s="15"/>
      <c r="C726" s="15" t="s">
        <v>3960</v>
      </c>
      <c r="D726" s="5">
        <f>COUNTIFS('Raw Entries'!B:B,ClasswiseUniqueStudents7[[#This Row],[Unique Student Name]],'Raw Entries'!C:C,ClasswiseUniqueStudents7[[#This Row],[Class]])</f>
        <v>0</v>
      </c>
      <c r="E726" s="15">
        <f>ClasswiseUniqueStudents7[[#This Row],[Total Count]]*500</f>
        <v>0</v>
      </c>
      <c r="F726" s="15"/>
    </row>
    <row r="727" spans="1:6">
      <c r="A727" s="5">
        <v>726</v>
      </c>
      <c r="B727" s="15"/>
      <c r="C727" s="15" t="s">
        <v>3960</v>
      </c>
      <c r="D727" s="5">
        <f>COUNTIFS('Raw Entries'!B:B,ClasswiseUniqueStudents7[[#This Row],[Unique Student Name]],'Raw Entries'!C:C,ClasswiseUniqueStudents7[[#This Row],[Class]])</f>
        <v>0</v>
      </c>
      <c r="E727" s="15">
        <f>ClasswiseUniqueStudents7[[#This Row],[Total Count]]*500</f>
        <v>0</v>
      </c>
      <c r="F727" s="15"/>
    </row>
    <row r="728" spans="1:6">
      <c r="A728" s="5">
        <v>727</v>
      </c>
      <c r="B728" s="15"/>
      <c r="C728" s="15" t="s">
        <v>3960</v>
      </c>
      <c r="D728" s="5">
        <f>COUNTIFS('Raw Entries'!B:B,ClasswiseUniqueStudents7[[#This Row],[Unique Student Name]],'Raw Entries'!C:C,ClasswiseUniqueStudents7[[#This Row],[Class]])</f>
        <v>0</v>
      </c>
      <c r="E728" s="15">
        <f>ClasswiseUniqueStudents7[[#This Row],[Total Count]]*500</f>
        <v>0</v>
      </c>
      <c r="F728" s="15"/>
    </row>
    <row r="729" spans="1:6">
      <c r="A729" s="5">
        <v>728</v>
      </c>
      <c r="B729" s="15"/>
      <c r="C729" s="15" t="s">
        <v>3960</v>
      </c>
      <c r="D729" s="5">
        <f>COUNTIFS('Raw Entries'!B:B,ClasswiseUniqueStudents7[[#This Row],[Unique Student Name]],'Raw Entries'!C:C,ClasswiseUniqueStudents7[[#This Row],[Class]])</f>
        <v>0</v>
      </c>
      <c r="E729" s="15">
        <f>ClasswiseUniqueStudents7[[#This Row],[Total Count]]*500</f>
        <v>0</v>
      </c>
      <c r="F729" s="15"/>
    </row>
    <row r="730" spans="1:6">
      <c r="A730" s="5">
        <v>729</v>
      </c>
      <c r="B730" s="15"/>
      <c r="C730" s="15" t="s">
        <v>3960</v>
      </c>
      <c r="D730" s="5">
        <f>COUNTIFS('Raw Entries'!B:B,ClasswiseUniqueStudents7[[#This Row],[Unique Student Name]],'Raw Entries'!C:C,ClasswiseUniqueStudents7[[#This Row],[Class]])</f>
        <v>0</v>
      </c>
      <c r="E730" s="15">
        <f>ClasswiseUniqueStudents7[[#This Row],[Total Count]]*500</f>
        <v>0</v>
      </c>
      <c r="F730" s="15"/>
    </row>
    <row r="731" spans="1:6">
      <c r="A731" s="5">
        <v>730</v>
      </c>
      <c r="B731" s="15"/>
      <c r="C731" s="15" t="s">
        <v>3960</v>
      </c>
      <c r="D731" s="5">
        <f>COUNTIFS('Raw Entries'!B:B,ClasswiseUniqueStudents7[[#This Row],[Unique Student Name]],'Raw Entries'!C:C,ClasswiseUniqueStudents7[[#This Row],[Class]])</f>
        <v>0</v>
      </c>
      <c r="E731" s="15">
        <f>ClasswiseUniqueStudents7[[#This Row],[Total Count]]*500</f>
        <v>0</v>
      </c>
      <c r="F731" s="15"/>
    </row>
    <row r="732" spans="1:6">
      <c r="A732" s="5">
        <v>731</v>
      </c>
      <c r="B732" s="15"/>
      <c r="C732" s="15" t="s">
        <v>3960</v>
      </c>
      <c r="D732" s="5">
        <f>COUNTIFS('Raw Entries'!B:B,ClasswiseUniqueStudents7[[#This Row],[Unique Student Name]],'Raw Entries'!C:C,ClasswiseUniqueStudents7[[#This Row],[Class]])</f>
        <v>0</v>
      </c>
      <c r="E732" s="15">
        <f>ClasswiseUniqueStudents7[[#This Row],[Total Count]]*500</f>
        <v>0</v>
      </c>
      <c r="F732" s="15"/>
    </row>
    <row r="733" spans="1:6">
      <c r="A733" s="5">
        <v>732</v>
      </c>
      <c r="B733" s="15"/>
      <c r="C733" s="15" t="s">
        <v>3960</v>
      </c>
      <c r="D733" s="5">
        <f>COUNTIFS('Raw Entries'!B:B,ClasswiseUniqueStudents7[[#This Row],[Unique Student Name]],'Raw Entries'!C:C,ClasswiseUniqueStudents7[[#This Row],[Class]])</f>
        <v>0</v>
      </c>
      <c r="E733" s="15">
        <f>ClasswiseUniqueStudents7[[#This Row],[Total Count]]*500</f>
        <v>0</v>
      </c>
      <c r="F733" s="15"/>
    </row>
    <row r="734" spans="1:6">
      <c r="A734" s="5">
        <v>733</v>
      </c>
      <c r="B734" s="15"/>
      <c r="C734" s="15" t="s">
        <v>3960</v>
      </c>
      <c r="D734" s="5">
        <f>COUNTIFS('Raw Entries'!B:B,ClasswiseUniqueStudents7[[#This Row],[Unique Student Name]],'Raw Entries'!C:C,ClasswiseUniqueStudents7[[#This Row],[Class]])</f>
        <v>0</v>
      </c>
      <c r="E734" s="15">
        <f>ClasswiseUniqueStudents7[[#This Row],[Total Count]]*500</f>
        <v>0</v>
      </c>
      <c r="F734" s="15"/>
    </row>
    <row r="735" spans="1:6">
      <c r="A735" s="5">
        <v>734</v>
      </c>
      <c r="B735" s="15"/>
      <c r="C735" s="15" t="s">
        <v>3960</v>
      </c>
      <c r="D735" s="5">
        <f>COUNTIFS('Raw Entries'!B:B,ClasswiseUniqueStudents7[[#This Row],[Unique Student Name]],'Raw Entries'!C:C,ClasswiseUniqueStudents7[[#This Row],[Class]])</f>
        <v>0</v>
      </c>
      <c r="E735" s="15">
        <f>ClasswiseUniqueStudents7[[#This Row],[Total Count]]*500</f>
        <v>0</v>
      </c>
      <c r="F735" s="15"/>
    </row>
    <row r="736" spans="1:6">
      <c r="A736" s="5">
        <v>735</v>
      </c>
      <c r="B736" s="15"/>
      <c r="C736" s="15" t="s">
        <v>3960</v>
      </c>
      <c r="D736" s="5">
        <f>COUNTIFS('Raw Entries'!B:B,ClasswiseUniqueStudents7[[#This Row],[Unique Student Name]],'Raw Entries'!C:C,ClasswiseUniqueStudents7[[#This Row],[Class]])</f>
        <v>0</v>
      </c>
      <c r="E736" s="15">
        <f>ClasswiseUniqueStudents7[[#This Row],[Total Count]]*500</f>
        <v>0</v>
      </c>
      <c r="F736" s="15"/>
    </row>
    <row r="737" spans="1:6">
      <c r="A737" s="5">
        <v>736</v>
      </c>
      <c r="B737" s="15"/>
      <c r="C737" s="15" t="s">
        <v>3960</v>
      </c>
      <c r="D737" s="5">
        <f>COUNTIFS('Raw Entries'!B:B,ClasswiseUniqueStudents7[[#This Row],[Unique Student Name]],'Raw Entries'!C:C,ClasswiseUniqueStudents7[[#This Row],[Class]])</f>
        <v>0</v>
      </c>
      <c r="E737" s="15">
        <f>ClasswiseUniqueStudents7[[#This Row],[Total Count]]*500</f>
        <v>0</v>
      </c>
      <c r="F737" s="15"/>
    </row>
    <row r="738" spans="1:6">
      <c r="A738" s="5">
        <v>737</v>
      </c>
      <c r="B738" s="15"/>
      <c r="C738" s="15" t="s">
        <v>3960</v>
      </c>
      <c r="D738" s="5">
        <f>COUNTIFS('Raw Entries'!B:B,ClasswiseUniqueStudents7[[#This Row],[Unique Student Name]],'Raw Entries'!C:C,ClasswiseUniqueStudents7[[#This Row],[Class]])</f>
        <v>0</v>
      </c>
      <c r="E738" s="15">
        <f>ClasswiseUniqueStudents7[[#This Row],[Total Count]]*500</f>
        <v>0</v>
      </c>
      <c r="F738" s="15"/>
    </row>
    <row r="739" spans="1:6">
      <c r="A739" s="5">
        <v>738</v>
      </c>
      <c r="B739" s="15"/>
      <c r="C739" s="15" t="s">
        <v>3960</v>
      </c>
      <c r="D739" s="5">
        <f>COUNTIFS('Raw Entries'!B:B,ClasswiseUniqueStudents7[[#This Row],[Unique Student Name]],'Raw Entries'!C:C,ClasswiseUniqueStudents7[[#This Row],[Class]])</f>
        <v>0</v>
      </c>
      <c r="E739" s="15">
        <f>ClasswiseUniqueStudents7[[#This Row],[Total Count]]*500</f>
        <v>0</v>
      </c>
      <c r="F739" s="15"/>
    </row>
    <row r="740" spans="1:6">
      <c r="A740" s="5">
        <v>739</v>
      </c>
      <c r="B740" s="15"/>
      <c r="C740" s="15" t="s">
        <v>3960</v>
      </c>
      <c r="D740" s="5">
        <f>COUNTIFS('Raw Entries'!B:B,ClasswiseUniqueStudents7[[#This Row],[Unique Student Name]],'Raw Entries'!C:C,ClasswiseUniqueStudents7[[#This Row],[Class]])</f>
        <v>0</v>
      </c>
      <c r="E740" s="15">
        <f>ClasswiseUniqueStudents7[[#This Row],[Total Count]]*500</f>
        <v>0</v>
      </c>
      <c r="F740" s="15"/>
    </row>
    <row r="741" spans="1:6">
      <c r="A741" s="5">
        <v>740</v>
      </c>
      <c r="B741" s="15"/>
      <c r="C741" s="15" t="s">
        <v>3960</v>
      </c>
      <c r="D741" s="5">
        <f>COUNTIFS('Raw Entries'!B:B,ClasswiseUniqueStudents7[[#This Row],[Unique Student Name]],'Raw Entries'!C:C,ClasswiseUniqueStudents7[[#This Row],[Class]])</f>
        <v>0</v>
      </c>
      <c r="E741" s="15">
        <f>ClasswiseUniqueStudents7[[#This Row],[Total Count]]*500</f>
        <v>0</v>
      </c>
      <c r="F741" s="15"/>
    </row>
    <row r="742" spans="1:6">
      <c r="A742" s="5">
        <v>741</v>
      </c>
      <c r="B742" s="15"/>
      <c r="C742" s="15" t="s">
        <v>3960</v>
      </c>
      <c r="D742" s="5">
        <f>COUNTIFS('Raw Entries'!B:B,ClasswiseUniqueStudents7[[#This Row],[Unique Student Name]],'Raw Entries'!C:C,ClasswiseUniqueStudents7[[#This Row],[Class]])</f>
        <v>0</v>
      </c>
      <c r="E742" s="15">
        <f>ClasswiseUniqueStudents7[[#This Row],[Total Count]]*500</f>
        <v>0</v>
      </c>
      <c r="F742" s="15"/>
    </row>
    <row r="743" spans="1:6">
      <c r="A743" s="5">
        <v>742</v>
      </c>
      <c r="B743" s="15"/>
      <c r="C743" s="15" t="s">
        <v>3960</v>
      </c>
      <c r="D743" s="5">
        <f>COUNTIFS('Raw Entries'!B:B,ClasswiseUniqueStudents7[[#This Row],[Unique Student Name]],'Raw Entries'!C:C,ClasswiseUniqueStudents7[[#This Row],[Class]])</f>
        <v>0</v>
      </c>
      <c r="E743" s="15">
        <f>ClasswiseUniqueStudents7[[#This Row],[Total Count]]*500</f>
        <v>0</v>
      </c>
      <c r="F743" s="15"/>
    </row>
    <row r="744" spans="1:6">
      <c r="A744" s="5">
        <v>743</v>
      </c>
      <c r="B744" s="15"/>
      <c r="C744" s="15" t="s">
        <v>3960</v>
      </c>
      <c r="D744" s="5">
        <f>COUNTIFS('Raw Entries'!B:B,ClasswiseUniqueStudents7[[#This Row],[Unique Student Name]],'Raw Entries'!C:C,ClasswiseUniqueStudents7[[#This Row],[Class]])</f>
        <v>0</v>
      </c>
      <c r="E744" s="15">
        <f>ClasswiseUniqueStudents7[[#This Row],[Total Count]]*500</f>
        <v>0</v>
      </c>
      <c r="F744" s="15"/>
    </row>
    <row r="745" spans="1:6">
      <c r="A745" s="5">
        <v>744</v>
      </c>
      <c r="B745" s="15"/>
      <c r="C745" s="15" t="s">
        <v>3960</v>
      </c>
      <c r="D745" s="5">
        <f>COUNTIFS('Raw Entries'!B:B,ClasswiseUniqueStudents7[[#This Row],[Unique Student Name]],'Raw Entries'!C:C,ClasswiseUniqueStudents7[[#This Row],[Class]])</f>
        <v>0</v>
      </c>
      <c r="E745" s="15">
        <f>ClasswiseUniqueStudents7[[#This Row],[Total Count]]*500</f>
        <v>0</v>
      </c>
      <c r="F745" s="15"/>
    </row>
    <row r="746" spans="1:6">
      <c r="A746" s="5">
        <v>745</v>
      </c>
      <c r="B746" s="15"/>
      <c r="C746" s="15" t="s">
        <v>3960</v>
      </c>
      <c r="D746" s="5">
        <f>COUNTIFS('Raw Entries'!B:B,ClasswiseUniqueStudents7[[#This Row],[Unique Student Name]],'Raw Entries'!C:C,ClasswiseUniqueStudents7[[#This Row],[Class]])</f>
        <v>0</v>
      </c>
      <c r="E746" s="15">
        <f>ClasswiseUniqueStudents7[[#This Row],[Total Count]]*500</f>
        <v>0</v>
      </c>
      <c r="F746" s="15"/>
    </row>
    <row r="747" spans="1:6">
      <c r="A747" s="5">
        <v>746</v>
      </c>
      <c r="B747" s="15"/>
      <c r="C747" s="15" t="s">
        <v>3960</v>
      </c>
      <c r="D747" s="5">
        <f>COUNTIFS('Raw Entries'!B:B,ClasswiseUniqueStudents7[[#This Row],[Unique Student Name]],'Raw Entries'!C:C,ClasswiseUniqueStudents7[[#This Row],[Class]])</f>
        <v>0</v>
      </c>
      <c r="E747" s="15">
        <f>ClasswiseUniqueStudents7[[#This Row],[Total Count]]*500</f>
        <v>0</v>
      </c>
      <c r="F747" s="15"/>
    </row>
    <row r="748" spans="1:6">
      <c r="A748" s="5">
        <v>747</v>
      </c>
      <c r="B748" s="15"/>
      <c r="C748" s="15" t="s">
        <v>3960</v>
      </c>
      <c r="D748" s="5">
        <f>COUNTIFS('Raw Entries'!B:B,ClasswiseUniqueStudents7[[#This Row],[Unique Student Name]],'Raw Entries'!C:C,ClasswiseUniqueStudents7[[#This Row],[Class]])</f>
        <v>0</v>
      </c>
      <c r="E748" s="15">
        <f>ClasswiseUniqueStudents7[[#This Row],[Total Count]]*500</f>
        <v>0</v>
      </c>
      <c r="F748" s="15"/>
    </row>
    <row r="749" spans="1:6">
      <c r="A749" s="5">
        <v>748</v>
      </c>
      <c r="B749" s="15"/>
      <c r="C749" s="15" t="s">
        <v>3960</v>
      </c>
      <c r="D749" s="5">
        <f>COUNTIFS('Raw Entries'!B:B,ClasswiseUniqueStudents7[[#This Row],[Unique Student Name]],'Raw Entries'!C:C,ClasswiseUniqueStudents7[[#This Row],[Class]])</f>
        <v>0</v>
      </c>
      <c r="E749" s="15">
        <f>ClasswiseUniqueStudents7[[#This Row],[Total Count]]*500</f>
        <v>0</v>
      </c>
      <c r="F749" s="15"/>
    </row>
    <row r="750" spans="1:6">
      <c r="A750" s="5">
        <v>749</v>
      </c>
      <c r="B750" s="15"/>
      <c r="C750" s="15" t="s">
        <v>3960</v>
      </c>
      <c r="D750" s="5">
        <f>COUNTIFS('Raw Entries'!B:B,ClasswiseUniqueStudents7[[#This Row],[Unique Student Name]],'Raw Entries'!C:C,ClasswiseUniqueStudents7[[#This Row],[Class]])</f>
        <v>0</v>
      </c>
      <c r="E750" s="15">
        <f>ClasswiseUniqueStudents7[[#This Row],[Total Count]]*500</f>
        <v>0</v>
      </c>
      <c r="F750" s="15"/>
    </row>
    <row r="751" spans="1:6">
      <c r="A751" s="5">
        <v>750</v>
      </c>
      <c r="B751" s="15"/>
      <c r="C751" s="15" t="s">
        <v>3960</v>
      </c>
      <c r="D751" s="5">
        <f>COUNTIFS('Raw Entries'!B:B,ClasswiseUniqueStudents7[[#This Row],[Unique Student Name]],'Raw Entries'!C:C,ClasswiseUniqueStudents7[[#This Row],[Class]])</f>
        <v>0</v>
      </c>
      <c r="E751" s="15">
        <f>ClasswiseUniqueStudents7[[#This Row],[Total Count]]*500</f>
        <v>0</v>
      </c>
      <c r="F751" s="15"/>
    </row>
    <row r="752" spans="1:6">
      <c r="A752" s="5">
        <v>751</v>
      </c>
      <c r="B752" s="15"/>
      <c r="C752" s="15" t="s">
        <v>3960</v>
      </c>
      <c r="D752" s="5">
        <f>COUNTIFS('Raw Entries'!B:B,ClasswiseUniqueStudents7[[#This Row],[Unique Student Name]],'Raw Entries'!C:C,ClasswiseUniqueStudents7[[#This Row],[Class]])</f>
        <v>0</v>
      </c>
      <c r="E752" s="15">
        <f>ClasswiseUniqueStudents7[[#This Row],[Total Count]]*500</f>
        <v>0</v>
      </c>
      <c r="F752" s="15"/>
    </row>
    <row r="753" spans="1:6">
      <c r="A753" s="5">
        <v>752</v>
      </c>
      <c r="B753" s="15"/>
      <c r="C753" s="15" t="s">
        <v>3960</v>
      </c>
      <c r="D753" s="5">
        <f>COUNTIFS('Raw Entries'!B:B,ClasswiseUniqueStudents7[[#This Row],[Unique Student Name]],'Raw Entries'!C:C,ClasswiseUniqueStudents7[[#This Row],[Class]])</f>
        <v>0</v>
      </c>
      <c r="E753" s="15">
        <f>ClasswiseUniqueStudents7[[#This Row],[Total Count]]*500</f>
        <v>0</v>
      </c>
      <c r="F753" s="15"/>
    </row>
    <row r="754" spans="1:6">
      <c r="A754" s="5">
        <v>753</v>
      </c>
      <c r="B754" s="15"/>
      <c r="C754" s="15" t="s">
        <v>3960</v>
      </c>
      <c r="D754" s="5">
        <f>COUNTIFS('Raw Entries'!B:B,ClasswiseUniqueStudents7[[#This Row],[Unique Student Name]],'Raw Entries'!C:C,ClasswiseUniqueStudents7[[#This Row],[Class]])</f>
        <v>0</v>
      </c>
      <c r="E754" s="15">
        <f>ClasswiseUniqueStudents7[[#This Row],[Total Count]]*500</f>
        <v>0</v>
      </c>
      <c r="F754" s="15"/>
    </row>
    <row r="755" spans="1:6">
      <c r="A755" s="5">
        <v>754</v>
      </c>
      <c r="B755" s="15"/>
      <c r="C755" s="15" t="s">
        <v>3960</v>
      </c>
      <c r="D755" s="5">
        <f>COUNTIFS('Raw Entries'!B:B,ClasswiseUniqueStudents7[[#This Row],[Unique Student Name]],'Raw Entries'!C:C,ClasswiseUniqueStudents7[[#This Row],[Class]])</f>
        <v>0</v>
      </c>
      <c r="E755" s="15">
        <f>ClasswiseUniqueStudents7[[#This Row],[Total Count]]*500</f>
        <v>0</v>
      </c>
      <c r="F755" s="15"/>
    </row>
    <row r="756" spans="1:6">
      <c r="A756" s="5">
        <v>755</v>
      </c>
      <c r="B756" s="15"/>
      <c r="C756" s="15" t="s">
        <v>3960</v>
      </c>
      <c r="D756" s="5">
        <f>COUNTIFS('Raw Entries'!B:B,ClasswiseUniqueStudents7[[#This Row],[Unique Student Name]],'Raw Entries'!C:C,ClasswiseUniqueStudents7[[#This Row],[Class]])</f>
        <v>0</v>
      </c>
      <c r="E756" s="15">
        <f>ClasswiseUniqueStudents7[[#This Row],[Total Count]]*500</f>
        <v>0</v>
      </c>
      <c r="F756" s="15"/>
    </row>
    <row r="757" spans="1:6">
      <c r="A757" s="5">
        <v>756</v>
      </c>
      <c r="B757" s="15"/>
      <c r="C757" s="15" t="s">
        <v>3960</v>
      </c>
      <c r="D757" s="5">
        <f>COUNTIFS('Raw Entries'!B:B,ClasswiseUniqueStudents7[[#This Row],[Unique Student Name]],'Raw Entries'!C:C,ClasswiseUniqueStudents7[[#This Row],[Class]])</f>
        <v>0</v>
      </c>
      <c r="E757" s="15">
        <f>ClasswiseUniqueStudents7[[#This Row],[Total Count]]*500</f>
        <v>0</v>
      </c>
      <c r="F757" s="15"/>
    </row>
    <row r="758" spans="1:6">
      <c r="A758" s="5">
        <v>757</v>
      </c>
      <c r="B758" s="15"/>
      <c r="C758" s="15" t="s">
        <v>3960</v>
      </c>
      <c r="D758" s="5">
        <f>COUNTIFS('Raw Entries'!B:B,ClasswiseUniqueStudents7[[#This Row],[Unique Student Name]],'Raw Entries'!C:C,ClasswiseUniqueStudents7[[#This Row],[Class]])</f>
        <v>0</v>
      </c>
      <c r="E758" s="15">
        <f>ClasswiseUniqueStudents7[[#This Row],[Total Count]]*500</f>
        <v>0</v>
      </c>
      <c r="F758" s="15"/>
    </row>
    <row r="759" spans="1:6">
      <c r="A759" s="5">
        <v>758</v>
      </c>
      <c r="B759" s="15"/>
      <c r="C759" s="15" t="s">
        <v>3960</v>
      </c>
      <c r="D759" s="5">
        <f>COUNTIFS('Raw Entries'!B:B,ClasswiseUniqueStudents7[[#This Row],[Unique Student Name]],'Raw Entries'!C:C,ClasswiseUniqueStudents7[[#This Row],[Class]])</f>
        <v>0</v>
      </c>
      <c r="E759" s="15">
        <f>ClasswiseUniqueStudents7[[#This Row],[Total Count]]*500</f>
        <v>0</v>
      </c>
      <c r="F759" s="15"/>
    </row>
    <row r="760" spans="1:6">
      <c r="A760" s="5">
        <v>759</v>
      </c>
      <c r="B760" s="15"/>
      <c r="C760" s="15" t="s">
        <v>3960</v>
      </c>
      <c r="D760" s="5">
        <f>COUNTIFS('Raw Entries'!B:B,ClasswiseUniqueStudents7[[#This Row],[Unique Student Name]],'Raw Entries'!C:C,ClasswiseUniqueStudents7[[#This Row],[Class]])</f>
        <v>0</v>
      </c>
      <c r="E760" s="15">
        <f>ClasswiseUniqueStudents7[[#This Row],[Total Count]]*500</f>
        <v>0</v>
      </c>
      <c r="F760" s="15"/>
    </row>
    <row r="761" spans="1:6">
      <c r="A761" s="5">
        <v>760</v>
      </c>
      <c r="B761" s="15"/>
      <c r="C761" s="15" t="s">
        <v>3960</v>
      </c>
      <c r="D761" s="5">
        <f>COUNTIFS('Raw Entries'!B:B,ClasswiseUniqueStudents7[[#This Row],[Unique Student Name]],'Raw Entries'!C:C,ClasswiseUniqueStudents7[[#This Row],[Class]])</f>
        <v>0</v>
      </c>
      <c r="E761" s="15">
        <f>ClasswiseUniqueStudents7[[#This Row],[Total Count]]*500</f>
        <v>0</v>
      </c>
      <c r="F761" s="15"/>
    </row>
    <row r="762" spans="1:6">
      <c r="A762" s="5">
        <v>761</v>
      </c>
      <c r="B762" s="15"/>
      <c r="C762" s="15" t="s">
        <v>3960</v>
      </c>
      <c r="D762" s="5">
        <f>COUNTIFS('Raw Entries'!B:B,ClasswiseUniqueStudents7[[#This Row],[Unique Student Name]],'Raw Entries'!C:C,ClasswiseUniqueStudents7[[#This Row],[Class]])</f>
        <v>0</v>
      </c>
      <c r="E762" s="15">
        <f>ClasswiseUniqueStudents7[[#This Row],[Total Count]]*500</f>
        <v>0</v>
      </c>
      <c r="F762" s="15"/>
    </row>
    <row r="763" spans="1:6">
      <c r="A763" s="5">
        <v>762</v>
      </c>
      <c r="B763" s="15"/>
      <c r="C763" s="15" t="s">
        <v>3960</v>
      </c>
      <c r="D763" s="5">
        <f>COUNTIFS('Raw Entries'!B:B,ClasswiseUniqueStudents7[[#This Row],[Unique Student Name]],'Raw Entries'!C:C,ClasswiseUniqueStudents7[[#This Row],[Class]])</f>
        <v>0</v>
      </c>
      <c r="E763" s="15">
        <f>ClasswiseUniqueStudents7[[#This Row],[Total Count]]*500</f>
        <v>0</v>
      </c>
      <c r="F763" s="15"/>
    </row>
    <row r="764" spans="1:6">
      <c r="A764" s="5">
        <v>763</v>
      </c>
      <c r="B764" s="15"/>
      <c r="C764" s="15" t="s">
        <v>3960</v>
      </c>
      <c r="D764" s="5">
        <f>COUNTIFS('Raw Entries'!B:B,ClasswiseUniqueStudents7[[#This Row],[Unique Student Name]],'Raw Entries'!C:C,ClasswiseUniqueStudents7[[#This Row],[Class]])</f>
        <v>0</v>
      </c>
      <c r="E764" s="15">
        <f>ClasswiseUniqueStudents7[[#This Row],[Total Count]]*500</f>
        <v>0</v>
      </c>
      <c r="F764" s="15"/>
    </row>
    <row r="765" spans="1:6">
      <c r="A765" s="5">
        <v>764</v>
      </c>
      <c r="B765" s="15"/>
      <c r="C765" s="15" t="s">
        <v>3960</v>
      </c>
      <c r="D765" s="5">
        <f>COUNTIFS('Raw Entries'!B:B,ClasswiseUniqueStudents7[[#This Row],[Unique Student Name]],'Raw Entries'!C:C,ClasswiseUniqueStudents7[[#This Row],[Class]])</f>
        <v>0</v>
      </c>
      <c r="E765" s="15">
        <f>ClasswiseUniqueStudents7[[#This Row],[Total Count]]*500</f>
        <v>0</v>
      </c>
      <c r="F765" s="15"/>
    </row>
    <row r="766" spans="1:6">
      <c r="A766" s="5">
        <v>765</v>
      </c>
      <c r="B766" s="15"/>
      <c r="C766" s="15" t="s">
        <v>3960</v>
      </c>
      <c r="D766" s="5">
        <f>COUNTIFS('Raw Entries'!B:B,ClasswiseUniqueStudents7[[#This Row],[Unique Student Name]],'Raw Entries'!C:C,ClasswiseUniqueStudents7[[#This Row],[Class]])</f>
        <v>0</v>
      </c>
      <c r="E766" s="15">
        <f>ClasswiseUniqueStudents7[[#This Row],[Total Count]]*500</f>
        <v>0</v>
      </c>
      <c r="F766" s="15"/>
    </row>
    <row r="767" spans="1:6">
      <c r="A767" s="5">
        <v>766</v>
      </c>
      <c r="B767" s="15"/>
      <c r="C767" s="15" t="s">
        <v>3960</v>
      </c>
      <c r="D767" s="5">
        <f>COUNTIFS('Raw Entries'!B:B,ClasswiseUniqueStudents7[[#This Row],[Unique Student Name]],'Raw Entries'!C:C,ClasswiseUniqueStudents7[[#This Row],[Class]])</f>
        <v>0</v>
      </c>
      <c r="E767" s="15">
        <f>ClasswiseUniqueStudents7[[#This Row],[Total Count]]*500</f>
        <v>0</v>
      </c>
      <c r="F767" s="15"/>
    </row>
    <row r="768" spans="1:6">
      <c r="A768" s="5">
        <v>767</v>
      </c>
      <c r="B768" s="15"/>
      <c r="C768" s="15" t="s">
        <v>3960</v>
      </c>
      <c r="D768" s="5">
        <f>COUNTIFS('Raw Entries'!B:B,ClasswiseUniqueStudents7[[#This Row],[Unique Student Name]],'Raw Entries'!C:C,ClasswiseUniqueStudents7[[#This Row],[Class]])</f>
        <v>0</v>
      </c>
      <c r="E768" s="15">
        <f>ClasswiseUniqueStudents7[[#This Row],[Total Count]]*500</f>
        <v>0</v>
      </c>
      <c r="F768" s="15"/>
    </row>
    <row r="769" spans="1:6">
      <c r="A769" s="5">
        <v>768</v>
      </c>
      <c r="B769" s="15"/>
      <c r="C769" s="15" t="s">
        <v>3960</v>
      </c>
      <c r="D769" s="5">
        <f>COUNTIFS('Raw Entries'!B:B,ClasswiseUniqueStudents7[[#This Row],[Unique Student Name]],'Raw Entries'!C:C,ClasswiseUniqueStudents7[[#This Row],[Class]])</f>
        <v>0</v>
      </c>
      <c r="E769" s="15">
        <f>ClasswiseUniqueStudents7[[#This Row],[Total Count]]*500</f>
        <v>0</v>
      </c>
      <c r="F769" s="15"/>
    </row>
    <row r="770" spans="1:6">
      <c r="A770" s="5">
        <v>769</v>
      </c>
      <c r="B770" s="15"/>
      <c r="C770" s="15" t="s">
        <v>3960</v>
      </c>
      <c r="D770" s="5">
        <f>COUNTIFS('Raw Entries'!B:B,ClasswiseUniqueStudents7[[#This Row],[Unique Student Name]],'Raw Entries'!C:C,ClasswiseUniqueStudents7[[#This Row],[Class]])</f>
        <v>0</v>
      </c>
      <c r="E770" s="15">
        <f>ClasswiseUniqueStudents7[[#This Row],[Total Count]]*500</f>
        <v>0</v>
      </c>
      <c r="F770" s="15"/>
    </row>
    <row r="771" spans="1:6">
      <c r="A771" s="5">
        <v>770</v>
      </c>
      <c r="B771" s="15"/>
      <c r="C771" s="15" t="s">
        <v>3960</v>
      </c>
      <c r="D771" s="5">
        <f>COUNTIFS('Raw Entries'!B:B,ClasswiseUniqueStudents7[[#This Row],[Unique Student Name]],'Raw Entries'!C:C,ClasswiseUniqueStudents7[[#This Row],[Class]])</f>
        <v>0</v>
      </c>
      <c r="E771" s="15">
        <f>ClasswiseUniqueStudents7[[#This Row],[Total Count]]*500</f>
        <v>0</v>
      </c>
      <c r="F771" s="15"/>
    </row>
    <row r="772" spans="1:6">
      <c r="A772" s="5">
        <v>771</v>
      </c>
      <c r="B772" s="1"/>
      <c r="C772" s="1" t="s">
        <v>3960</v>
      </c>
      <c r="D772" s="5">
        <f>COUNTIFS('Raw Entries'!B:B,ClasswiseUniqueStudents7[[#This Row],[Unique Student Name]],'Raw Entries'!C:C,ClasswiseUniqueStudents7[[#This Row],[Class]])</f>
        <v>0</v>
      </c>
      <c r="E772" s="15">
        <f>ClasswiseUniqueStudents7[[#This Row],[Total Count]]*500</f>
        <v>0</v>
      </c>
      <c r="F772" s="15"/>
    </row>
    <row r="773" spans="1:6">
      <c r="A773" s="5">
        <v>772</v>
      </c>
      <c r="B773" s="1"/>
      <c r="C773" s="1" t="s">
        <v>3960</v>
      </c>
      <c r="D773" s="5">
        <f>COUNTIFS('Raw Entries'!B:B,ClasswiseUniqueStudents7[[#This Row],[Unique Student Name]],'Raw Entries'!C:C,ClasswiseUniqueStudents7[[#This Row],[Class]])</f>
        <v>0</v>
      </c>
      <c r="E773" s="15">
        <f>ClasswiseUniqueStudents7[[#This Row],[Total Count]]*500</f>
        <v>0</v>
      </c>
      <c r="F773" s="15"/>
    </row>
    <row r="774" spans="1:6">
      <c r="A774" s="5">
        <v>773</v>
      </c>
      <c r="B774" s="1"/>
      <c r="C774" s="1" t="s">
        <v>3960</v>
      </c>
      <c r="D774" s="5">
        <f>COUNTIFS('Raw Entries'!B:B,ClasswiseUniqueStudents7[[#This Row],[Unique Student Name]],'Raw Entries'!C:C,ClasswiseUniqueStudents7[[#This Row],[Class]])</f>
        <v>0</v>
      </c>
      <c r="E774" s="15">
        <f>ClasswiseUniqueStudents7[[#This Row],[Total Count]]*500</f>
        <v>0</v>
      </c>
      <c r="F774" s="15"/>
    </row>
    <row r="775" spans="1:6">
      <c r="A775" s="5">
        <v>774</v>
      </c>
      <c r="B775" s="1"/>
      <c r="C775" s="1" t="s">
        <v>3960</v>
      </c>
      <c r="D775" s="5">
        <f>COUNTIFS('Raw Entries'!B:B,ClasswiseUniqueStudents7[[#This Row],[Unique Student Name]],'Raw Entries'!C:C,ClasswiseUniqueStudents7[[#This Row],[Class]])</f>
        <v>0</v>
      </c>
      <c r="E775" s="15">
        <f>ClasswiseUniqueStudents7[[#This Row],[Total Count]]*500</f>
        <v>0</v>
      </c>
      <c r="F775" s="15"/>
    </row>
    <row r="776" spans="1:6">
      <c r="A776" s="5">
        <v>775</v>
      </c>
      <c r="B776" s="1"/>
      <c r="C776" s="1" t="s">
        <v>3960</v>
      </c>
      <c r="D776" s="5">
        <f>COUNTIFS('Raw Entries'!B:B,ClasswiseUniqueStudents7[[#This Row],[Unique Student Name]],'Raw Entries'!C:C,ClasswiseUniqueStudents7[[#This Row],[Class]])</f>
        <v>0</v>
      </c>
      <c r="E776" s="15">
        <f>ClasswiseUniqueStudents7[[#This Row],[Total Count]]*500</f>
        <v>0</v>
      </c>
      <c r="F776" s="15"/>
    </row>
    <row r="777" spans="1:6">
      <c r="A777" s="5">
        <v>776</v>
      </c>
      <c r="B777" s="1"/>
      <c r="C777" s="1" t="s">
        <v>3960</v>
      </c>
      <c r="D777" s="5">
        <f>COUNTIFS('Raw Entries'!B:B,ClasswiseUniqueStudents7[[#This Row],[Unique Student Name]],'Raw Entries'!C:C,ClasswiseUniqueStudents7[[#This Row],[Class]])</f>
        <v>0</v>
      </c>
      <c r="E777" s="15">
        <f>ClasswiseUniqueStudents7[[#This Row],[Total Count]]*500</f>
        <v>0</v>
      </c>
      <c r="F777" s="15"/>
    </row>
    <row r="778" spans="1:6">
      <c r="A778" s="5">
        <v>777</v>
      </c>
      <c r="B778" s="1"/>
      <c r="C778" s="1" t="s">
        <v>3960</v>
      </c>
      <c r="D778" s="5">
        <f>COUNTIFS('Raw Entries'!B:B,ClasswiseUniqueStudents7[[#This Row],[Unique Student Name]],'Raw Entries'!C:C,ClasswiseUniqueStudents7[[#This Row],[Class]])</f>
        <v>0</v>
      </c>
      <c r="E778" s="15">
        <f>ClasswiseUniqueStudents7[[#This Row],[Total Count]]*500</f>
        <v>0</v>
      </c>
      <c r="F778" s="15"/>
    </row>
    <row r="779" spans="1:6">
      <c r="A779" s="5">
        <v>778</v>
      </c>
      <c r="B779" s="1"/>
      <c r="C779" s="1" t="s">
        <v>3960</v>
      </c>
      <c r="D779" s="5">
        <f>COUNTIFS('Raw Entries'!B:B,ClasswiseUniqueStudents7[[#This Row],[Unique Student Name]],'Raw Entries'!C:C,ClasswiseUniqueStudents7[[#This Row],[Class]])</f>
        <v>0</v>
      </c>
      <c r="E779" s="15">
        <f>ClasswiseUniqueStudents7[[#This Row],[Total Count]]*500</f>
        <v>0</v>
      </c>
      <c r="F779" s="15"/>
    </row>
    <row r="780" spans="1:6">
      <c r="A780" s="5">
        <v>779</v>
      </c>
      <c r="B780" s="1"/>
      <c r="C780" s="1" t="s">
        <v>3960</v>
      </c>
      <c r="D780" s="5">
        <f>COUNTIFS('Raw Entries'!B:B,ClasswiseUniqueStudents7[[#This Row],[Unique Student Name]],'Raw Entries'!C:C,ClasswiseUniqueStudents7[[#This Row],[Class]])</f>
        <v>0</v>
      </c>
      <c r="E780" s="15">
        <f>ClasswiseUniqueStudents7[[#This Row],[Total Count]]*500</f>
        <v>0</v>
      </c>
      <c r="F780" s="15"/>
    </row>
    <row r="781" spans="1:6">
      <c r="A781" s="5">
        <v>780</v>
      </c>
      <c r="B781" s="1"/>
      <c r="C781" s="1" t="s">
        <v>3960</v>
      </c>
      <c r="D781" s="5">
        <f>COUNTIFS('Raw Entries'!B:B,ClasswiseUniqueStudents7[[#This Row],[Unique Student Name]],'Raw Entries'!C:C,ClasswiseUniqueStudents7[[#This Row],[Class]])</f>
        <v>0</v>
      </c>
      <c r="E781" s="15">
        <f>ClasswiseUniqueStudents7[[#This Row],[Total Count]]*500</f>
        <v>0</v>
      </c>
      <c r="F781" s="15"/>
    </row>
    <row r="782" spans="1:6">
      <c r="A782" s="5">
        <v>781</v>
      </c>
      <c r="B782" s="1"/>
      <c r="C782" s="1" t="s">
        <v>3960</v>
      </c>
      <c r="D782" s="5">
        <f>COUNTIFS('Raw Entries'!B:B,ClasswiseUniqueStudents7[[#This Row],[Unique Student Name]],'Raw Entries'!C:C,ClasswiseUniqueStudents7[[#This Row],[Class]])</f>
        <v>0</v>
      </c>
      <c r="E782" s="15">
        <f>ClasswiseUniqueStudents7[[#This Row],[Total Count]]*500</f>
        <v>0</v>
      </c>
      <c r="F782" s="15"/>
    </row>
    <row r="783" spans="1:6">
      <c r="A783" s="5">
        <v>782</v>
      </c>
      <c r="B783" s="1"/>
      <c r="C783" s="1" t="s">
        <v>3960</v>
      </c>
      <c r="D783" s="5">
        <f>COUNTIFS('Raw Entries'!B:B,ClasswiseUniqueStudents7[[#This Row],[Unique Student Name]],'Raw Entries'!C:C,ClasswiseUniqueStudents7[[#This Row],[Class]])</f>
        <v>0</v>
      </c>
      <c r="E783" s="15">
        <f>ClasswiseUniqueStudents7[[#This Row],[Total Count]]*500</f>
        <v>0</v>
      </c>
      <c r="F783" s="15"/>
    </row>
    <row r="784" spans="1:6">
      <c r="A784" s="5">
        <v>783</v>
      </c>
      <c r="B784" s="1"/>
      <c r="C784" s="1" t="s">
        <v>3960</v>
      </c>
      <c r="D784" s="5">
        <f>COUNTIFS('Raw Entries'!B:B,ClasswiseUniqueStudents7[[#This Row],[Unique Student Name]],'Raw Entries'!C:C,ClasswiseUniqueStudents7[[#This Row],[Class]])</f>
        <v>0</v>
      </c>
      <c r="E784" s="15">
        <f>ClasswiseUniqueStudents7[[#This Row],[Total Count]]*500</f>
        <v>0</v>
      </c>
      <c r="F784" s="15"/>
    </row>
    <row r="785" spans="1:6">
      <c r="A785" s="5">
        <v>784</v>
      </c>
      <c r="B785" s="1"/>
      <c r="C785" s="1" t="s">
        <v>3960</v>
      </c>
      <c r="D785" s="5">
        <f>COUNTIFS('Raw Entries'!B:B,ClasswiseUniqueStudents7[[#This Row],[Unique Student Name]],'Raw Entries'!C:C,ClasswiseUniqueStudents7[[#This Row],[Class]])</f>
        <v>0</v>
      </c>
      <c r="E785" s="15">
        <f>ClasswiseUniqueStudents7[[#This Row],[Total Count]]*500</f>
        <v>0</v>
      </c>
      <c r="F785" s="15"/>
    </row>
    <row r="786" spans="1:6">
      <c r="A786" s="5">
        <v>785</v>
      </c>
      <c r="B786" s="1"/>
      <c r="C786" s="1" t="s">
        <v>3960</v>
      </c>
      <c r="D786" s="5">
        <f>COUNTIFS('Raw Entries'!B:B,ClasswiseUniqueStudents7[[#This Row],[Unique Student Name]],'Raw Entries'!C:C,ClasswiseUniqueStudents7[[#This Row],[Class]])</f>
        <v>0</v>
      </c>
      <c r="E786" s="15">
        <f>ClasswiseUniqueStudents7[[#This Row],[Total Count]]*500</f>
        <v>0</v>
      </c>
      <c r="F786" s="15"/>
    </row>
    <row r="787" spans="1:6">
      <c r="A787" s="5">
        <v>786</v>
      </c>
      <c r="B787" s="1"/>
      <c r="C787" s="1" t="s">
        <v>3960</v>
      </c>
      <c r="D787" s="5">
        <f>COUNTIFS('Raw Entries'!B:B,ClasswiseUniqueStudents7[[#This Row],[Unique Student Name]],'Raw Entries'!C:C,ClasswiseUniqueStudents7[[#This Row],[Class]])</f>
        <v>0</v>
      </c>
      <c r="E787" s="15">
        <f>ClasswiseUniqueStudents7[[#This Row],[Total Count]]*500</f>
        <v>0</v>
      </c>
      <c r="F787" s="15"/>
    </row>
    <row r="788" spans="1:6">
      <c r="A788" s="5">
        <v>787</v>
      </c>
      <c r="B788" s="1"/>
      <c r="C788" s="1" t="s">
        <v>3960</v>
      </c>
      <c r="D788" s="5">
        <f>COUNTIFS('Raw Entries'!B:B,ClasswiseUniqueStudents7[[#This Row],[Unique Student Name]],'Raw Entries'!C:C,ClasswiseUniqueStudents7[[#This Row],[Class]])</f>
        <v>0</v>
      </c>
      <c r="E788" s="15">
        <f>ClasswiseUniqueStudents7[[#This Row],[Total Count]]*500</f>
        <v>0</v>
      </c>
      <c r="F788" s="15"/>
    </row>
    <row r="789" spans="1:6">
      <c r="A789" s="5">
        <v>788</v>
      </c>
      <c r="B789" s="1"/>
      <c r="C789" s="1" t="s">
        <v>3960</v>
      </c>
      <c r="D789" s="5">
        <f>COUNTIFS('Raw Entries'!B:B,ClasswiseUniqueStudents7[[#This Row],[Unique Student Name]],'Raw Entries'!C:C,ClasswiseUniqueStudents7[[#This Row],[Class]])</f>
        <v>0</v>
      </c>
      <c r="E789" s="15">
        <f>ClasswiseUniqueStudents7[[#This Row],[Total Count]]*500</f>
        <v>0</v>
      </c>
      <c r="F789" s="15"/>
    </row>
    <row r="790" spans="1:6">
      <c r="A790" s="5">
        <v>789</v>
      </c>
      <c r="B790" s="1"/>
      <c r="C790" s="1" t="s">
        <v>3960</v>
      </c>
      <c r="D790" s="5">
        <f>COUNTIFS('Raw Entries'!B:B,ClasswiseUniqueStudents7[[#This Row],[Unique Student Name]],'Raw Entries'!C:C,ClasswiseUniqueStudents7[[#This Row],[Class]])</f>
        <v>0</v>
      </c>
      <c r="E790" s="15">
        <f>ClasswiseUniqueStudents7[[#This Row],[Total Count]]*500</f>
        <v>0</v>
      </c>
      <c r="F790" s="15"/>
    </row>
    <row r="791" spans="1:6">
      <c r="A791" s="5">
        <v>790</v>
      </c>
      <c r="B791" s="1"/>
      <c r="C791" s="1" t="s">
        <v>3960</v>
      </c>
      <c r="D791" s="5">
        <f>COUNTIFS('Raw Entries'!B:B,ClasswiseUniqueStudents7[[#This Row],[Unique Student Name]],'Raw Entries'!C:C,ClasswiseUniqueStudents7[[#This Row],[Class]])</f>
        <v>0</v>
      </c>
      <c r="E791" s="15">
        <f>ClasswiseUniqueStudents7[[#This Row],[Total Count]]*500</f>
        <v>0</v>
      </c>
      <c r="F791" s="15"/>
    </row>
    <row r="792" spans="1:6">
      <c r="A792" s="5">
        <v>791</v>
      </c>
      <c r="B792" s="1"/>
      <c r="C792" s="1" t="s">
        <v>3960</v>
      </c>
      <c r="D792" s="5">
        <f>COUNTIFS('Raw Entries'!B:B,ClasswiseUniqueStudents7[[#This Row],[Unique Student Name]],'Raw Entries'!C:C,ClasswiseUniqueStudents7[[#This Row],[Class]])</f>
        <v>0</v>
      </c>
      <c r="E792" s="15">
        <f>ClasswiseUniqueStudents7[[#This Row],[Total Count]]*500</f>
        <v>0</v>
      </c>
      <c r="F792" s="15"/>
    </row>
    <row r="793" spans="1:6">
      <c r="A793" s="5">
        <v>792</v>
      </c>
      <c r="B793" s="1"/>
      <c r="C793" s="1" t="s">
        <v>3960</v>
      </c>
      <c r="D793" s="5">
        <f>COUNTIFS('Raw Entries'!B:B,ClasswiseUniqueStudents7[[#This Row],[Unique Student Name]],'Raw Entries'!C:C,ClasswiseUniqueStudents7[[#This Row],[Class]])</f>
        <v>0</v>
      </c>
      <c r="E793" s="15">
        <f>ClasswiseUniqueStudents7[[#This Row],[Total Count]]*500</f>
        <v>0</v>
      </c>
      <c r="F793" s="15"/>
    </row>
    <row r="794" spans="1:6">
      <c r="A794" s="5">
        <v>793</v>
      </c>
      <c r="B794" s="1"/>
      <c r="C794" s="1" t="s">
        <v>3960</v>
      </c>
      <c r="D794" s="5">
        <f>COUNTIFS('Raw Entries'!B:B,ClasswiseUniqueStudents7[[#This Row],[Unique Student Name]],'Raw Entries'!C:C,ClasswiseUniqueStudents7[[#This Row],[Class]])</f>
        <v>0</v>
      </c>
      <c r="E794" s="15">
        <f>ClasswiseUniqueStudents7[[#This Row],[Total Count]]*500</f>
        <v>0</v>
      </c>
      <c r="F794" s="15"/>
    </row>
    <row r="795" spans="1:6">
      <c r="A795" s="5">
        <v>794</v>
      </c>
      <c r="B795" s="1"/>
      <c r="C795" s="1" t="s">
        <v>3960</v>
      </c>
      <c r="D795" s="5">
        <f>COUNTIFS('Raw Entries'!B:B,ClasswiseUniqueStudents7[[#This Row],[Unique Student Name]],'Raw Entries'!C:C,ClasswiseUniqueStudents7[[#This Row],[Class]])</f>
        <v>0</v>
      </c>
      <c r="E795" s="15">
        <f>ClasswiseUniqueStudents7[[#This Row],[Total Count]]*500</f>
        <v>0</v>
      </c>
      <c r="F795" s="15"/>
    </row>
    <row r="796" spans="1:6">
      <c r="A796" s="5">
        <v>795</v>
      </c>
      <c r="B796" s="1"/>
      <c r="C796" s="1" t="s">
        <v>3960</v>
      </c>
      <c r="D796" s="5">
        <f>COUNTIFS('Raw Entries'!B:B,ClasswiseUniqueStudents7[[#This Row],[Unique Student Name]],'Raw Entries'!C:C,ClasswiseUniqueStudents7[[#This Row],[Class]])</f>
        <v>0</v>
      </c>
      <c r="E796" s="15">
        <f>ClasswiseUniqueStudents7[[#This Row],[Total Count]]*500</f>
        <v>0</v>
      </c>
      <c r="F796" s="15"/>
    </row>
    <row r="797" spans="1:6">
      <c r="A797" s="5">
        <v>796</v>
      </c>
      <c r="B797" s="1"/>
      <c r="C797" s="1" t="s">
        <v>3960</v>
      </c>
      <c r="D797" s="5">
        <f>COUNTIFS('Raw Entries'!B:B,ClasswiseUniqueStudents7[[#This Row],[Unique Student Name]],'Raw Entries'!C:C,ClasswiseUniqueStudents7[[#This Row],[Class]])</f>
        <v>0</v>
      </c>
      <c r="E797" s="15">
        <f>ClasswiseUniqueStudents7[[#This Row],[Total Count]]*500</f>
        <v>0</v>
      </c>
      <c r="F797" s="15"/>
    </row>
    <row r="798" spans="1:6">
      <c r="A798" s="5">
        <v>797</v>
      </c>
      <c r="B798" s="1"/>
      <c r="C798" s="1" t="s">
        <v>3960</v>
      </c>
      <c r="D798" s="5">
        <f>COUNTIFS('Raw Entries'!B:B,ClasswiseUniqueStudents7[[#This Row],[Unique Student Name]],'Raw Entries'!C:C,ClasswiseUniqueStudents7[[#This Row],[Class]])</f>
        <v>0</v>
      </c>
      <c r="E798" s="15">
        <f>ClasswiseUniqueStudents7[[#This Row],[Total Count]]*500</f>
        <v>0</v>
      </c>
      <c r="F798" s="15"/>
    </row>
    <row r="799" spans="1:6">
      <c r="A799" s="5">
        <v>798</v>
      </c>
      <c r="B799" s="1"/>
      <c r="C799" s="1" t="s">
        <v>3960</v>
      </c>
      <c r="D799" s="5">
        <f>COUNTIFS('Raw Entries'!B:B,ClasswiseUniqueStudents7[[#This Row],[Unique Student Name]],'Raw Entries'!C:C,ClasswiseUniqueStudents7[[#This Row],[Class]])</f>
        <v>0</v>
      </c>
      <c r="E799" s="15">
        <f>ClasswiseUniqueStudents7[[#This Row],[Total Count]]*500</f>
        <v>0</v>
      </c>
      <c r="F799" s="15"/>
    </row>
    <row r="800" spans="1:6">
      <c r="A800" s="5">
        <v>799</v>
      </c>
      <c r="B800" s="1"/>
      <c r="C800" s="1" t="s">
        <v>3960</v>
      </c>
      <c r="D800" s="5">
        <f>COUNTIFS('Raw Entries'!B:B,ClasswiseUniqueStudents7[[#This Row],[Unique Student Name]],'Raw Entries'!C:C,ClasswiseUniqueStudents7[[#This Row],[Class]])</f>
        <v>0</v>
      </c>
      <c r="E800" s="15">
        <f>ClasswiseUniqueStudents7[[#This Row],[Total Count]]*500</f>
        <v>0</v>
      </c>
      <c r="F800" s="15"/>
    </row>
    <row r="801" spans="1:6">
      <c r="A801" s="5">
        <v>800</v>
      </c>
      <c r="B801" s="1"/>
      <c r="C801" s="1" t="s">
        <v>3960</v>
      </c>
      <c r="D801" s="5">
        <f>COUNTIFS('Raw Entries'!B:B,ClasswiseUniqueStudents7[[#This Row],[Unique Student Name]],'Raw Entries'!C:C,ClasswiseUniqueStudents7[[#This Row],[Class]])</f>
        <v>0</v>
      </c>
      <c r="E801" s="15">
        <f>ClasswiseUniqueStudents7[[#This Row],[Total Count]]*500</f>
        <v>0</v>
      </c>
      <c r="F801" s="15"/>
    </row>
    <row r="802" spans="1:6">
      <c r="A802" s="5">
        <v>801</v>
      </c>
      <c r="B802" s="1"/>
      <c r="C802" s="1" t="s">
        <v>3960</v>
      </c>
      <c r="D802" s="5">
        <f>COUNTIFS('Raw Entries'!B:B,ClasswiseUniqueStudents7[[#This Row],[Unique Student Name]],'Raw Entries'!C:C,ClasswiseUniqueStudents7[[#This Row],[Class]])</f>
        <v>0</v>
      </c>
      <c r="E802" s="15">
        <f>ClasswiseUniqueStudents7[[#This Row],[Total Count]]*500</f>
        <v>0</v>
      </c>
      <c r="F802" s="15"/>
    </row>
    <row r="803" spans="1:6">
      <c r="A803" s="5">
        <v>802</v>
      </c>
      <c r="B803" s="1"/>
      <c r="C803" s="1" t="s">
        <v>3960</v>
      </c>
      <c r="D803" s="5">
        <f>COUNTIFS('Raw Entries'!B:B,ClasswiseUniqueStudents7[[#This Row],[Unique Student Name]],'Raw Entries'!C:C,ClasswiseUniqueStudents7[[#This Row],[Class]])</f>
        <v>0</v>
      </c>
      <c r="E803" s="15">
        <f>ClasswiseUniqueStudents7[[#This Row],[Total Count]]*500</f>
        <v>0</v>
      </c>
      <c r="F803" s="15"/>
    </row>
    <row r="804" spans="1:6">
      <c r="A804" s="5">
        <v>803</v>
      </c>
      <c r="B804" s="1"/>
      <c r="C804" s="1" t="s">
        <v>3960</v>
      </c>
      <c r="D804" s="5">
        <f>COUNTIFS('Raw Entries'!B:B,ClasswiseUniqueStudents7[[#This Row],[Unique Student Name]],'Raw Entries'!C:C,ClasswiseUniqueStudents7[[#This Row],[Class]])</f>
        <v>0</v>
      </c>
      <c r="E804" s="15">
        <f>ClasswiseUniqueStudents7[[#This Row],[Total Count]]*500</f>
        <v>0</v>
      </c>
      <c r="F804" s="15"/>
    </row>
    <row r="805" spans="1:6">
      <c r="A805" s="5">
        <v>804</v>
      </c>
      <c r="B805" s="1"/>
      <c r="C805" s="1" t="s">
        <v>3960</v>
      </c>
      <c r="D805" s="5">
        <f>COUNTIFS('Raw Entries'!B:B,ClasswiseUniqueStudents7[[#This Row],[Unique Student Name]],'Raw Entries'!C:C,ClasswiseUniqueStudents7[[#This Row],[Class]])</f>
        <v>0</v>
      </c>
      <c r="E805" s="15">
        <f>ClasswiseUniqueStudents7[[#This Row],[Total Count]]*500</f>
        <v>0</v>
      </c>
      <c r="F805" s="15"/>
    </row>
    <row r="806" spans="1:6">
      <c r="A806" s="5">
        <v>805</v>
      </c>
      <c r="B806" s="1"/>
      <c r="C806" s="1" t="s">
        <v>3960</v>
      </c>
      <c r="D806" s="5">
        <f>COUNTIFS('Raw Entries'!B:B,ClasswiseUniqueStudents7[[#This Row],[Unique Student Name]],'Raw Entries'!C:C,ClasswiseUniqueStudents7[[#This Row],[Class]])</f>
        <v>0</v>
      </c>
      <c r="E806" s="15">
        <f>ClasswiseUniqueStudents7[[#This Row],[Total Count]]*500</f>
        <v>0</v>
      </c>
      <c r="F806" s="15"/>
    </row>
    <row r="807" spans="1:6">
      <c r="A807" s="5">
        <v>806</v>
      </c>
      <c r="B807" s="1"/>
      <c r="C807" s="1" t="s">
        <v>3960</v>
      </c>
      <c r="D807" s="5">
        <f>COUNTIFS('Raw Entries'!B:B,ClasswiseUniqueStudents7[[#This Row],[Unique Student Name]],'Raw Entries'!C:C,ClasswiseUniqueStudents7[[#This Row],[Class]])</f>
        <v>0</v>
      </c>
      <c r="E807" s="15">
        <f>ClasswiseUniqueStudents7[[#This Row],[Total Count]]*500</f>
        <v>0</v>
      </c>
      <c r="F807" s="15"/>
    </row>
    <row r="808" spans="1:6">
      <c r="A808" s="5">
        <v>807</v>
      </c>
      <c r="B808" s="1"/>
      <c r="C808" s="1" t="s">
        <v>3960</v>
      </c>
      <c r="D808" s="5">
        <f>COUNTIFS('Raw Entries'!B:B,ClasswiseUniqueStudents7[[#This Row],[Unique Student Name]],'Raw Entries'!C:C,ClasswiseUniqueStudents7[[#This Row],[Class]])</f>
        <v>0</v>
      </c>
      <c r="E808" s="15">
        <f>ClasswiseUniqueStudents7[[#This Row],[Total Count]]*500</f>
        <v>0</v>
      </c>
      <c r="F808" s="15"/>
    </row>
    <row r="809" spans="1:6">
      <c r="A809" s="5">
        <v>808</v>
      </c>
      <c r="B809" s="1"/>
      <c r="C809" s="1" t="s">
        <v>3960</v>
      </c>
      <c r="D809" s="5">
        <f>COUNTIFS('Raw Entries'!B:B,ClasswiseUniqueStudents7[[#This Row],[Unique Student Name]],'Raw Entries'!C:C,ClasswiseUniqueStudents7[[#This Row],[Class]])</f>
        <v>0</v>
      </c>
      <c r="E809" s="15">
        <f>ClasswiseUniqueStudents7[[#This Row],[Total Count]]*500</f>
        <v>0</v>
      </c>
      <c r="F809" s="15"/>
    </row>
    <row r="810" spans="1:6">
      <c r="A810" s="5">
        <v>809</v>
      </c>
      <c r="B810" s="1"/>
      <c r="C810" s="1" t="s">
        <v>3960</v>
      </c>
      <c r="D810" s="5">
        <f>COUNTIFS('Raw Entries'!B:B,ClasswiseUniqueStudents7[[#This Row],[Unique Student Name]],'Raw Entries'!C:C,ClasswiseUniqueStudents7[[#This Row],[Class]])</f>
        <v>0</v>
      </c>
      <c r="E810" s="15">
        <f>ClasswiseUniqueStudents7[[#This Row],[Total Count]]*500</f>
        <v>0</v>
      </c>
      <c r="F810" s="15"/>
    </row>
    <row r="811" spans="1:6">
      <c r="A811" s="5">
        <v>810</v>
      </c>
      <c r="B811" s="1"/>
      <c r="C811" s="1" t="s">
        <v>3960</v>
      </c>
      <c r="D811" s="5">
        <f>COUNTIFS('Raw Entries'!B:B,ClasswiseUniqueStudents7[[#This Row],[Unique Student Name]],'Raw Entries'!C:C,ClasswiseUniqueStudents7[[#This Row],[Class]])</f>
        <v>0</v>
      </c>
      <c r="E811" s="15">
        <f>ClasswiseUniqueStudents7[[#This Row],[Total Count]]*500</f>
        <v>0</v>
      </c>
      <c r="F811" s="15"/>
    </row>
    <row r="812" spans="1:6">
      <c r="A812" s="5">
        <v>811</v>
      </c>
      <c r="B812" s="1"/>
      <c r="C812" s="1" t="s">
        <v>3960</v>
      </c>
      <c r="D812" s="5">
        <f>COUNTIFS('Raw Entries'!B:B,ClasswiseUniqueStudents7[[#This Row],[Unique Student Name]],'Raw Entries'!C:C,ClasswiseUniqueStudents7[[#This Row],[Class]])</f>
        <v>0</v>
      </c>
      <c r="E812" s="15">
        <f>ClasswiseUniqueStudents7[[#This Row],[Total Count]]*500</f>
        <v>0</v>
      </c>
      <c r="F812" s="15"/>
    </row>
    <row r="813" spans="1:6">
      <c r="A813" s="5">
        <v>812</v>
      </c>
      <c r="B813" s="1"/>
      <c r="C813" s="1" t="s">
        <v>3960</v>
      </c>
      <c r="D813" s="5">
        <f>COUNTIFS('Raw Entries'!B:B,ClasswiseUniqueStudents7[[#This Row],[Unique Student Name]],'Raw Entries'!C:C,ClasswiseUniqueStudents7[[#This Row],[Class]])</f>
        <v>0</v>
      </c>
      <c r="E813" s="15">
        <f>ClasswiseUniqueStudents7[[#This Row],[Total Count]]*500</f>
        <v>0</v>
      </c>
      <c r="F813" s="15"/>
    </row>
    <row r="814" spans="1:6">
      <c r="A814" s="5">
        <v>813</v>
      </c>
      <c r="B814" s="1"/>
      <c r="C814" s="1" t="s">
        <v>3960</v>
      </c>
      <c r="D814" s="5">
        <f>COUNTIFS('Raw Entries'!B:B,ClasswiseUniqueStudents7[[#This Row],[Unique Student Name]],'Raw Entries'!C:C,ClasswiseUniqueStudents7[[#This Row],[Class]])</f>
        <v>0</v>
      </c>
      <c r="E814" s="15">
        <f>ClasswiseUniqueStudents7[[#This Row],[Total Count]]*500</f>
        <v>0</v>
      </c>
      <c r="F814" s="15"/>
    </row>
    <row r="815" spans="1:6">
      <c r="A815" s="5">
        <v>814</v>
      </c>
      <c r="B815" s="1"/>
      <c r="C815" s="1" t="s">
        <v>3960</v>
      </c>
      <c r="D815" s="5">
        <f>COUNTIFS('Raw Entries'!B:B,ClasswiseUniqueStudents7[[#This Row],[Unique Student Name]],'Raw Entries'!C:C,ClasswiseUniqueStudents7[[#This Row],[Class]])</f>
        <v>0</v>
      </c>
      <c r="E815" s="15">
        <f>ClasswiseUniqueStudents7[[#This Row],[Total Count]]*500</f>
        <v>0</v>
      </c>
      <c r="F815" s="15"/>
    </row>
    <row r="816" spans="1:6">
      <c r="A816" s="5">
        <v>815</v>
      </c>
      <c r="B816" s="1"/>
      <c r="C816" s="1" t="s">
        <v>3960</v>
      </c>
      <c r="D816" s="5">
        <f>COUNTIFS('Raw Entries'!B:B,ClasswiseUniqueStudents7[[#This Row],[Unique Student Name]],'Raw Entries'!C:C,ClasswiseUniqueStudents7[[#This Row],[Class]])</f>
        <v>0</v>
      </c>
      <c r="E816" s="15">
        <f>ClasswiseUniqueStudents7[[#This Row],[Total Count]]*500</f>
        <v>0</v>
      </c>
      <c r="F816" s="15"/>
    </row>
    <row r="817" spans="1:6">
      <c r="A817" s="5">
        <v>816</v>
      </c>
      <c r="B817" s="1"/>
      <c r="C817" s="1" t="s">
        <v>3960</v>
      </c>
      <c r="D817" s="5">
        <f>COUNTIFS('Raw Entries'!B:B,ClasswiseUniqueStudents7[[#This Row],[Unique Student Name]],'Raw Entries'!C:C,ClasswiseUniqueStudents7[[#This Row],[Class]])</f>
        <v>0</v>
      </c>
      <c r="E817" s="15">
        <f>ClasswiseUniqueStudents7[[#This Row],[Total Count]]*500</f>
        <v>0</v>
      </c>
      <c r="F817" s="15"/>
    </row>
    <row r="818" spans="1:6">
      <c r="A818" s="5">
        <v>817</v>
      </c>
      <c r="B818" s="1"/>
      <c r="C818" s="1" t="s">
        <v>3960</v>
      </c>
      <c r="D818" s="5">
        <f>COUNTIFS('Raw Entries'!B:B,ClasswiseUniqueStudents7[[#This Row],[Unique Student Name]],'Raw Entries'!C:C,ClasswiseUniqueStudents7[[#This Row],[Class]])</f>
        <v>0</v>
      </c>
      <c r="E818" s="15">
        <f>ClasswiseUniqueStudents7[[#This Row],[Total Count]]*500</f>
        <v>0</v>
      </c>
      <c r="F818" s="15"/>
    </row>
    <row r="819" spans="1:6">
      <c r="A819" s="5">
        <v>818</v>
      </c>
      <c r="B819" s="1"/>
      <c r="C819" s="1" t="s">
        <v>3960</v>
      </c>
      <c r="D819" s="5">
        <f>COUNTIFS('Raw Entries'!B:B,ClasswiseUniqueStudents7[[#This Row],[Unique Student Name]],'Raw Entries'!C:C,ClasswiseUniqueStudents7[[#This Row],[Class]])</f>
        <v>0</v>
      </c>
      <c r="E819" s="15">
        <f>ClasswiseUniqueStudents7[[#This Row],[Total Count]]*500</f>
        <v>0</v>
      </c>
      <c r="F819" s="15"/>
    </row>
    <row r="820" spans="1:6">
      <c r="A820" s="5">
        <v>819</v>
      </c>
      <c r="B820" s="1"/>
      <c r="C820" s="1" t="s">
        <v>3960</v>
      </c>
      <c r="D820" s="5">
        <f>COUNTIFS('Raw Entries'!B:B,ClasswiseUniqueStudents7[[#This Row],[Unique Student Name]],'Raw Entries'!C:C,ClasswiseUniqueStudents7[[#This Row],[Class]])</f>
        <v>0</v>
      </c>
      <c r="E820" s="15">
        <f>ClasswiseUniqueStudents7[[#This Row],[Total Count]]*500</f>
        <v>0</v>
      </c>
      <c r="F820" s="15"/>
    </row>
    <row r="821" spans="1:6">
      <c r="A821" s="5">
        <v>820</v>
      </c>
      <c r="B821" s="1"/>
      <c r="C821" s="1" t="s">
        <v>3960</v>
      </c>
      <c r="D821" s="5">
        <f>COUNTIFS('Raw Entries'!B:B,ClasswiseUniqueStudents7[[#This Row],[Unique Student Name]],'Raw Entries'!C:C,ClasswiseUniqueStudents7[[#This Row],[Class]])</f>
        <v>0</v>
      </c>
      <c r="E821" s="15">
        <f>ClasswiseUniqueStudents7[[#This Row],[Total Count]]*500</f>
        <v>0</v>
      </c>
      <c r="F821" s="15"/>
    </row>
    <row r="822" spans="1:6">
      <c r="A822" s="5">
        <v>821</v>
      </c>
      <c r="B822" s="1"/>
      <c r="C822" s="1" t="s">
        <v>3960</v>
      </c>
      <c r="D822" s="5">
        <f>COUNTIFS('Raw Entries'!B:B,ClasswiseUniqueStudents7[[#This Row],[Unique Student Name]],'Raw Entries'!C:C,ClasswiseUniqueStudents7[[#This Row],[Class]])</f>
        <v>0</v>
      </c>
      <c r="E822" s="15">
        <f>ClasswiseUniqueStudents7[[#This Row],[Total Count]]*500</f>
        <v>0</v>
      </c>
      <c r="F822" s="15"/>
    </row>
    <row r="823" spans="1:6">
      <c r="A823" s="5">
        <v>822</v>
      </c>
      <c r="B823" s="1"/>
      <c r="C823" s="1" t="s">
        <v>3960</v>
      </c>
      <c r="D823" s="5">
        <f>COUNTIFS('Raw Entries'!B:B,ClasswiseUniqueStudents7[[#This Row],[Unique Student Name]],'Raw Entries'!C:C,ClasswiseUniqueStudents7[[#This Row],[Class]])</f>
        <v>0</v>
      </c>
      <c r="E823" s="15">
        <f>ClasswiseUniqueStudents7[[#This Row],[Total Count]]*500</f>
        <v>0</v>
      </c>
      <c r="F823" s="15"/>
    </row>
    <row r="824" spans="1:6">
      <c r="A824" s="5">
        <v>823</v>
      </c>
      <c r="B824" s="1"/>
      <c r="C824" s="1" t="s">
        <v>3960</v>
      </c>
      <c r="D824" s="5">
        <f>COUNTIFS('Raw Entries'!B:B,ClasswiseUniqueStudents7[[#This Row],[Unique Student Name]],'Raw Entries'!C:C,ClasswiseUniqueStudents7[[#This Row],[Class]])</f>
        <v>0</v>
      </c>
      <c r="E824" s="15">
        <f>ClasswiseUniqueStudents7[[#This Row],[Total Count]]*500</f>
        <v>0</v>
      </c>
      <c r="F824" s="15"/>
    </row>
    <row r="825" spans="1:6">
      <c r="A825" s="5">
        <v>824</v>
      </c>
      <c r="B825" s="1"/>
      <c r="C825" s="1" t="s">
        <v>3960</v>
      </c>
      <c r="D825" s="5">
        <f>COUNTIFS('Raw Entries'!B:B,ClasswiseUniqueStudents7[[#This Row],[Unique Student Name]],'Raw Entries'!C:C,ClasswiseUniqueStudents7[[#This Row],[Class]])</f>
        <v>0</v>
      </c>
      <c r="E825" s="15">
        <f>ClasswiseUniqueStudents7[[#This Row],[Total Count]]*500</f>
        <v>0</v>
      </c>
      <c r="F825" s="15"/>
    </row>
    <row r="826" spans="1:6">
      <c r="A826" s="5">
        <v>825</v>
      </c>
      <c r="B826" s="1"/>
      <c r="C826" s="1" t="s">
        <v>3960</v>
      </c>
      <c r="D826" s="5">
        <f>COUNTIFS('Raw Entries'!B:B,ClasswiseUniqueStudents7[[#This Row],[Unique Student Name]],'Raw Entries'!C:C,ClasswiseUniqueStudents7[[#This Row],[Class]])</f>
        <v>0</v>
      </c>
      <c r="E826" s="15">
        <f>ClasswiseUniqueStudents7[[#This Row],[Total Count]]*500</f>
        <v>0</v>
      </c>
      <c r="F826" s="15"/>
    </row>
    <row r="827" spans="1:6">
      <c r="A827" s="5">
        <v>826</v>
      </c>
      <c r="B827" s="1"/>
      <c r="C827" s="1" t="s">
        <v>3960</v>
      </c>
      <c r="D827" s="5">
        <f>COUNTIFS('Raw Entries'!B:B,ClasswiseUniqueStudents7[[#This Row],[Unique Student Name]],'Raw Entries'!C:C,ClasswiseUniqueStudents7[[#This Row],[Class]])</f>
        <v>0</v>
      </c>
      <c r="E827" s="15">
        <f>ClasswiseUniqueStudents7[[#This Row],[Total Count]]*500</f>
        <v>0</v>
      </c>
      <c r="F827" s="15"/>
    </row>
    <row r="828" spans="1:6">
      <c r="A828" s="5">
        <v>827</v>
      </c>
      <c r="B828" s="1"/>
      <c r="C828" s="1" t="s">
        <v>3960</v>
      </c>
      <c r="D828" s="5">
        <f>COUNTIFS('Raw Entries'!B:B,ClasswiseUniqueStudents7[[#This Row],[Unique Student Name]],'Raw Entries'!C:C,ClasswiseUniqueStudents7[[#This Row],[Class]])</f>
        <v>0</v>
      </c>
      <c r="E828" s="15">
        <f>ClasswiseUniqueStudents7[[#This Row],[Total Count]]*500</f>
        <v>0</v>
      </c>
      <c r="F828" s="15"/>
    </row>
    <row r="829" spans="1:6">
      <c r="A829" s="5">
        <v>828</v>
      </c>
      <c r="B829" s="1"/>
      <c r="C829" s="1" t="s">
        <v>3960</v>
      </c>
      <c r="D829" s="5">
        <f>COUNTIFS('Raw Entries'!B:B,ClasswiseUniqueStudents7[[#This Row],[Unique Student Name]],'Raw Entries'!C:C,ClasswiseUniqueStudents7[[#This Row],[Class]])</f>
        <v>0</v>
      </c>
      <c r="E829" s="15">
        <f>ClasswiseUniqueStudents7[[#This Row],[Total Count]]*500</f>
        <v>0</v>
      </c>
      <c r="F829" s="15"/>
    </row>
    <row r="830" spans="1:6">
      <c r="A830" s="5">
        <v>829</v>
      </c>
      <c r="B830" s="1"/>
      <c r="C830" s="1" t="s">
        <v>3960</v>
      </c>
      <c r="D830" s="5">
        <f>COUNTIFS('Raw Entries'!B:B,ClasswiseUniqueStudents7[[#This Row],[Unique Student Name]],'Raw Entries'!C:C,ClasswiseUniqueStudents7[[#This Row],[Class]])</f>
        <v>0</v>
      </c>
      <c r="E830" s="15">
        <f>ClasswiseUniqueStudents7[[#This Row],[Total Count]]*500</f>
        <v>0</v>
      </c>
      <c r="F830" s="15"/>
    </row>
    <row r="831" spans="1:6">
      <c r="A831" s="5">
        <v>830</v>
      </c>
      <c r="B831" s="1"/>
      <c r="C831" s="1" t="s">
        <v>3960</v>
      </c>
      <c r="D831" s="5">
        <f>COUNTIFS('Raw Entries'!B:B,ClasswiseUniqueStudents7[[#This Row],[Unique Student Name]],'Raw Entries'!C:C,ClasswiseUniqueStudents7[[#This Row],[Class]])</f>
        <v>0</v>
      </c>
      <c r="E831" s="15">
        <f>ClasswiseUniqueStudents7[[#This Row],[Total Count]]*500</f>
        <v>0</v>
      </c>
      <c r="F831" s="15"/>
    </row>
    <row r="832" spans="1:6">
      <c r="A832" s="5">
        <v>831</v>
      </c>
      <c r="B832" s="1"/>
      <c r="C832" s="1" t="s">
        <v>3960</v>
      </c>
      <c r="D832" s="5">
        <f>COUNTIFS('Raw Entries'!B:B,ClasswiseUniqueStudents7[[#This Row],[Unique Student Name]],'Raw Entries'!C:C,ClasswiseUniqueStudents7[[#This Row],[Class]])</f>
        <v>0</v>
      </c>
      <c r="E832" s="15">
        <f>ClasswiseUniqueStudents7[[#This Row],[Total Count]]*500</f>
        <v>0</v>
      </c>
      <c r="F832" s="15"/>
    </row>
    <row r="833" spans="1:6">
      <c r="A833" s="5">
        <v>832</v>
      </c>
      <c r="B833" s="1"/>
      <c r="C833" s="1" t="s">
        <v>3960</v>
      </c>
      <c r="D833" s="5">
        <f>COUNTIFS('Raw Entries'!B:B,ClasswiseUniqueStudents7[[#This Row],[Unique Student Name]],'Raw Entries'!C:C,ClasswiseUniqueStudents7[[#This Row],[Class]])</f>
        <v>0</v>
      </c>
      <c r="E833" s="15">
        <f>ClasswiseUniqueStudents7[[#This Row],[Total Count]]*500</f>
        <v>0</v>
      </c>
      <c r="F833" s="15"/>
    </row>
    <row r="834" spans="1:6">
      <c r="A834" s="5">
        <v>833</v>
      </c>
      <c r="B834" s="1"/>
      <c r="C834" s="1" t="s">
        <v>3960</v>
      </c>
      <c r="D834" s="5">
        <f>COUNTIFS('Raw Entries'!B:B,ClasswiseUniqueStudents7[[#This Row],[Unique Student Name]],'Raw Entries'!C:C,ClasswiseUniqueStudents7[[#This Row],[Class]])</f>
        <v>0</v>
      </c>
      <c r="E834" s="15">
        <f>ClasswiseUniqueStudents7[[#This Row],[Total Count]]*500</f>
        <v>0</v>
      </c>
      <c r="F834" s="15"/>
    </row>
    <row r="835" spans="1:6">
      <c r="A835" s="5">
        <v>834</v>
      </c>
      <c r="B835" s="1"/>
      <c r="C835" s="1" t="s">
        <v>3960</v>
      </c>
      <c r="D835" s="5">
        <f>COUNTIFS('Raw Entries'!B:B,ClasswiseUniqueStudents7[[#This Row],[Unique Student Name]],'Raw Entries'!C:C,ClasswiseUniqueStudents7[[#This Row],[Class]])</f>
        <v>0</v>
      </c>
      <c r="E835" s="15">
        <f>ClasswiseUniqueStudents7[[#This Row],[Total Count]]*500</f>
        <v>0</v>
      </c>
      <c r="F835" s="15"/>
    </row>
    <row r="836" spans="1:6">
      <c r="A836" s="5">
        <v>835</v>
      </c>
      <c r="B836" s="1"/>
      <c r="C836" s="1" t="s">
        <v>3960</v>
      </c>
      <c r="D836" s="5">
        <f>COUNTIFS('Raw Entries'!B:B,ClasswiseUniqueStudents7[[#This Row],[Unique Student Name]],'Raw Entries'!C:C,ClasswiseUniqueStudents7[[#This Row],[Class]])</f>
        <v>0</v>
      </c>
      <c r="E836" s="15">
        <f>ClasswiseUniqueStudents7[[#This Row],[Total Count]]*500</f>
        <v>0</v>
      </c>
      <c r="F836" s="15"/>
    </row>
    <row r="837" spans="1:6">
      <c r="A837" s="5">
        <v>836</v>
      </c>
      <c r="B837" s="1"/>
      <c r="C837" s="1" t="s">
        <v>3960</v>
      </c>
      <c r="D837" s="5">
        <f>COUNTIFS('Raw Entries'!B:B,ClasswiseUniqueStudents7[[#This Row],[Unique Student Name]],'Raw Entries'!C:C,ClasswiseUniqueStudents7[[#This Row],[Class]])</f>
        <v>0</v>
      </c>
      <c r="E837" s="15">
        <f>ClasswiseUniqueStudents7[[#This Row],[Total Count]]*500</f>
        <v>0</v>
      </c>
      <c r="F837" s="15"/>
    </row>
    <row r="838" spans="1:6">
      <c r="A838" s="5">
        <v>837</v>
      </c>
      <c r="B838" s="1"/>
      <c r="C838" s="1" t="s">
        <v>3960</v>
      </c>
      <c r="D838" s="5">
        <f>COUNTIFS('Raw Entries'!B:B,ClasswiseUniqueStudents7[[#This Row],[Unique Student Name]],'Raw Entries'!C:C,ClasswiseUniqueStudents7[[#This Row],[Class]])</f>
        <v>0</v>
      </c>
      <c r="E838" s="15">
        <f>ClasswiseUniqueStudents7[[#This Row],[Total Count]]*500</f>
        <v>0</v>
      </c>
      <c r="F838" s="15"/>
    </row>
    <row r="839" spans="1:6">
      <c r="A839" s="5">
        <v>838</v>
      </c>
      <c r="B839" s="1"/>
      <c r="C839" s="1" t="s">
        <v>3960</v>
      </c>
      <c r="D839" s="5">
        <f>COUNTIFS('Raw Entries'!B:B,ClasswiseUniqueStudents7[[#This Row],[Unique Student Name]],'Raw Entries'!C:C,ClasswiseUniqueStudents7[[#This Row],[Class]])</f>
        <v>0</v>
      </c>
      <c r="E839" s="15">
        <f>ClasswiseUniqueStudents7[[#This Row],[Total Count]]*500</f>
        <v>0</v>
      </c>
      <c r="F839" s="15"/>
    </row>
    <row r="840" spans="1:6">
      <c r="A840" s="5">
        <v>839</v>
      </c>
      <c r="B840" s="1"/>
      <c r="C840" s="1" t="s">
        <v>3960</v>
      </c>
      <c r="D840" s="5">
        <f>COUNTIFS('Raw Entries'!B:B,ClasswiseUniqueStudents7[[#This Row],[Unique Student Name]],'Raw Entries'!C:C,ClasswiseUniqueStudents7[[#This Row],[Class]])</f>
        <v>0</v>
      </c>
      <c r="E840" s="15">
        <f>ClasswiseUniqueStudents7[[#This Row],[Total Count]]*500</f>
        <v>0</v>
      </c>
      <c r="F840" s="15"/>
    </row>
    <row r="841" spans="1:6">
      <c r="A841" s="5">
        <v>840</v>
      </c>
      <c r="B841" s="1"/>
      <c r="C841" s="1" t="s">
        <v>3960</v>
      </c>
      <c r="D841" s="5">
        <f>COUNTIFS('Raw Entries'!B:B,ClasswiseUniqueStudents7[[#This Row],[Unique Student Name]],'Raw Entries'!C:C,ClasswiseUniqueStudents7[[#This Row],[Class]])</f>
        <v>0</v>
      </c>
      <c r="E841" s="15">
        <f>ClasswiseUniqueStudents7[[#This Row],[Total Count]]*500</f>
        <v>0</v>
      </c>
      <c r="F841" s="15"/>
    </row>
    <row r="842" spans="1:6">
      <c r="A842" s="5">
        <v>841</v>
      </c>
      <c r="B842" s="1"/>
      <c r="C842" s="1" t="s">
        <v>3960</v>
      </c>
      <c r="D842" s="5">
        <f>COUNTIFS('Raw Entries'!B:B,ClasswiseUniqueStudents7[[#This Row],[Unique Student Name]],'Raw Entries'!C:C,ClasswiseUniqueStudents7[[#This Row],[Class]])</f>
        <v>0</v>
      </c>
      <c r="E842" s="15">
        <f>ClasswiseUniqueStudents7[[#This Row],[Total Count]]*500</f>
        <v>0</v>
      </c>
      <c r="F842" s="15"/>
    </row>
    <row r="843" spans="1:6">
      <c r="A843" s="5">
        <v>842</v>
      </c>
      <c r="B843" s="1"/>
      <c r="C843" s="1" t="s">
        <v>3960</v>
      </c>
      <c r="D843" s="5">
        <f>COUNTIFS('Raw Entries'!B:B,ClasswiseUniqueStudents7[[#This Row],[Unique Student Name]],'Raw Entries'!C:C,ClasswiseUniqueStudents7[[#This Row],[Class]])</f>
        <v>0</v>
      </c>
      <c r="E843" s="15">
        <f>ClasswiseUniqueStudents7[[#This Row],[Total Count]]*500</f>
        <v>0</v>
      </c>
      <c r="F843" s="15"/>
    </row>
    <row r="844" spans="1:6">
      <c r="A844" s="5">
        <v>843</v>
      </c>
      <c r="B844" s="1"/>
      <c r="C844" s="1" t="s">
        <v>3960</v>
      </c>
      <c r="D844" s="5">
        <f>COUNTIFS('Raw Entries'!B:B,ClasswiseUniqueStudents7[[#This Row],[Unique Student Name]],'Raw Entries'!C:C,ClasswiseUniqueStudents7[[#This Row],[Class]])</f>
        <v>0</v>
      </c>
      <c r="E844" s="15">
        <f>ClasswiseUniqueStudents7[[#This Row],[Total Count]]*500</f>
        <v>0</v>
      </c>
      <c r="F844" s="15"/>
    </row>
    <row r="845" spans="1:6">
      <c r="A845" s="5">
        <v>844</v>
      </c>
      <c r="B845" s="1"/>
      <c r="C845" s="1" t="s">
        <v>3960</v>
      </c>
      <c r="D845" s="5">
        <f>COUNTIFS('Raw Entries'!B:B,ClasswiseUniqueStudents7[[#This Row],[Unique Student Name]],'Raw Entries'!C:C,ClasswiseUniqueStudents7[[#This Row],[Class]])</f>
        <v>0</v>
      </c>
      <c r="E845" s="15">
        <f>ClasswiseUniqueStudents7[[#This Row],[Total Count]]*500</f>
        <v>0</v>
      </c>
      <c r="F845" s="15"/>
    </row>
    <row r="846" spans="1:6">
      <c r="A846" s="5">
        <v>845</v>
      </c>
      <c r="B846" s="1"/>
      <c r="C846" s="1" t="s">
        <v>3960</v>
      </c>
      <c r="D846" s="5">
        <f>COUNTIFS('Raw Entries'!B:B,ClasswiseUniqueStudents7[[#This Row],[Unique Student Name]],'Raw Entries'!C:C,ClasswiseUniqueStudents7[[#This Row],[Class]])</f>
        <v>0</v>
      </c>
      <c r="E846" s="15">
        <f>ClasswiseUniqueStudents7[[#This Row],[Total Count]]*500</f>
        <v>0</v>
      </c>
      <c r="F846" s="15"/>
    </row>
    <row r="847" spans="1:6">
      <c r="A847" s="5">
        <v>846</v>
      </c>
      <c r="B847" s="1"/>
      <c r="C847" s="1" t="s">
        <v>3960</v>
      </c>
      <c r="D847" s="5">
        <f>COUNTIFS('Raw Entries'!B:B,ClasswiseUniqueStudents7[[#This Row],[Unique Student Name]],'Raw Entries'!C:C,ClasswiseUniqueStudents7[[#This Row],[Class]])</f>
        <v>0</v>
      </c>
      <c r="E847" s="15">
        <f>ClasswiseUniqueStudents7[[#This Row],[Total Count]]*500</f>
        <v>0</v>
      </c>
      <c r="F847" s="15"/>
    </row>
    <row r="848" spans="1:6">
      <c r="A848" s="5">
        <v>847</v>
      </c>
      <c r="B848" s="1"/>
      <c r="C848" s="1" t="s">
        <v>3960</v>
      </c>
      <c r="D848" s="5">
        <f>COUNTIFS('Raw Entries'!B:B,ClasswiseUniqueStudents7[[#This Row],[Unique Student Name]],'Raw Entries'!C:C,ClasswiseUniqueStudents7[[#This Row],[Class]])</f>
        <v>0</v>
      </c>
      <c r="E848" s="15">
        <f>ClasswiseUniqueStudents7[[#This Row],[Total Count]]*500</f>
        <v>0</v>
      </c>
      <c r="F848" s="15"/>
    </row>
    <row r="849" spans="1:6">
      <c r="A849" s="5">
        <v>848</v>
      </c>
      <c r="B849" s="1"/>
      <c r="C849" s="1" t="s">
        <v>3960</v>
      </c>
      <c r="D849" s="5">
        <f>COUNTIFS('Raw Entries'!B:B,ClasswiseUniqueStudents7[[#This Row],[Unique Student Name]],'Raw Entries'!C:C,ClasswiseUniqueStudents7[[#This Row],[Class]])</f>
        <v>0</v>
      </c>
      <c r="E849" s="15">
        <f>ClasswiseUniqueStudents7[[#This Row],[Total Count]]*500</f>
        <v>0</v>
      </c>
      <c r="F849" s="15"/>
    </row>
    <row r="850" spans="1:6">
      <c r="A850" s="5">
        <v>849</v>
      </c>
      <c r="B850" s="1"/>
      <c r="C850" s="1" t="s">
        <v>3960</v>
      </c>
      <c r="D850" s="5">
        <f>COUNTIFS('Raw Entries'!B:B,ClasswiseUniqueStudents7[[#This Row],[Unique Student Name]],'Raw Entries'!C:C,ClasswiseUniqueStudents7[[#This Row],[Class]])</f>
        <v>0</v>
      </c>
      <c r="E850" s="15">
        <f>ClasswiseUniqueStudents7[[#This Row],[Total Count]]*500</f>
        <v>0</v>
      </c>
      <c r="F850" s="15"/>
    </row>
    <row r="851" spans="1:6">
      <c r="A851" s="5">
        <v>850</v>
      </c>
      <c r="B851" s="1"/>
      <c r="C851" s="1" t="s">
        <v>3960</v>
      </c>
      <c r="D851" s="5">
        <f>COUNTIFS('Raw Entries'!B:B,ClasswiseUniqueStudents7[[#This Row],[Unique Student Name]],'Raw Entries'!C:C,ClasswiseUniqueStudents7[[#This Row],[Class]])</f>
        <v>0</v>
      </c>
      <c r="E851" s="15">
        <f>ClasswiseUniqueStudents7[[#This Row],[Total Count]]*500</f>
        <v>0</v>
      </c>
      <c r="F851" s="15"/>
    </row>
    <row r="852" spans="1:6">
      <c r="A852" s="5">
        <v>851</v>
      </c>
      <c r="B852" s="1"/>
      <c r="C852" s="1" t="s">
        <v>3960</v>
      </c>
      <c r="D852" s="5">
        <f>COUNTIFS('Raw Entries'!B:B,ClasswiseUniqueStudents7[[#This Row],[Unique Student Name]],'Raw Entries'!C:C,ClasswiseUniqueStudents7[[#This Row],[Class]])</f>
        <v>0</v>
      </c>
      <c r="E852" s="15">
        <f>ClasswiseUniqueStudents7[[#This Row],[Total Count]]*500</f>
        <v>0</v>
      </c>
      <c r="F852" s="15"/>
    </row>
    <row r="853" spans="1:6">
      <c r="A853" s="5">
        <v>852</v>
      </c>
      <c r="B853" s="1"/>
      <c r="C853" s="1" t="s">
        <v>3960</v>
      </c>
      <c r="D853" s="5">
        <f>COUNTIFS('Raw Entries'!B:B,ClasswiseUniqueStudents7[[#This Row],[Unique Student Name]],'Raw Entries'!C:C,ClasswiseUniqueStudents7[[#This Row],[Class]])</f>
        <v>0</v>
      </c>
      <c r="E853" s="15">
        <f>ClasswiseUniqueStudents7[[#This Row],[Total Count]]*500</f>
        <v>0</v>
      </c>
      <c r="F853" s="15"/>
    </row>
    <row r="854" spans="1:6">
      <c r="A854" s="5">
        <v>853</v>
      </c>
      <c r="B854" s="1"/>
      <c r="C854" s="1" t="s">
        <v>3960</v>
      </c>
      <c r="D854" s="5">
        <f>COUNTIFS('Raw Entries'!B:B,ClasswiseUniqueStudents7[[#This Row],[Unique Student Name]],'Raw Entries'!C:C,ClasswiseUniqueStudents7[[#This Row],[Class]])</f>
        <v>0</v>
      </c>
      <c r="E854" s="15">
        <f>ClasswiseUniqueStudents7[[#This Row],[Total Count]]*500</f>
        <v>0</v>
      </c>
      <c r="F854" s="15"/>
    </row>
    <row r="855" spans="1:6">
      <c r="A855" s="5">
        <v>854</v>
      </c>
      <c r="B855" s="1"/>
      <c r="C855" s="1" t="s">
        <v>3960</v>
      </c>
      <c r="D855" s="5">
        <f>COUNTIFS('Raw Entries'!B:B,ClasswiseUniqueStudents7[[#This Row],[Unique Student Name]],'Raw Entries'!C:C,ClasswiseUniqueStudents7[[#This Row],[Class]])</f>
        <v>0</v>
      </c>
      <c r="E855" s="15">
        <f>ClasswiseUniqueStudents7[[#This Row],[Total Count]]*500</f>
        <v>0</v>
      </c>
      <c r="F855" s="15"/>
    </row>
    <row r="856" spans="1:6">
      <c r="A856" s="5">
        <v>855</v>
      </c>
      <c r="B856" s="1"/>
      <c r="C856" s="1" t="s">
        <v>3960</v>
      </c>
      <c r="D856" s="5">
        <f>COUNTIFS('Raw Entries'!B:B,ClasswiseUniqueStudents7[[#This Row],[Unique Student Name]],'Raw Entries'!C:C,ClasswiseUniqueStudents7[[#This Row],[Class]])</f>
        <v>0</v>
      </c>
      <c r="E856" s="15">
        <f>ClasswiseUniqueStudents7[[#This Row],[Total Count]]*500</f>
        <v>0</v>
      </c>
      <c r="F856" s="15"/>
    </row>
    <row r="857" spans="1:6">
      <c r="A857" s="5">
        <v>856</v>
      </c>
      <c r="B857" s="1"/>
      <c r="C857" s="1" t="s">
        <v>3960</v>
      </c>
      <c r="D857" s="5">
        <f>COUNTIFS('Raw Entries'!B:B,ClasswiseUniqueStudents7[[#This Row],[Unique Student Name]],'Raw Entries'!C:C,ClasswiseUniqueStudents7[[#This Row],[Class]])</f>
        <v>0</v>
      </c>
      <c r="E857" s="15">
        <f>ClasswiseUniqueStudents7[[#This Row],[Total Count]]*500</f>
        <v>0</v>
      </c>
      <c r="F857" s="15"/>
    </row>
    <row r="858" spans="1:6">
      <c r="A858" s="5">
        <v>857</v>
      </c>
      <c r="B858" s="1"/>
      <c r="C858" s="1" t="s">
        <v>3960</v>
      </c>
      <c r="D858" s="5">
        <f>COUNTIFS('Raw Entries'!B:B,ClasswiseUniqueStudents7[[#This Row],[Unique Student Name]],'Raw Entries'!C:C,ClasswiseUniqueStudents7[[#This Row],[Class]])</f>
        <v>0</v>
      </c>
      <c r="E858" s="15">
        <f>ClasswiseUniqueStudents7[[#This Row],[Total Count]]*500</f>
        <v>0</v>
      </c>
      <c r="F858" s="15"/>
    </row>
    <row r="859" spans="1:6">
      <c r="A859" s="5">
        <v>858</v>
      </c>
      <c r="B859" s="1"/>
      <c r="C859" s="1" t="s">
        <v>3960</v>
      </c>
      <c r="D859" s="5">
        <f>COUNTIFS('Raw Entries'!B:B,ClasswiseUniqueStudents7[[#This Row],[Unique Student Name]],'Raw Entries'!C:C,ClasswiseUniqueStudents7[[#This Row],[Class]])</f>
        <v>0</v>
      </c>
      <c r="E859" s="15">
        <f>ClasswiseUniqueStudents7[[#This Row],[Total Count]]*500</f>
        <v>0</v>
      </c>
      <c r="F859" s="15"/>
    </row>
    <row r="860" spans="1:6">
      <c r="A860" s="5">
        <v>859</v>
      </c>
      <c r="B860" s="1"/>
      <c r="C860" s="1" t="s">
        <v>3960</v>
      </c>
      <c r="D860" s="5">
        <f>COUNTIFS('Raw Entries'!B:B,ClasswiseUniqueStudents7[[#This Row],[Unique Student Name]],'Raw Entries'!C:C,ClasswiseUniqueStudents7[[#This Row],[Class]])</f>
        <v>0</v>
      </c>
      <c r="E860" s="15">
        <f>ClasswiseUniqueStudents7[[#This Row],[Total Count]]*500</f>
        <v>0</v>
      </c>
      <c r="F860" s="15"/>
    </row>
    <row r="861" spans="1:6">
      <c r="A861" s="5">
        <v>860</v>
      </c>
      <c r="B861" s="1"/>
      <c r="C861" s="1" t="s">
        <v>3960</v>
      </c>
      <c r="D861" s="5">
        <f>COUNTIFS('Raw Entries'!B:B,ClasswiseUniqueStudents7[[#This Row],[Unique Student Name]],'Raw Entries'!C:C,ClasswiseUniqueStudents7[[#This Row],[Class]])</f>
        <v>0</v>
      </c>
      <c r="E861" s="15">
        <f>ClasswiseUniqueStudents7[[#This Row],[Total Count]]*500</f>
        <v>0</v>
      </c>
      <c r="F861" s="15"/>
    </row>
    <row r="862" spans="1:6">
      <c r="A862" s="5">
        <v>861</v>
      </c>
      <c r="B862" s="1"/>
      <c r="C862" s="1" t="s">
        <v>3960</v>
      </c>
      <c r="D862" s="5">
        <f>COUNTIFS('Raw Entries'!B:B,ClasswiseUniqueStudents7[[#This Row],[Unique Student Name]],'Raw Entries'!C:C,ClasswiseUniqueStudents7[[#This Row],[Class]])</f>
        <v>0</v>
      </c>
      <c r="E862" s="15">
        <f>ClasswiseUniqueStudents7[[#This Row],[Total Count]]*500</f>
        <v>0</v>
      </c>
      <c r="F862" s="15"/>
    </row>
    <row r="863" spans="1:6">
      <c r="A863" s="5">
        <v>862</v>
      </c>
      <c r="B863" s="1"/>
      <c r="C863" s="1" t="s">
        <v>3960</v>
      </c>
      <c r="D863" s="5">
        <f>COUNTIFS('Raw Entries'!B:B,ClasswiseUniqueStudents7[[#This Row],[Unique Student Name]],'Raw Entries'!C:C,ClasswiseUniqueStudents7[[#This Row],[Class]])</f>
        <v>0</v>
      </c>
      <c r="E863" s="15">
        <f>ClasswiseUniqueStudents7[[#This Row],[Total Count]]*500</f>
        <v>0</v>
      </c>
      <c r="F863" s="15"/>
    </row>
    <row r="864" spans="1:6">
      <c r="A864" s="5">
        <v>863</v>
      </c>
      <c r="B864" s="1"/>
      <c r="C864" s="1" t="s">
        <v>3960</v>
      </c>
      <c r="D864" s="5">
        <f>COUNTIFS('Raw Entries'!B:B,ClasswiseUniqueStudents7[[#This Row],[Unique Student Name]],'Raw Entries'!C:C,ClasswiseUniqueStudents7[[#This Row],[Class]])</f>
        <v>0</v>
      </c>
      <c r="E864" s="15">
        <f>ClasswiseUniqueStudents7[[#This Row],[Total Count]]*500</f>
        <v>0</v>
      </c>
      <c r="F864" s="15"/>
    </row>
    <row r="865" spans="1:6">
      <c r="A865" s="5">
        <v>864</v>
      </c>
      <c r="B865" s="1"/>
      <c r="C865" s="1" t="s">
        <v>3960</v>
      </c>
      <c r="D865" s="5">
        <f>COUNTIFS('Raw Entries'!B:B,ClasswiseUniqueStudents7[[#This Row],[Unique Student Name]],'Raw Entries'!C:C,ClasswiseUniqueStudents7[[#This Row],[Class]])</f>
        <v>0</v>
      </c>
      <c r="E865" s="15">
        <f>ClasswiseUniqueStudents7[[#This Row],[Total Count]]*500</f>
        <v>0</v>
      </c>
      <c r="F865" s="15"/>
    </row>
    <row r="866" spans="1:6">
      <c r="A866" s="5">
        <v>865</v>
      </c>
      <c r="B866" s="1"/>
      <c r="C866" s="1" t="s">
        <v>3960</v>
      </c>
      <c r="D866" s="5">
        <f>COUNTIFS('Raw Entries'!B:B,ClasswiseUniqueStudents7[[#This Row],[Unique Student Name]],'Raw Entries'!C:C,ClasswiseUniqueStudents7[[#This Row],[Class]])</f>
        <v>0</v>
      </c>
      <c r="E866" s="15">
        <f>ClasswiseUniqueStudents7[[#This Row],[Total Count]]*500</f>
        <v>0</v>
      </c>
      <c r="F866" s="15"/>
    </row>
    <row r="867" spans="1:6">
      <c r="A867" s="5">
        <v>866</v>
      </c>
      <c r="B867" s="1"/>
      <c r="C867" s="1" t="s">
        <v>3960</v>
      </c>
      <c r="D867" s="5">
        <f>COUNTIFS('Raw Entries'!B:B,ClasswiseUniqueStudents7[[#This Row],[Unique Student Name]],'Raw Entries'!C:C,ClasswiseUniqueStudents7[[#This Row],[Class]])</f>
        <v>0</v>
      </c>
      <c r="E867" s="15">
        <f>ClasswiseUniqueStudents7[[#This Row],[Total Count]]*500</f>
        <v>0</v>
      </c>
      <c r="F867" s="15"/>
    </row>
    <row r="868" spans="1:6">
      <c r="A868" s="5">
        <v>867</v>
      </c>
      <c r="B868" s="1"/>
      <c r="C868" s="1" t="s">
        <v>3960</v>
      </c>
      <c r="D868" s="5">
        <f>COUNTIFS('Raw Entries'!B:B,ClasswiseUniqueStudents7[[#This Row],[Unique Student Name]],'Raw Entries'!C:C,ClasswiseUniqueStudents7[[#This Row],[Class]])</f>
        <v>0</v>
      </c>
      <c r="E868" s="15">
        <f>ClasswiseUniqueStudents7[[#This Row],[Total Count]]*500</f>
        <v>0</v>
      </c>
      <c r="F868" s="15"/>
    </row>
    <row r="869" spans="1:6">
      <c r="A869" s="5">
        <v>868</v>
      </c>
      <c r="B869" s="1"/>
      <c r="C869" s="1" t="s">
        <v>3960</v>
      </c>
      <c r="D869" s="5">
        <f>COUNTIFS('Raw Entries'!B:B,ClasswiseUniqueStudents7[[#This Row],[Unique Student Name]],'Raw Entries'!C:C,ClasswiseUniqueStudents7[[#This Row],[Class]])</f>
        <v>0</v>
      </c>
      <c r="E869" s="15">
        <f>ClasswiseUniqueStudents7[[#This Row],[Total Count]]*500</f>
        <v>0</v>
      </c>
      <c r="F869" s="15"/>
    </row>
    <row r="870" spans="1:6">
      <c r="A870" s="5">
        <v>869</v>
      </c>
      <c r="B870" s="1"/>
      <c r="C870" s="1" t="s">
        <v>3960</v>
      </c>
      <c r="D870" s="5">
        <f>COUNTIFS('Raw Entries'!B:B,ClasswiseUniqueStudents7[[#This Row],[Unique Student Name]],'Raw Entries'!C:C,ClasswiseUniqueStudents7[[#This Row],[Class]])</f>
        <v>0</v>
      </c>
      <c r="E870" s="15">
        <f>ClasswiseUniqueStudents7[[#This Row],[Total Count]]*500</f>
        <v>0</v>
      </c>
      <c r="F870" s="15"/>
    </row>
    <row r="871" spans="1:6">
      <c r="A871" s="5">
        <v>870</v>
      </c>
      <c r="B871" s="1"/>
      <c r="C871" s="1" t="s">
        <v>3960</v>
      </c>
      <c r="D871" s="5">
        <f>COUNTIFS('Raw Entries'!B:B,ClasswiseUniqueStudents7[[#This Row],[Unique Student Name]],'Raw Entries'!C:C,ClasswiseUniqueStudents7[[#This Row],[Class]])</f>
        <v>0</v>
      </c>
      <c r="E871" s="15">
        <f>ClasswiseUniqueStudents7[[#This Row],[Total Count]]*500</f>
        <v>0</v>
      </c>
      <c r="F871" s="15"/>
    </row>
    <row r="872" spans="1:6">
      <c r="A872" s="5">
        <v>871</v>
      </c>
      <c r="B872" s="1"/>
      <c r="C872" s="1" t="s">
        <v>3960</v>
      </c>
      <c r="D872" s="5">
        <f>COUNTIFS('Raw Entries'!B:B,ClasswiseUniqueStudents7[[#This Row],[Unique Student Name]],'Raw Entries'!C:C,ClasswiseUniqueStudents7[[#This Row],[Class]])</f>
        <v>0</v>
      </c>
      <c r="E872" s="15">
        <f>ClasswiseUniqueStudents7[[#This Row],[Total Count]]*500</f>
        <v>0</v>
      </c>
      <c r="F872" s="15"/>
    </row>
    <row r="873" spans="1:6">
      <c r="A873" s="5">
        <v>872</v>
      </c>
      <c r="B873" s="1"/>
      <c r="C873" s="1" t="s">
        <v>3960</v>
      </c>
      <c r="D873" s="5">
        <f>COUNTIFS('Raw Entries'!B:B,ClasswiseUniqueStudents7[[#This Row],[Unique Student Name]],'Raw Entries'!C:C,ClasswiseUniqueStudents7[[#This Row],[Class]])</f>
        <v>0</v>
      </c>
      <c r="E873" s="15">
        <f>ClasswiseUniqueStudents7[[#This Row],[Total Count]]*500</f>
        <v>0</v>
      </c>
      <c r="F873" s="15"/>
    </row>
    <row r="874" spans="1:6">
      <c r="A874" s="5">
        <v>873</v>
      </c>
      <c r="B874" s="1"/>
      <c r="C874" s="1" t="s">
        <v>3960</v>
      </c>
      <c r="D874" s="5">
        <f>COUNTIFS('Raw Entries'!B:B,ClasswiseUniqueStudents7[[#This Row],[Unique Student Name]],'Raw Entries'!C:C,ClasswiseUniqueStudents7[[#This Row],[Class]])</f>
        <v>0</v>
      </c>
      <c r="E874" s="15">
        <f>ClasswiseUniqueStudents7[[#This Row],[Total Count]]*500</f>
        <v>0</v>
      </c>
      <c r="F874" s="15"/>
    </row>
    <row r="875" spans="1:6">
      <c r="A875" s="5">
        <v>874</v>
      </c>
      <c r="B875" s="1"/>
      <c r="C875" s="1" t="s">
        <v>3960</v>
      </c>
      <c r="D875" s="5">
        <f>COUNTIFS('Raw Entries'!B:B,ClasswiseUniqueStudents7[[#This Row],[Unique Student Name]],'Raw Entries'!C:C,ClasswiseUniqueStudents7[[#This Row],[Class]])</f>
        <v>0</v>
      </c>
      <c r="E875" s="15">
        <f>ClasswiseUniqueStudents7[[#This Row],[Total Count]]*500</f>
        <v>0</v>
      </c>
      <c r="F875" s="15"/>
    </row>
    <row r="876" spans="1:6">
      <c r="A876" s="5">
        <v>875</v>
      </c>
      <c r="B876" s="1"/>
      <c r="C876" s="1" t="s">
        <v>3960</v>
      </c>
      <c r="D876" s="5">
        <f>COUNTIFS('Raw Entries'!B:B,ClasswiseUniqueStudents7[[#This Row],[Unique Student Name]],'Raw Entries'!C:C,ClasswiseUniqueStudents7[[#This Row],[Class]])</f>
        <v>0</v>
      </c>
      <c r="E876" s="15">
        <f>ClasswiseUniqueStudents7[[#This Row],[Total Count]]*500</f>
        <v>0</v>
      </c>
      <c r="F876" s="15"/>
    </row>
    <row r="877" spans="1:6">
      <c r="A877" s="5">
        <v>876</v>
      </c>
      <c r="B877" s="1"/>
      <c r="C877" s="1" t="s">
        <v>3960</v>
      </c>
      <c r="D877" s="5">
        <f>COUNTIFS('Raw Entries'!B:B,ClasswiseUniqueStudents7[[#This Row],[Unique Student Name]],'Raw Entries'!C:C,ClasswiseUniqueStudents7[[#This Row],[Class]])</f>
        <v>0</v>
      </c>
      <c r="E877" s="15">
        <f>ClasswiseUniqueStudents7[[#This Row],[Total Count]]*500</f>
        <v>0</v>
      </c>
      <c r="F877" s="15"/>
    </row>
    <row r="878" spans="1:6">
      <c r="A878" s="5">
        <v>877</v>
      </c>
      <c r="B878" s="1"/>
      <c r="C878" s="1" t="s">
        <v>3960</v>
      </c>
      <c r="D878" s="5">
        <f>COUNTIFS('Raw Entries'!B:B,ClasswiseUniqueStudents7[[#This Row],[Unique Student Name]],'Raw Entries'!C:C,ClasswiseUniqueStudents7[[#This Row],[Class]])</f>
        <v>0</v>
      </c>
      <c r="E878" s="15">
        <f>ClasswiseUniqueStudents7[[#This Row],[Total Count]]*500</f>
        <v>0</v>
      </c>
      <c r="F878" s="15"/>
    </row>
    <row r="879" spans="1:6">
      <c r="A879" s="5">
        <v>878</v>
      </c>
      <c r="B879" s="1"/>
      <c r="C879" s="1" t="s">
        <v>3960</v>
      </c>
      <c r="D879" s="5">
        <f>COUNTIFS('Raw Entries'!B:B,ClasswiseUniqueStudents7[[#This Row],[Unique Student Name]],'Raw Entries'!C:C,ClasswiseUniqueStudents7[[#This Row],[Class]])</f>
        <v>0</v>
      </c>
      <c r="E879" s="15">
        <f>ClasswiseUniqueStudents7[[#This Row],[Total Count]]*500</f>
        <v>0</v>
      </c>
      <c r="F879" s="15"/>
    </row>
    <row r="880" spans="1:6">
      <c r="A880" s="5">
        <v>879</v>
      </c>
      <c r="B880" s="1"/>
      <c r="C880" s="1" t="s">
        <v>3960</v>
      </c>
      <c r="D880" s="5">
        <f>COUNTIFS('Raw Entries'!B:B,ClasswiseUniqueStudents7[[#This Row],[Unique Student Name]],'Raw Entries'!C:C,ClasswiseUniqueStudents7[[#This Row],[Class]])</f>
        <v>0</v>
      </c>
      <c r="E880" s="15">
        <f>ClasswiseUniqueStudents7[[#This Row],[Total Count]]*500</f>
        <v>0</v>
      </c>
      <c r="F880" s="15"/>
    </row>
    <row r="881" spans="1:6">
      <c r="A881" s="5">
        <v>880</v>
      </c>
      <c r="B881" s="1"/>
      <c r="C881" s="1" t="s">
        <v>3960</v>
      </c>
      <c r="D881" s="5">
        <f>COUNTIFS('Raw Entries'!B:B,ClasswiseUniqueStudents7[[#This Row],[Unique Student Name]],'Raw Entries'!C:C,ClasswiseUniqueStudents7[[#This Row],[Class]])</f>
        <v>0</v>
      </c>
      <c r="E881" s="15">
        <f>ClasswiseUniqueStudents7[[#This Row],[Total Count]]*500</f>
        <v>0</v>
      </c>
      <c r="F881" s="15"/>
    </row>
    <row r="882" spans="1:6">
      <c r="A882" s="5">
        <v>881</v>
      </c>
      <c r="B882" s="1"/>
      <c r="C882" s="1" t="s">
        <v>3960</v>
      </c>
      <c r="D882" s="5">
        <f>COUNTIFS('Raw Entries'!B:B,ClasswiseUniqueStudents7[[#This Row],[Unique Student Name]],'Raw Entries'!C:C,ClasswiseUniqueStudents7[[#This Row],[Class]])</f>
        <v>0</v>
      </c>
      <c r="E882" s="15">
        <f>ClasswiseUniqueStudents7[[#This Row],[Total Count]]*500</f>
        <v>0</v>
      </c>
      <c r="F882" s="15"/>
    </row>
    <row r="883" spans="1:6">
      <c r="A883" s="5">
        <v>882</v>
      </c>
      <c r="B883" s="1"/>
      <c r="C883" s="1" t="s">
        <v>3960</v>
      </c>
      <c r="D883" s="5">
        <f>COUNTIFS('Raw Entries'!B:B,ClasswiseUniqueStudents7[[#This Row],[Unique Student Name]],'Raw Entries'!C:C,ClasswiseUniqueStudents7[[#This Row],[Class]])</f>
        <v>0</v>
      </c>
      <c r="E883" s="15">
        <f>ClasswiseUniqueStudents7[[#This Row],[Total Count]]*500</f>
        <v>0</v>
      </c>
      <c r="F883" s="15"/>
    </row>
    <row r="884" spans="1:6">
      <c r="A884" s="5">
        <v>883</v>
      </c>
      <c r="B884" s="1"/>
      <c r="C884" s="1" t="s">
        <v>3960</v>
      </c>
      <c r="D884" s="5">
        <f>COUNTIFS('Raw Entries'!B:B,ClasswiseUniqueStudents7[[#This Row],[Unique Student Name]],'Raw Entries'!C:C,ClasswiseUniqueStudents7[[#This Row],[Class]])</f>
        <v>0</v>
      </c>
      <c r="E884" s="15">
        <f>ClasswiseUniqueStudents7[[#This Row],[Total Count]]*500</f>
        <v>0</v>
      </c>
      <c r="F884" s="15"/>
    </row>
    <row r="885" spans="1:6">
      <c r="A885" s="5">
        <v>884</v>
      </c>
      <c r="B885" s="1"/>
      <c r="C885" s="1" t="s">
        <v>3960</v>
      </c>
      <c r="D885" s="5">
        <f>COUNTIFS('Raw Entries'!B:B,ClasswiseUniqueStudents7[[#This Row],[Unique Student Name]],'Raw Entries'!C:C,ClasswiseUniqueStudents7[[#This Row],[Class]])</f>
        <v>0</v>
      </c>
      <c r="E885" s="15">
        <f>ClasswiseUniqueStudents7[[#This Row],[Total Count]]*500</f>
        <v>0</v>
      </c>
      <c r="F885" s="15"/>
    </row>
    <row r="886" spans="1:6">
      <c r="A886" s="5">
        <v>885</v>
      </c>
      <c r="B886" s="1"/>
      <c r="C886" s="1" t="s">
        <v>3960</v>
      </c>
      <c r="D886" s="5">
        <f>COUNTIFS('Raw Entries'!B:B,ClasswiseUniqueStudents7[[#This Row],[Unique Student Name]],'Raw Entries'!C:C,ClasswiseUniqueStudents7[[#This Row],[Class]])</f>
        <v>0</v>
      </c>
      <c r="E886" s="15">
        <f>ClasswiseUniqueStudents7[[#This Row],[Total Count]]*500</f>
        <v>0</v>
      </c>
      <c r="F886" s="15"/>
    </row>
    <row r="887" spans="1:6">
      <c r="A887" s="5">
        <v>886</v>
      </c>
      <c r="B887" s="1"/>
      <c r="C887" s="1" t="s">
        <v>3960</v>
      </c>
      <c r="D887" s="5">
        <f>COUNTIFS('Raw Entries'!B:B,ClasswiseUniqueStudents7[[#This Row],[Unique Student Name]],'Raw Entries'!C:C,ClasswiseUniqueStudents7[[#This Row],[Class]])</f>
        <v>0</v>
      </c>
      <c r="E887" s="15">
        <f>ClasswiseUniqueStudents7[[#This Row],[Total Count]]*500</f>
        <v>0</v>
      </c>
      <c r="F887" s="15"/>
    </row>
    <row r="888" spans="1:6">
      <c r="A888" s="5">
        <v>887</v>
      </c>
      <c r="B888" s="1"/>
      <c r="C888" s="1" t="s">
        <v>3960</v>
      </c>
      <c r="D888" s="5">
        <f>COUNTIFS('Raw Entries'!B:B,ClasswiseUniqueStudents7[[#This Row],[Unique Student Name]],'Raw Entries'!C:C,ClasswiseUniqueStudents7[[#This Row],[Class]])</f>
        <v>0</v>
      </c>
      <c r="E888" s="15">
        <f>ClasswiseUniqueStudents7[[#This Row],[Total Count]]*500</f>
        <v>0</v>
      </c>
      <c r="F888" s="15"/>
    </row>
    <row r="889" spans="1:6">
      <c r="A889" s="5">
        <v>888</v>
      </c>
      <c r="B889" s="1"/>
      <c r="C889" s="1" t="s">
        <v>3960</v>
      </c>
      <c r="D889" s="5">
        <f>COUNTIFS('Raw Entries'!B:B,ClasswiseUniqueStudents7[[#This Row],[Unique Student Name]],'Raw Entries'!C:C,ClasswiseUniqueStudents7[[#This Row],[Class]])</f>
        <v>0</v>
      </c>
      <c r="E889" s="15">
        <f>ClasswiseUniqueStudents7[[#This Row],[Total Count]]*500</f>
        <v>0</v>
      </c>
      <c r="F889" s="15"/>
    </row>
    <row r="890" spans="1:6">
      <c r="A890" s="5">
        <v>889</v>
      </c>
      <c r="B890" s="1"/>
      <c r="C890" s="1" t="s">
        <v>3960</v>
      </c>
      <c r="D890" s="5">
        <f>COUNTIFS('Raw Entries'!B:B,ClasswiseUniqueStudents7[[#This Row],[Unique Student Name]],'Raw Entries'!C:C,ClasswiseUniqueStudents7[[#This Row],[Class]])</f>
        <v>0</v>
      </c>
      <c r="E890" s="15">
        <f>ClasswiseUniqueStudents7[[#This Row],[Total Count]]*500</f>
        <v>0</v>
      </c>
      <c r="F890" s="15"/>
    </row>
    <row r="891" spans="1:6">
      <c r="A891" s="5">
        <v>890</v>
      </c>
      <c r="B891" s="1"/>
      <c r="C891" s="1" t="s">
        <v>3960</v>
      </c>
      <c r="D891" s="5">
        <f>COUNTIFS('Raw Entries'!B:B,ClasswiseUniqueStudents7[[#This Row],[Unique Student Name]],'Raw Entries'!C:C,ClasswiseUniqueStudents7[[#This Row],[Class]])</f>
        <v>0</v>
      </c>
      <c r="E891" s="15">
        <f>ClasswiseUniqueStudents7[[#This Row],[Total Count]]*500</f>
        <v>0</v>
      </c>
      <c r="F891" s="15"/>
    </row>
    <row r="892" spans="1:6">
      <c r="A892" s="5">
        <v>891</v>
      </c>
      <c r="B892" s="1"/>
      <c r="C892" s="1" t="s">
        <v>3960</v>
      </c>
      <c r="D892" s="5">
        <f>COUNTIFS('Raw Entries'!B:B,ClasswiseUniqueStudents7[[#This Row],[Unique Student Name]],'Raw Entries'!C:C,ClasswiseUniqueStudents7[[#This Row],[Class]])</f>
        <v>0</v>
      </c>
      <c r="E892" s="15">
        <f>ClasswiseUniqueStudents7[[#This Row],[Total Count]]*500</f>
        <v>0</v>
      </c>
      <c r="F892" s="15"/>
    </row>
    <row r="893" spans="1:6">
      <c r="A893" s="5">
        <v>892</v>
      </c>
      <c r="B893" s="1"/>
      <c r="C893" s="1" t="s">
        <v>3960</v>
      </c>
      <c r="D893" s="5">
        <f>COUNTIFS('Raw Entries'!B:B,ClasswiseUniqueStudents7[[#This Row],[Unique Student Name]],'Raw Entries'!C:C,ClasswiseUniqueStudents7[[#This Row],[Class]])</f>
        <v>0</v>
      </c>
      <c r="E893" s="15">
        <f>ClasswiseUniqueStudents7[[#This Row],[Total Count]]*500</f>
        <v>0</v>
      </c>
      <c r="F893" s="15"/>
    </row>
    <row r="894" spans="1:6">
      <c r="A894" s="5">
        <v>893</v>
      </c>
      <c r="B894" s="1"/>
      <c r="C894" s="1" t="s">
        <v>3960</v>
      </c>
      <c r="D894" s="5">
        <f>COUNTIFS('Raw Entries'!B:B,ClasswiseUniqueStudents7[[#This Row],[Unique Student Name]],'Raw Entries'!C:C,ClasswiseUniqueStudents7[[#This Row],[Class]])</f>
        <v>0</v>
      </c>
      <c r="E894" s="15">
        <f>ClasswiseUniqueStudents7[[#This Row],[Total Count]]*500</f>
        <v>0</v>
      </c>
      <c r="F894" s="15"/>
    </row>
    <row r="895" spans="1:6">
      <c r="A895" s="15"/>
      <c r="B895" s="2"/>
    </row>
  </sheetData>
  <mergeCells count="5">
    <mergeCell ref="G3:I5"/>
    <mergeCell ref="J3:J5"/>
    <mergeCell ref="G6:G7"/>
    <mergeCell ref="H6:H7"/>
    <mergeCell ref="I6:I7"/>
  </mergeCells>
  <conditionalFormatting sqref="D2:D894">
    <cfRule type="colorScale" priority="6">
      <colorScale>
        <cfvo type="min"/>
        <cfvo type="percentile" val="50"/>
        <cfvo type="max"/>
        <color rgb="FFFCE4D6"/>
        <color rgb="FFFFF2CC"/>
        <color rgb="FFE2F0D9"/>
      </colorScale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E84"/>
  <sheetViews>
    <sheetView workbookViewId="0">
      <pane ySplit="2" topLeftCell="A71" activePane="bottomLeft" state="frozen"/>
      <selection pane="bottomLeft" activeCell="D54" sqref="D54"/>
    </sheetView>
  </sheetViews>
  <sheetFormatPr defaultRowHeight="14.25"/>
  <cols>
    <col min="1" max="1" width="12" customWidth="1"/>
    <col min="2" max="3" width="18" customWidth="1"/>
    <col min="4" max="4" width="16" customWidth="1"/>
  </cols>
  <sheetData>
    <row r="1" spans="1:5" ht="18">
      <c r="A1" s="62" t="s">
        <v>685</v>
      </c>
      <c r="B1" s="63"/>
      <c r="C1" s="63"/>
      <c r="D1" s="63"/>
    </row>
    <row r="2" spans="1:5" ht="15">
      <c r="A2" s="7" t="s">
        <v>1</v>
      </c>
      <c r="B2" s="8" t="s">
        <v>686</v>
      </c>
      <c r="C2" s="8" t="s">
        <v>687</v>
      </c>
      <c r="D2" s="9" t="s">
        <v>688</v>
      </c>
    </row>
    <row r="3" spans="1:5">
      <c r="A3" s="6" t="s">
        <v>4</v>
      </c>
      <c r="B3" s="2">
        <f>COUNTIF('Classwise Summary'!B:B,A3)</f>
        <v>20</v>
      </c>
      <c r="C3" s="2">
        <f>COUNTIF('Raw Entries'!C:C,ClassTotals[[#This Row],[Class]])</f>
        <v>38</v>
      </c>
      <c r="D3" s="4">
        <f>ClassTotals[[#This Row],[Total Paid Entries]]*500</f>
        <v>19000</v>
      </c>
    </row>
    <row r="4" spans="1:5">
      <c r="A4" s="6" t="s">
        <v>20</v>
      </c>
      <c r="B4" s="2">
        <f>COUNTIF('Classwise Summary'!B:B,A4)</f>
        <v>14</v>
      </c>
      <c r="C4" s="2">
        <f>COUNTIF('Raw Entries'!C:C,ClassTotals[[#This Row],[Class]])</f>
        <v>34</v>
      </c>
      <c r="D4" s="4">
        <f>ClassTotals[[#This Row],[Total Paid Entries]]*500</f>
        <v>17000</v>
      </c>
    </row>
    <row r="5" spans="1:5">
      <c r="A5" s="6" t="s">
        <v>32</v>
      </c>
      <c r="B5" s="2">
        <f>COUNTIF('Classwise Summary'!B:B,A5)</f>
        <v>22</v>
      </c>
      <c r="C5" s="2">
        <f>COUNTIF('Raw Entries'!C:C,ClassTotals[[#This Row],[Class]])</f>
        <v>52</v>
      </c>
      <c r="D5" s="4">
        <f>ClassTotals[[#This Row],[Total Paid Entries]]*500</f>
        <v>26000</v>
      </c>
    </row>
    <row r="6" spans="1:5">
      <c r="A6" s="6" t="s">
        <v>51</v>
      </c>
      <c r="B6" s="2">
        <f>COUNTIF('Classwise Summary'!B:B,A6)</f>
        <v>12</v>
      </c>
      <c r="C6" s="2">
        <f>COUNTIF('Raw Entries'!C:C,ClassTotals[[#This Row],[Class]])</f>
        <v>22</v>
      </c>
      <c r="D6" s="4">
        <f>ClassTotals[[#This Row],[Total Paid Entries]]*500</f>
        <v>11000</v>
      </c>
    </row>
    <row r="7" spans="1:5">
      <c r="A7" s="6" t="s">
        <v>58</v>
      </c>
      <c r="B7" s="2">
        <f>COUNTIF('Classwise Summary'!B:B,A7)</f>
        <v>4</v>
      </c>
      <c r="C7" s="2">
        <f>COUNTIF('Raw Entries'!C:C,ClassTotals[[#This Row],[Class]])</f>
        <v>15</v>
      </c>
      <c r="D7" s="4">
        <f>ClassTotals[[#This Row],[Total Paid Entries]]*500</f>
        <v>7500</v>
      </c>
    </row>
    <row r="8" spans="1:5">
      <c r="A8" s="6" t="s">
        <v>62</v>
      </c>
      <c r="B8" s="2">
        <f>COUNTIF('Classwise Summary'!B:B,A8)</f>
        <v>12</v>
      </c>
      <c r="C8" s="2">
        <f>COUNTIF('Raw Entries'!C:C,ClassTotals[[#This Row],[Class]])</f>
        <v>33</v>
      </c>
      <c r="D8" s="4">
        <f>ClassTotals[[#This Row],[Total Paid Entries]]*500</f>
        <v>16500</v>
      </c>
    </row>
    <row r="9" spans="1:5">
      <c r="A9" s="6" t="s">
        <v>68</v>
      </c>
      <c r="B9" s="2">
        <f>COUNTIF('Classwise Summary'!B:B,A9)</f>
        <v>14</v>
      </c>
      <c r="C9" s="2">
        <f>COUNTIF('Raw Entries'!C:C,ClassTotals[[#This Row],[Class]])</f>
        <v>34</v>
      </c>
      <c r="D9" s="4">
        <f>ClassTotals[[#This Row],[Total Paid Entries]]*500</f>
        <v>17000</v>
      </c>
      <c r="E9" s="1"/>
    </row>
    <row r="10" spans="1:5">
      <c r="A10" s="6" t="s">
        <v>80</v>
      </c>
      <c r="B10" s="2">
        <f>COUNTIF('Classwise Summary'!B:B,A10)</f>
        <v>8</v>
      </c>
      <c r="C10" s="2">
        <f>COUNTIF('Raw Entries'!C:C,ClassTotals[[#This Row],[Class]])</f>
        <v>16</v>
      </c>
      <c r="D10" s="4">
        <f>ClassTotals[[#This Row],[Total Paid Entries]]*500</f>
        <v>8000</v>
      </c>
      <c r="E10" s="1"/>
    </row>
    <row r="11" spans="1:5">
      <c r="A11" s="6" t="s">
        <v>87</v>
      </c>
      <c r="B11" s="2">
        <f>COUNTIF('Classwise Summary'!B:B,A11)</f>
        <v>14</v>
      </c>
      <c r="C11" s="2">
        <f>COUNTIF('Raw Entries'!C:C,ClassTotals[[#This Row],[Class]])</f>
        <v>32</v>
      </c>
      <c r="D11" s="4">
        <f>ClassTotals[[#This Row],[Total Paid Entries]]*500</f>
        <v>16000</v>
      </c>
      <c r="E11" s="1"/>
    </row>
    <row r="12" spans="1:5">
      <c r="A12" s="6" t="s">
        <v>102</v>
      </c>
      <c r="B12" s="2">
        <f>COUNTIF('Classwise Summary'!B:B,A12)</f>
        <v>12</v>
      </c>
      <c r="C12" s="2">
        <f>COUNTIF('Raw Entries'!C:C,ClassTotals[[#This Row],[Class]])</f>
        <v>19</v>
      </c>
      <c r="D12" s="4">
        <f>ClassTotals[[#This Row],[Total Paid Entries]]*500</f>
        <v>9500</v>
      </c>
      <c r="E12" s="1"/>
    </row>
    <row r="13" spans="1:5">
      <c r="A13" s="6" t="s">
        <v>113</v>
      </c>
      <c r="B13" s="2">
        <f>COUNTIF('Classwise Summary'!B:B,A13)</f>
        <v>11</v>
      </c>
      <c r="C13" s="2">
        <f>COUNTIF('Raw Entries'!C:C,ClassTotals[[#This Row],[Class]])</f>
        <v>21</v>
      </c>
      <c r="D13" s="4">
        <f>ClassTotals[[#This Row],[Total Paid Entries]]*500</f>
        <v>10500</v>
      </c>
      <c r="E13" s="1"/>
    </row>
    <row r="14" spans="1:5">
      <c r="A14" s="6" t="s">
        <v>119</v>
      </c>
      <c r="B14" s="2">
        <f>COUNTIF('Classwise Summary'!B:B,A14)</f>
        <v>10</v>
      </c>
      <c r="C14" s="2">
        <f>COUNTIF('Raw Entries'!C:C,ClassTotals[[#This Row],[Class]])</f>
        <v>27</v>
      </c>
      <c r="D14" s="4">
        <f>ClassTotals[[#This Row],[Total Paid Entries]]*500</f>
        <v>13500</v>
      </c>
      <c r="E14" s="1"/>
    </row>
    <row r="15" spans="1:5">
      <c r="A15" s="6" t="s">
        <v>128</v>
      </c>
      <c r="B15" s="2">
        <f>COUNTIF('Classwise Summary'!B:B,A15)</f>
        <v>13</v>
      </c>
      <c r="C15" s="2">
        <f>COUNTIF('Raw Entries'!C:C,ClassTotals[[#This Row],[Class]])</f>
        <v>27</v>
      </c>
      <c r="D15" s="4">
        <f>ClassTotals[[#This Row],[Total Paid Entries]]*500</f>
        <v>13500</v>
      </c>
      <c r="E15" s="1"/>
    </row>
    <row r="16" spans="1:5">
      <c r="A16" s="6" t="s">
        <v>138</v>
      </c>
      <c r="B16" s="2">
        <f>COUNTIF('Classwise Summary'!B:B,A16)</f>
        <v>12</v>
      </c>
      <c r="C16" s="2">
        <f>COUNTIF('Raw Entries'!C:C,ClassTotals[[#This Row],[Class]])</f>
        <v>29</v>
      </c>
      <c r="D16" s="4">
        <f>ClassTotals[[#This Row],[Total Paid Entries]]*500</f>
        <v>14500</v>
      </c>
      <c r="E16" s="1"/>
    </row>
    <row r="17" spans="1:5">
      <c r="A17" s="6" t="s">
        <v>149</v>
      </c>
      <c r="B17" s="2">
        <f>COUNTIF('Classwise Summary'!B:B,A17)</f>
        <v>10</v>
      </c>
      <c r="C17" s="2">
        <f>COUNTIF('Raw Entries'!C:C,ClassTotals[[#This Row],[Class]])</f>
        <v>19</v>
      </c>
      <c r="D17" s="4">
        <f>ClassTotals[[#This Row],[Total Paid Entries]]*500</f>
        <v>9500</v>
      </c>
      <c r="E17" s="1"/>
    </row>
    <row r="18" spans="1:5">
      <c r="A18" s="6" t="s">
        <v>159</v>
      </c>
      <c r="B18" s="2">
        <f>COUNTIF('Classwise Summary'!B:B,A18)</f>
        <v>13</v>
      </c>
      <c r="C18" s="2">
        <f>COUNTIF('Raw Entries'!C:C,ClassTotals[[#This Row],[Class]])</f>
        <v>34</v>
      </c>
      <c r="D18" s="4">
        <f>ClassTotals[[#This Row],[Total Paid Entries]]*500</f>
        <v>17000</v>
      </c>
      <c r="E18" s="1"/>
    </row>
    <row r="19" spans="1:5">
      <c r="A19" s="6" t="s">
        <v>171</v>
      </c>
      <c r="B19" s="2">
        <f>COUNTIF('Classwise Summary'!B:B,A19)</f>
        <v>5</v>
      </c>
      <c r="C19" s="2">
        <f>COUNTIF('Raw Entries'!C:C,ClassTotals[[#This Row],[Class]])</f>
        <v>12</v>
      </c>
      <c r="D19" s="4">
        <f>ClassTotals[[#This Row],[Total Paid Entries]]*500</f>
        <v>6000</v>
      </c>
      <c r="E19" s="1"/>
    </row>
    <row r="20" spans="1:5">
      <c r="A20" s="6" t="s">
        <v>175</v>
      </c>
      <c r="B20" s="2">
        <f>COUNTIF('Classwise Summary'!B:B,A20)</f>
        <v>12</v>
      </c>
      <c r="C20" s="2">
        <f>COUNTIF('Raw Entries'!C:C,ClassTotals[[#This Row],[Class]])</f>
        <v>22</v>
      </c>
      <c r="D20" s="4">
        <f>ClassTotals[[#This Row],[Total Paid Entries]]*500</f>
        <v>11000</v>
      </c>
      <c r="E20" s="1"/>
    </row>
    <row r="21" spans="1:5">
      <c r="A21" s="6" t="s">
        <v>185</v>
      </c>
      <c r="B21" s="2">
        <f>COUNTIF('Classwise Summary'!B:B,A21)</f>
        <v>11</v>
      </c>
      <c r="C21" s="2">
        <f>COUNTIF('Raw Entries'!C:C,ClassTotals[[#This Row],[Class]])</f>
        <v>20</v>
      </c>
      <c r="D21" s="4">
        <f>ClassTotals[[#This Row],[Total Paid Entries]]*500</f>
        <v>10000</v>
      </c>
      <c r="E21" s="1"/>
    </row>
    <row r="22" spans="1:5">
      <c r="A22" s="6" t="s">
        <v>195</v>
      </c>
      <c r="B22" s="2">
        <f>COUNTIF('Classwise Summary'!B:B,A22)</f>
        <v>10</v>
      </c>
      <c r="C22" s="2">
        <f>COUNTIF('Raw Entries'!C:C,ClassTotals[[#This Row],[Class]])</f>
        <v>18</v>
      </c>
      <c r="D22" s="4">
        <f>ClassTotals[[#This Row],[Total Paid Entries]]*500</f>
        <v>9000</v>
      </c>
      <c r="E22" s="1"/>
    </row>
    <row r="23" spans="1:5">
      <c r="A23" s="6" t="s">
        <v>205</v>
      </c>
      <c r="B23" s="2">
        <f>COUNTIF('Classwise Summary'!B:B,A23)</f>
        <v>6</v>
      </c>
      <c r="C23" s="2">
        <f>COUNTIF('Raw Entries'!C:C,ClassTotals[[#This Row],[Class]])</f>
        <v>17</v>
      </c>
      <c r="D23" s="4">
        <f>ClassTotals[[#This Row],[Total Paid Entries]]*500</f>
        <v>8500</v>
      </c>
      <c r="E23" s="1"/>
    </row>
    <row r="24" spans="1:5">
      <c r="A24" s="6" t="s">
        <v>211</v>
      </c>
      <c r="B24" s="2">
        <f>COUNTIF('Classwise Summary'!B:B,A24)</f>
        <v>11</v>
      </c>
      <c r="C24" s="2">
        <f>COUNTIF('Raw Entries'!C:C,ClassTotals[[#This Row],[Class]])</f>
        <v>21</v>
      </c>
      <c r="D24" s="4">
        <f>ClassTotals[[#This Row],[Total Paid Entries]]*500</f>
        <v>10500</v>
      </c>
      <c r="E24" s="1"/>
    </row>
    <row r="25" spans="1:5">
      <c r="A25" s="6" t="s">
        <v>221</v>
      </c>
      <c r="B25" s="2">
        <f>COUNTIF('Classwise Summary'!B:B,A25)</f>
        <v>6</v>
      </c>
      <c r="C25" s="2">
        <f>COUNTIF('Raw Entries'!C:C,ClassTotals[[#This Row],[Class]])</f>
        <v>13</v>
      </c>
      <c r="D25" s="4">
        <f>ClassTotals[[#This Row],[Total Paid Entries]]*500</f>
        <v>6500</v>
      </c>
      <c r="E25" s="1"/>
    </row>
    <row r="26" spans="1:5">
      <c r="A26" s="6" t="s">
        <v>227</v>
      </c>
      <c r="B26" s="2">
        <f>COUNTIF('Classwise Summary'!B:B,A26)</f>
        <v>7</v>
      </c>
      <c r="C26" s="2">
        <f>COUNTIF('Raw Entries'!C:C,ClassTotals[[#This Row],[Class]])</f>
        <v>12</v>
      </c>
      <c r="D26" s="4">
        <f>ClassTotals[[#This Row],[Total Paid Entries]]*500</f>
        <v>6000</v>
      </c>
      <c r="E26" s="1"/>
    </row>
    <row r="27" spans="1:5">
      <c r="A27" s="6" t="s">
        <v>232</v>
      </c>
      <c r="B27" s="2">
        <f>COUNTIF('Classwise Summary'!B:B,A27)</f>
        <v>26</v>
      </c>
      <c r="C27" s="2">
        <f>COUNTIF('Raw Entries'!C:C,ClassTotals[[#This Row],[Class]])</f>
        <v>42</v>
      </c>
      <c r="D27" s="4">
        <f>ClassTotals[[#This Row],[Total Paid Entries]]*500</f>
        <v>21000</v>
      </c>
      <c r="E27" s="1"/>
    </row>
    <row r="28" spans="1:5">
      <c r="A28" s="18" t="s">
        <v>252</v>
      </c>
      <c r="B28" s="2">
        <f>COUNTIF('Classwise Summary'!B:B,A28)</f>
        <v>19</v>
      </c>
      <c r="C28" s="2">
        <f>COUNTIF('Raw Entries'!C:C,ClassTotals[[#This Row],[Class]])</f>
        <v>33</v>
      </c>
      <c r="D28" s="4">
        <f>ClassTotals[[#This Row],[Total Paid Entries]]*500</f>
        <v>16500</v>
      </c>
      <c r="E28" s="1"/>
    </row>
    <row r="29" spans="1:5">
      <c r="A29" s="6" t="s">
        <v>265</v>
      </c>
      <c r="B29" s="2">
        <f>COUNTIF('Classwise Summary'!B:B,A29)</f>
        <v>11</v>
      </c>
      <c r="C29" s="2">
        <f>COUNTIF('Raw Entries'!C:C,ClassTotals[[#This Row],[Class]])</f>
        <v>22</v>
      </c>
      <c r="D29" s="4">
        <f>ClassTotals[[#This Row],[Total Paid Entries]]*500</f>
        <v>11000</v>
      </c>
      <c r="E29" s="1"/>
    </row>
    <row r="30" spans="1:5">
      <c r="A30" s="6" t="s">
        <v>273</v>
      </c>
      <c r="B30" s="2">
        <f>COUNTIF('Classwise Summary'!B:B,A30)</f>
        <v>12</v>
      </c>
      <c r="C30" s="2">
        <f>COUNTIF('Raw Entries'!C:C,ClassTotals[[#This Row],[Class]])</f>
        <v>23</v>
      </c>
      <c r="D30" s="4">
        <f>ClassTotals[[#This Row],[Total Paid Entries]]*500</f>
        <v>11500</v>
      </c>
      <c r="E30" s="1"/>
    </row>
    <row r="31" spans="1:5">
      <c r="A31" s="6" t="s">
        <v>286</v>
      </c>
      <c r="B31" s="2">
        <f>COUNTIF('Classwise Summary'!B:B,A31)</f>
        <v>9</v>
      </c>
      <c r="C31" s="2">
        <f>COUNTIF('Raw Entries'!C:C,ClassTotals[[#This Row],[Class]])</f>
        <v>24</v>
      </c>
      <c r="D31" s="4">
        <f>ClassTotals[[#This Row],[Total Paid Entries]]*500</f>
        <v>12000</v>
      </c>
      <c r="E31" s="1"/>
    </row>
    <row r="32" spans="1:5">
      <c r="A32" s="6" t="s">
        <v>294</v>
      </c>
      <c r="B32" s="2">
        <f>COUNTIF('Classwise Summary'!B:B,A32)</f>
        <v>12</v>
      </c>
      <c r="C32" s="2">
        <f>COUNTIF('Raw Entries'!C:C,ClassTotals[[#This Row],[Class]])</f>
        <v>27</v>
      </c>
      <c r="D32" s="4">
        <f>ClassTotals[[#This Row],[Total Paid Entries]]*500</f>
        <v>13500</v>
      </c>
      <c r="E32" s="1"/>
    </row>
    <row r="33" spans="1:5">
      <c r="A33" s="6" t="s">
        <v>299</v>
      </c>
      <c r="B33" s="2">
        <f>COUNTIF('Classwise Summary'!B:B,A33)</f>
        <v>7</v>
      </c>
      <c r="C33" s="2">
        <f>COUNTIF('Raw Entries'!C:C,ClassTotals[[#This Row],[Class]])</f>
        <v>16</v>
      </c>
      <c r="D33" s="4">
        <f>ClassTotals[[#This Row],[Total Paid Entries]]*500</f>
        <v>8000</v>
      </c>
      <c r="E33" s="1"/>
    </row>
    <row r="34" spans="1:5">
      <c r="A34" s="6" t="s">
        <v>303</v>
      </c>
      <c r="B34" s="2">
        <f>COUNTIF('Classwise Summary'!B:B,A34)</f>
        <v>2</v>
      </c>
      <c r="C34" s="2">
        <f>COUNTIF('Raw Entries'!C:C,ClassTotals[[#This Row],[Class]])</f>
        <v>4</v>
      </c>
      <c r="D34" s="4">
        <f>ClassTotals[[#This Row],[Total Paid Entries]]*500</f>
        <v>2000</v>
      </c>
      <c r="E34" s="1"/>
    </row>
    <row r="35" spans="1:5">
      <c r="A35" s="6" t="s">
        <v>304</v>
      </c>
      <c r="B35" s="2">
        <f>COUNTIF('Classwise Summary'!B:B,A35)</f>
        <v>21</v>
      </c>
      <c r="C35" s="2">
        <f>COUNTIF('Raw Entries'!C:C,ClassTotals[[#This Row],[Class]])</f>
        <v>37</v>
      </c>
      <c r="D35" s="4">
        <f>ClassTotals[[#This Row],[Total Paid Entries]]*500</f>
        <v>18500</v>
      </c>
      <c r="E35" s="1"/>
    </row>
    <row r="36" spans="1:5">
      <c r="A36" s="6" t="s">
        <v>320</v>
      </c>
      <c r="B36" s="2">
        <f>COUNTIF('Classwise Summary'!B:B,A36)</f>
        <v>7</v>
      </c>
      <c r="C36" s="2">
        <f>COUNTIF('Raw Entries'!C:C,ClassTotals[[#This Row],[Class]])</f>
        <v>14</v>
      </c>
      <c r="D36" s="4">
        <f>ClassTotals[[#This Row],[Total Paid Entries]]*500</f>
        <v>7000</v>
      </c>
      <c r="E36" s="1"/>
    </row>
    <row r="37" spans="1:5">
      <c r="A37" s="6" t="s">
        <v>324</v>
      </c>
      <c r="B37" s="2">
        <f>COUNTIF('Classwise Summary'!B:B,A37)</f>
        <v>13</v>
      </c>
      <c r="C37" s="2">
        <f>COUNTIF('Raw Entries'!C:C,ClassTotals[[#This Row],[Class]])</f>
        <v>29</v>
      </c>
      <c r="D37" s="4">
        <f>ClassTotals[[#This Row],[Total Paid Entries]]*500</f>
        <v>14500</v>
      </c>
      <c r="E37" s="1"/>
    </row>
    <row r="38" spans="1:5">
      <c r="A38" s="6" t="s">
        <v>334</v>
      </c>
      <c r="B38" s="2">
        <f>COUNTIF('Classwise Summary'!B:B,A38)</f>
        <v>8</v>
      </c>
      <c r="C38" s="2">
        <f>COUNTIF('Raw Entries'!C:C,ClassTotals[[#This Row],[Class]])</f>
        <v>13</v>
      </c>
      <c r="D38" s="4">
        <f>ClassTotals[[#This Row],[Total Paid Entries]]*500</f>
        <v>6500</v>
      </c>
      <c r="E38" s="1"/>
    </row>
    <row r="39" spans="1:5">
      <c r="A39" s="6" t="s">
        <v>340</v>
      </c>
      <c r="B39" s="2">
        <f>COUNTIF('Classwise Summary'!B:B,A39)</f>
        <v>13</v>
      </c>
      <c r="C39" s="2">
        <f>COUNTIF('Raw Entries'!C:C,ClassTotals[[#This Row],[Class]])</f>
        <v>25</v>
      </c>
      <c r="D39" s="4">
        <f>ClassTotals[[#This Row],[Total Paid Entries]]*500</f>
        <v>12500</v>
      </c>
      <c r="E39" s="1"/>
    </row>
    <row r="40" spans="1:5">
      <c r="A40" s="6" t="s">
        <v>351</v>
      </c>
      <c r="B40" s="2">
        <f>COUNTIF('Classwise Summary'!B:B,A40)</f>
        <v>5</v>
      </c>
      <c r="C40" s="2">
        <f>COUNTIF('Raw Entries'!C:C,ClassTotals[[#This Row],[Class]])</f>
        <v>9</v>
      </c>
      <c r="D40" s="4">
        <f>ClassTotals[[#This Row],[Total Paid Entries]]*500</f>
        <v>4500</v>
      </c>
      <c r="E40" s="1"/>
    </row>
    <row r="41" spans="1:5" s="15" customFormat="1">
      <c r="A41" s="6" t="s">
        <v>581</v>
      </c>
      <c r="B41" s="2">
        <f>COUNTIF('Classwise Summary'!B:B,A41)</f>
        <v>2</v>
      </c>
      <c r="C41" s="2">
        <f>COUNTIF('Raw Entries'!C:C,ClassTotals[[#This Row],[Class]])</f>
        <v>4</v>
      </c>
      <c r="D41" s="4">
        <f>ClassTotals[[#This Row],[Total Paid Entries]]*500</f>
        <v>2000</v>
      </c>
      <c r="E41" s="1"/>
    </row>
    <row r="42" spans="1:5">
      <c r="A42" s="6" t="s">
        <v>356</v>
      </c>
      <c r="B42" s="2">
        <f>COUNTIF('Classwise Summary'!B:B,A42)</f>
        <v>13</v>
      </c>
      <c r="C42" s="2">
        <f>COUNTIF('Raw Entries'!C:C,ClassTotals[[#This Row],[Class]])</f>
        <v>35</v>
      </c>
      <c r="D42" s="4">
        <f>ClassTotals[[#This Row],[Total Paid Entries]]*500</f>
        <v>17500</v>
      </c>
      <c r="E42" s="1"/>
    </row>
    <row r="43" spans="1:5">
      <c r="A43" s="6" t="s">
        <v>366</v>
      </c>
      <c r="B43" s="2">
        <f>COUNTIF('Classwise Summary'!B:B,A43)</f>
        <v>12</v>
      </c>
      <c r="C43" s="2">
        <f>COUNTIF('Raw Entries'!C:C,ClassTotals[[#This Row],[Class]])</f>
        <v>30</v>
      </c>
      <c r="D43" s="4">
        <f>ClassTotals[[#This Row],[Total Paid Entries]]*500</f>
        <v>15000</v>
      </c>
      <c r="E43" s="1"/>
    </row>
    <row r="44" spans="1:5">
      <c r="A44" s="6" t="s">
        <v>374</v>
      </c>
      <c r="B44" s="2">
        <f>COUNTIF('Classwise Summary'!B:B,A44)</f>
        <v>13</v>
      </c>
      <c r="C44" s="2">
        <f>COUNTIF('Raw Entries'!C:C,ClassTotals[[#This Row],[Class]])</f>
        <v>23</v>
      </c>
      <c r="D44" s="4">
        <f>ClassTotals[[#This Row],[Total Paid Entries]]*500</f>
        <v>11500</v>
      </c>
      <c r="E44" s="1"/>
    </row>
    <row r="45" spans="1:5">
      <c r="A45" s="6" t="s">
        <v>386</v>
      </c>
      <c r="B45" s="2">
        <f>COUNTIF('Classwise Summary'!B:B,A45)</f>
        <v>12</v>
      </c>
      <c r="C45" s="2">
        <f>COUNTIF('Raw Entries'!C:C,ClassTotals[[#This Row],[Class]])</f>
        <v>24</v>
      </c>
      <c r="D45" s="4">
        <f>ClassTotals[[#This Row],[Total Paid Entries]]*500</f>
        <v>12000</v>
      </c>
      <c r="E45" s="1"/>
    </row>
    <row r="46" spans="1:5">
      <c r="A46" s="6" t="s">
        <v>397</v>
      </c>
      <c r="B46" s="2">
        <f>COUNTIF('Classwise Summary'!B:B,A46)</f>
        <v>17</v>
      </c>
      <c r="C46" s="2">
        <f>COUNTIF('Raw Entries'!C:C,ClassTotals[[#This Row],[Class]])</f>
        <v>34</v>
      </c>
      <c r="D46" s="4">
        <f>ClassTotals[[#This Row],[Total Paid Entries]]*500</f>
        <v>17000</v>
      </c>
      <c r="E46" s="1"/>
    </row>
    <row r="47" spans="1:5">
      <c r="A47" s="6" t="s">
        <v>409</v>
      </c>
      <c r="B47" s="2">
        <f>COUNTIF('Classwise Summary'!B:B,A47)</f>
        <v>9</v>
      </c>
      <c r="C47" s="2">
        <f>COUNTIF('Raw Entries'!C:C,ClassTotals[[#This Row],[Class]])</f>
        <v>29</v>
      </c>
      <c r="D47" s="4">
        <f>ClassTotals[[#This Row],[Total Paid Entries]]*500</f>
        <v>14500</v>
      </c>
      <c r="E47" s="1"/>
    </row>
    <row r="48" spans="1:5">
      <c r="A48" s="6" t="s">
        <v>415</v>
      </c>
      <c r="B48" s="2">
        <f>COUNTIF('Classwise Summary'!B:B,A48)</f>
        <v>9</v>
      </c>
      <c r="C48" s="2">
        <f>COUNTIF('Raw Entries'!C:C,ClassTotals[[#This Row],[Class]])</f>
        <v>18</v>
      </c>
      <c r="D48" s="4">
        <f>ClassTotals[[#This Row],[Total Paid Entries]]*500</f>
        <v>9000</v>
      </c>
      <c r="E48" s="1"/>
    </row>
    <row r="49" spans="1:5">
      <c r="A49" s="6" t="s">
        <v>421</v>
      </c>
      <c r="B49" s="2">
        <f>COUNTIF('Classwise Summary'!B:B,A49)</f>
        <v>7</v>
      </c>
      <c r="C49" s="2">
        <f>COUNTIF('Raw Entries'!C:C,ClassTotals[[#This Row],[Class]])</f>
        <v>10</v>
      </c>
      <c r="D49" s="4">
        <f>ClassTotals[[#This Row],[Total Paid Entries]]*500</f>
        <v>5000</v>
      </c>
      <c r="E49" s="1"/>
    </row>
    <row r="50" spans="1:5">
      <c r="A50" s="6" t="s">
        <v>429</v>
      </c>
      <c r="B50" s="2">
        <f>COUNTIF('Classwise Summary'!B:B,A50)</f>
        <v>9</v>
      </c>
      <c r="C50" s="2">
        <f>COUNTIF('Raw Entries'!C:C,ClassTotals[[#This Row],[Class]])</f>
        <v>20</v>
      </c>
      <c r="D50" s="4">
        <f>ClassTotals[[#This Row],[Total Paid Entries]]*500</f>
        <v>10000</v>
      </c>
      <c r="E50" s="1"/>
    </row>
    <row r="51" spans="1:5">
      <c r="A51" s="6" t="s">
        <v>436</v>
      </c>
      <c r="B51" s="2">
        <f>COUNTIF('Classwise Summary'!B:B,A51)</f>
        <v>3</v>
      </c>
      <c r="C51" s="2">
        <f>COUNTIF('Raw Entries'!C:C,ClassTotals[[#This Row],[Class]])</f>
        <v>5</v>
      </c>
      <c r="D51" s="4">
        <f>ClassTotals[[#This Row],[Total Paid Entries]]*500</f>
        <v>2500</v>
      </c>
      <c r="E51" s="1"/>
    </row>
    <row r="52" spans="1:5">
      <c r="A52" s="6" t="s">
        <v>440</v>
      </c>
      <c r="B52" s="2">
        <f>COUNTIF('Classwise Summary'!B:B,A52)</f>
        <v>7</v>
      </c>
      <c r="C52" s="2">
        <f>COUNTIF('Raw Entries'!C:C,ClassTotals[[#This Row],[Class]])</f>
        <v>12</v>
      </c>
      <c r="D52" s="4">
        <f>ClassTotals[[#This Row],[Total Paid Entries]]*500</f>
        <v>6000</v>
      </c>
      <c r="E52" s="1"/>
    </row>
    <row r="53" spans="1:5">
      <c r="A53" s="6" t="s">
        <v>447</v>
      </c>
      <c r="B53" s="2">
        <f>COUNTIF('Classwise Summary'!B:B,A53)</f>
        <v>6</v>
      </c>
      <c r="C53" s="2">
        <f>COUNTIF('Raw Entries'!C:C,ClassTotals[[#This Row],[Class]])</f>
        <v>17</v>
      </c>
      <c r="D53" s="4">
        <f>ClassTotals[[#This Row],[Total Paid Entries]]*500</f>
        <v>8500</v>
      </c>
      <c r="E53" s="1"/>
    </row>
    <row r="54" spans="1:5">
      <c r="A54" s="6" t="s">
        <v>453</v>
      </c>
      <c r="B54" s="2">
        <f>COUNTIF('Classwise Summary'!B:B,A54)</f>
        <v>12</v>
      </c>
      <c r="C54" s="2">
        <f>COUNTIF('Raw Entries'!C:C,ClassTotals[[#This Row],[Class]])</f>
        <v>26</v>
      </c>
      <c r="D54" s="4">
        <f>ClassTotals[[#This Row],[Total Paid Entries]]*500</f>
        <v>13000</v>
      </c>
      <c r="E54" s="1"/>
    </row>
    <row r="55" spans="1:5">
      <c r="A55" s="6" t="s">
        <v>463</v>
      </c>
      <c r="B55" s="2">
        <f>COUNTIF('Classwise Summary'!B:B,A55)</f>
        <v>5</v>
      </c>
      <c r="C55" s="2">
        <f>COUNTIF('Raw Entries'!C:C,ClassTotals[[#This Row],[Class]])</f>
        <v>10</v>
      </c>
      <c r="D55" s="4">
        <f>ClassTotals[[#This Row],[Total Paid Entries]]*500</f>
        <v>5000</v>
      </c>
      <c r="E55" s="1"/>
    </row>
    <row r="56" spans="1:5">
      <c r="A56" s="6" t="s">
        <v>467</v>
      </c>
      <c r="B56" s="2">
        <f>COUNTIF('Classwise Summary'!B:B,A56)</f>
        <v>16</v>
      </c>
      <c r="C56" s="2">
        <f>COUNTIF('Raw Entries'!C:C,ClassTotals[[#This Row],[Class]])</f>
        <v>30</v>
      </c>
      <c r="D56" s="4">
        <f>ClassTotals[[#This Row],[Total Paid Entries]]*500</f>
        <v>15000</v>
      </c>
      <c r="E56" s="1"/>
    </row>
    <row r="57" spans="1:5">
      <c r="A57" s="6" t="s">
        <v>480</v>
      </c>
      <c r="B57" s="2">
        <f>COUNTIF('Classwise Summary'!B:B,A57)</f>
        <v>10</v>
      </c>
      <c r="C57" s="2">
        <f>COUNTIF('Raw Entries'!C:C,ClassTotals[[#This Row],[Class]])</f>
        <v>17</v>
      </c>
      <c r="D57" s="4">
        <f>ClassTotals[[#This Row],[Total Paid Entries]]*500</f>
        <v>8500</v>
      </c>
      <c r="E57" s="1"/>
    </row>
    <row r="58" spans="1:5">
      <c r="A58" s="6" t="s">
        <v>488</v>
      </c>
      <c r="B58" s="2">
        <f>COUNTIF('Classwise Summary'!B:B,A58)</f>
        <v>9</v>
      </c>
      <c r="C58" s="2">
        <f>COUNTIF('Raw Entries'!C:C,ClassTotals[[#This Row],[Class]])</f>
        <v>17</v>
      </c>
      <c r="D58" s="4">
        <f>ClassTotals[[#This Row],[Total Paid Entries]]*500</f>
        <v>8500</v>
      </c>
      <c r="E58" s="1"/>
    </row>
    <row r="59" spans="1:5">
      <c r="A59" s="6" t="s">
        <v>496</v>
      </c>
      <c r="B59" s="2">
        <f>COUNTIF('Classwise Summary'!B:B,A59)</f>
        <v>7</v>
      </c>
      <c r="C59" s="2">
        <f>COUNTIF('Raw Entries'!C:C,ClassTotals[[#This Row],[Class]])</f>
        <v>13</v>
      </c>
      <c r="D59" s="4">
        <f>ClassTotals[[#This Row],[Total Paid Entries]]*500</f>
        <v>6500</v>
      </c>
      <c r="E59" s="1"/>
    </row>
    <row r="60" spans="1:5">
      <c r="A60" s="6" t="s">
        <v>499</v>
      </c>
      <c r="B60" s="2">
        <f>COUNTIF('Classwise Summary'!B:B,A60)</f>
        <v>4</v>
      </c>
      <c r="C60" s="2">
        <f>COUNTIF('Raw Entries'!C:C,ClassTotals[[#This Row],[Class]])</f>
        <v>13</v>
      </c>
      <c r="D60" s="4">
        <f>ClassTotals[[#This Row],[Total Paid Entries]]*500</f>
        <v>6500</v>
      </c>
      <c r="E60" s="1"/>
    </row>
    <row r="61" spans="1:5">
      <c r="A61" s="6" t="s">
        <v>504</v>
      </c>
      <c r="B61" s="2">
        <f>COUNTIF('Classwise Summary'!B:B,A61)</f>
        <v>4</v>
      </c>
      <c r="C61" s="2">
        <f>COUNTIF('Raw Entries'!C:C,ClassTotals[[#This Row],[Class]])</f>
        <v>6</v>
      </c>
      <c r="D61" s="4">
        <f>ClassTotals[[#This Row],[Total Paid Entries]]*500</f>
        <v>3000</v>
      </c>
      <c r="E61" s="1"/>
    </row>
    <row r="62" spans="1:5">
      <c r="A62" s="6" t="s">
        <v>509</v>
      </c>
      <c r="B62" s="2">
        <f>COUNTIF('Classwise Summary'!B:B,A62)</f>
        <v>5</v>
      </c>
      <c r="C62" s="2">
        <f>COUNTIF('Raw Entries'!C:C,ClassTotals[[#This Row],[Class]])</f>
        <v>10</v>
      </c>
      <c r="D62" s="4">
        <f>ClassTotals[[#This Row],[Total Paid Entries]]*500</f>
        <v>5000</v>
      </c>
      <c r="E62" s="1"/>
    </row>
    <row r="63" spans="1:5">
      <c r="A63" s="6" t="s">
        <v>515</v>
      </c>
      <c r="B63" s="2">
        <f>COUNTIF('Classwise Summary'!B:B,A63)</f>
        <v>6</v>
      </c>
      <c r="C63" s="2">
        <f>COUNTIF('Raw Entries'!C:C,ClassTotals[[#This Row],[Class]])</f>
        <v>15</v>
      </c>
      <c r="D63" s="4">
        <f>ClassTotals[[#This Row],[Total Paid Entries]]*500</f>
        <v>7500</v>
      </c>
      <c r="E63" s="1"/>
    </row>
    <row r="64" spans="1:5">
      <c r="A64" s="6" t="s">
        <v>520</v>
      </c>
      <c r="B64" s="2">
        <f>COUNTIF('Classwise Summary'!B:B,A64)</f>
        <v>6</v>
      </c>
      <c r="C64" s="2">
        <f>COUNTIF('Raw Entries'!C:C,ClassTotals[[#This Row],[Class]])</f>
        <v>12</v>
      </c>
      <c r="D64" s="4">
        <f>ClassTotals[[#This Row],[Total Paid Entries]]*500</f>
        <v>6000</v>
      </c>
      <c r="E64" s="1"/>
    </row>
    <row r="65" spans="1:5">
      <c r="A65" s="6" t="s">
        <v>526</v>
      </c>
      <c r="B65" s="2">
        <f>COUNTIF('Classwise Summary'!B:B,A65)</f>
        <v>14</v>
      </c>
      <c r="C65" s="2">
        <f>COUNTIF('Raw Entries'!C:C,ClassTotals[[#This Row],[Class]])</f>
        <v>22</v>
      </c>
      <c r="D65" s="4">
        <f>ClassTotals[[#This Row],[Total Paid Entries]]*500</f>
        <v>11000</v>
      </c>
      <c r="E65" s="1"/>
    </row>
    <row r="66" spans="1:5">
      <c r="A66" s="6" t="s">
        <v>538</v>
      </c>
      <c r="B66" s="2">
        <f>COUNTIF('Classwise Summary'!B:B,A66)</f>
        <v>6</v>
      </c>
      <c r="C66" s="2">
        <f>COUNTIF('Raw Entries'!C:C,ClassTotals[[#This Row],[Class]])</f>
        <v>12</v>
      </c>
      <c r="D66" s="4">
        <f>ClassTotals[[#This Row],[Total Paid Entries]]*500</f>
        <v>6000</v>
      </c>
      <c r="E66" s="1"/>
    </row>
    <row r="67" spans="1:5">
      <c r="A67" s="6" t="s">
        <v>543</v>
      </c>
      <c r="B67" s="2">
        <f>COUNTIF('Classwise Summary'!B:B,A67)</f>
        <v>4</v>
      </c>
      <c r="C67" s="2">
        <f>COUNTIF('Raw Entries'!C:C,ClassTotals[[#This Row],[Class]])</f>
        <v>6</v>
      </c>
      <c r="D67" s="4">
        <f>ClassTotals[[#This Row],[Total Paid Entries]]*500</f>
        <v>3000</v>
      </c>
      <c r="E67" s="1"/>
    </row>
    <row r="68" spans="1:5">
      <c r="A68" s="6" t="s">
        <v>548</v>
      </c>
      <c r="B68" s="2">
        <f>COUNTIF('Classwise Summary'!B:B,A68)</f>
        <v>10</v>
      </c>
      <c r="C68" s="2">
        <f>COUNTIF('Raw Entries'!C:C,ClassTotals[[#This Row],[Class]])</f>
        <v>18</v>
      </c>
      <c r="D68" s="4">
        <f>ClassTotals[[#This Row],[Total Paid Entries]]*500</f>
        <v>9000</v>
      </c>
      <c r="E68" s="1"/>
    </row>
    <row r="69" spans="1:5">
      <c r="A69" s="6" t="s">
        <v>556</v>
      </c>
      <c r="B69" s="2">
        <f>COUNTIF('Classwise Summary'!B:B,A69)</f>
        <v>9</v>
      </c>
      <c r="C69" s="2">
        <f>COUNTIF('Raw Entries'!C:C,ClassTotals[[#This Row],[Class]])</f>
        <v>19</v>
      </c>
      <c r="D69" s="4">
        <f>ClassTotals[[#This Row],[Total Paid Entries]]*500</f>
        <v>9500</v>
      </c>
      <c r="E69" s="1"/>
    </row>
    <row r="70" spans="1:5">
      <c r="A70" s="6" t="s">
        <v>565</v>
      </c>
      <c r="B70" s="2">
        <f>COUNTIF('Classwise Summary'!B:B,A70)</f>
        <v>3</v>
      </c>
      <c r="C70" s="2">
        <f>COUNTIF('Raw Entries'!C:C,ClassTotals[[#This Row],[Class]])</f>
        <v>5</v>
      </c>
      <c r="D70" s="4">
        <f>ClassTotals[[#This Row],[Total Paid Entries]]*500</f>
        <v>2500</v>
      </c>
      <c r="E70" s="1"/>
    </row>
    <row r="71" spans="1:5">
      <c r="A71" s="6" t="s">
        <v>569</v>
      </c>
      <c r="B71" s="2">
        <f>COUNTIF('Classwise Summary'!B:B,A71)</f>
        <v>2</v>
      </c>
      <c r="C71" s="2">
        <f>COUNTIF('Raw Entries'!C:C,ClassTotals[[#This Row],[Class]])</f>
        <v>2</v>
      </c>
      <c r="D71" s="4">
        <f>ClassTotals[[#This Row],[Total Paid Entries]]*500</f>
        <v>1000</v>
      </c>
      <c r="E71" s="1"/>
    </row>
    <row r="72" spans="1:5">
      <c r="A72" s="6" t="s">
        <v>572</v>
      </c>
      <c r="B72" s="2">
        <f>COUNTIF('Classwise Summary'!B:B,A72)</f>
        <v>2</v>
      </c>
      <c r="C72" s="2">
        <f>COUNTIF('Raw Entries'!C:C,ClassTotals[[#This Row],[Class]])</f>
        <v>3</v>
      </c>
      <c r="D72" s="4">
        <f>ClassTotals[[#This Row],[Total Paid Entries]]*500</f>
        <v>1500</v>
      </c>
      <c r="E72" s="1"/>
    </row>
    <row r="73" spans="1:5">
      <c r="A73" s="6" t="s">
        <v>1884</v>
      </c>
      <c r="B73" s="2">
        <f>COUNTIF('Classwise Summary'!B:B,A73)</f>
        <v>1</v>
      </c>
      <c r="C73" s="2">
        <f>COUNTIF('Raw Entries'!C:C,ClassTotals[[#This Row],[Class]])</f>
        <v>5</v>
      </c>
      <c r="D73" s="4">
        <f>ClassTotals[[#This Row],[Total Paid Entries]]*500</f>
        <v>2500</v>
      </c>
      <c r="E73" s="1"/>
    </row>
    <row r="74" spans="1:5">
      <c r="A74" s="6" t="s">
        <v>574</v>
      </c>
      <c r="B74" s="2">
        <f>COUNTIF('Classwise Summary'!B:B,A74)</f>
        <v>4</v>
      </c>
      <c r="C74" s="2">
        <f>COUNTIF('Raw Entries'!C:C,ClassTotals[[#This Row],[Class]])</f>
        <v>8</v>
      </c>
      <c r="D74" s="4">
        <f>ClassTotals[[#This Row],[Total Paid Entries]]*500</f>
        <v>4000</v>
      </c>
      <c r="E74" s="1"/>
    </row>
    <row r="75" spans="1:5">
      <c r="A75" s="6" t="s">
        <v>1885</v>
      </c>
      <c r="B75" s="2">
        <f>COUNTIF('Classwise Summary'!B:B,A75)</f>
        <v>0</v>
      </c>
      <c r="C75" s="2">
        <f>COUNTIF('Raw Entries'!C:C,ClassTotals[[#This Row],[Class]])</f>
        <v>0</v>
      </c>
      <c r="D75" s="4">
        <f>ClassTotals[[#This Row],[Total Paid Entries]]*500</f>
        <v>0</v>
      </c>
      <c r="E75" s="1"/>
    </row>
    <row r="76" spans="1:5" s="15" customFormat="1">
      <c r="A76" s="6" t="s">
        <v>1851</v>
      </c>
      <c r="B76" s="2">
        <f>COUNTIF('Classwise Summary'!B:B,A76)</f>
        <v>1</v>
      </c>
      <c r="C76" s="2">
        <f>COUNTIF('Raw Entries'!C:C,ClassTotals[[#This Row],[Class]])</f>
        <v>3</v>
      </c>
      <c r="D76" s="4">
        <f>ClassTotals[[#This Row],[Total Paid Entries]]*500</f>
        <v>1500</v>
      </c>
      <c r="E76" s="1"/>
    </row>
    <row r="77" spans="1:5" s="15" customFormat="1">
      <c r="A77" s="6" t="s">
        <v>577</v>
      </c>
      <c r="B77" s="2">
        <f>COUNTIF('Classwise Summary'!B:B,A77)</f>
        <v>1</v>
      </c>
      <c r="C77" s="2">
        <f>COUNTIF('Raw Entries'!C:C,ClassTotals[[#This Row],[Class]])</f>
        <v>3</v>
      </c>
      <c r="D77" s="4">
        <f>ClassTotals[[#This Row],[Total Paid Entries]]*500</f>
        <v>1500</v>
      </c>
      <c r="E77" s="1"/>
    </row>
    <row r="78" spans="1:5" s="15" customFormat="1">
      <c r="A78" s="6" t="s">
        <v>1886</v>
      </c>
      <c r="B78" s="2">
        <f>COUNTIF('Classwise Summary'!B:B,A78)</f>
        <v>0</v>
      </c>
      <c r="C78" s="2">
        <f>COUNTIF('Raw Entries'!C:C,ClassTotals[[#This Row],[Class]])</f>
        <v>0</v>
      </c>
      <c r="D78" s="4">
        <f>ClassTotals[[#This Row],[Total Paid Entries]]*500</f>
        <v>0</v>
      </c>
    </row>
    <row r="79" spans="1:5" s="15" customFormat="1">
      <c r="A79" s="6" t="s">
        <v>579</v>
      </c>
      <c r="B79" s="2">
        <f>COUNTIF('Classwise Summary'!B:B,A79)</f>
        <v>1</v>
      </c>
      <c r="C79" s="2">
        <f>COUNTIF('Raw Entries'!C:C,ClassTotals[[#This Row],[Class]])</f>
        <v>1</v>
      </c>
      <c r="D79" s="4">
        <f>ClassTotals[[#This Row],[Total Paid Entries]]*500</f>
        <v>500</v>
      </c>
    </row>
    <row r="80" spans="1:5" s="15" customFormat="1">
      <c r="A80" s="6" t="s">
        <v>582</v>
      </c>
      <c r="B80" s="2">
        <f>COUNTIF('Classwise Summary'!B:B,A80)</f>
        <v>1</v>
      </c>
      <c r="C80" s="2">
        <f>COUNTIF('Raw Entries'!C:C,ClassTotals[[#This Row],[Class]])</f>
        <v>2</v>
      </c>
      <c r="D80" s="4">
        <f>ClassTotals[[#This Row],[Total Paid Entries]]*500</f>
        <v>1000</v>
      </c>
    </row>
    <row r="81" spans="1:4" s="15" customFormat="1">
      <c r="A81" s="6" t="s">
        <v>1887</v>
      </c>
      <c r="B81" s="2">
        <f>COUNTIF('Classwise Summary'!B:B,A81)</f>
        <v>0</v>
      </c>
      <c r="C81" s="2">
        <f>COUNTIF('Raw Entries'!C:C,ClassTotals[[#This Row],[Class]])</f>
        <v>0</v>
      </c>
      <c r="D81" s="4">
        <f>ClassTotals[[#This Row],[Total Paid Entries]]*500</f>
        <v>0</v>
      </c>
    </row>
    <row r="82" spans="1:4" s="15" customFormat="1">
      <c r="A82" s="6" t="s">
        <v>1888</v>
      </c>
      <c r="B82" s="2">
        <f>COUNTIF('Classwise Summary'!B:B,A82)</f>
        <v>0</v>
      </c>
      <c r="C82" s="2">
        <f>COUNTIF('Raw Entries'!C:C,ClassTotals[[#This Row],[Class]])</f>
        <v>0</v>
      </c>
      <c r="D82" s="4">
        <f>ClassTotals[[#This Row],[Total Paid Entries]]*500</f>
        <v>0</v>
      </c>
    </row>
    <row r="83" spans="1:4" s="15" customFormat="1">
      <c r="B83" s="5"/>
      <c r="C83" s="5"/>
      <c r="D83" s="5"/>
    </row>
    <row r="84" spans="1:4" s="16" customFormat="1" ht="15">
      <c r="A84" s="16" t="s">
        <v>1883</v>
      </c>
      <c r="B84" s="17">
        <f>SUBTOTAL(109,B3:B83)</f>
        <v>696</v>
      </c>
      <c r="C84" s="17">
        <f>SUBTOTAL(109,C3:C83)</f>
        <v>1444</v>
      </c>
      <c r="D84" s="17">
        <f>SUM(D3:D82)</f>
        <v>722000</v>
      </c>
    </row>
  </sheetData>
  <mergeCells count="1">
    <mergeCell ref="A1:D1"/>
  </mergeCells>
  <pageMargins left="0.7" right="0.7" top="0.75" bottom="0.75" header="0.3" footer="0.3"/>
  <pageSetup orientation="portrait" r:id="rId1"/>
  <ignoredErrors>
    <ignoredError sqref="C3" calculatedColumn="1"/>
  </ignoredError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O1446"/>
  <sheetViews>
    <sheetView zoomScale="85" zoomScaleNormal="85" workbookViewId="0">
      <selection activeCell="L471" sqref="L471"/>
    </sheetView>
  </sheetViews>
  <sheetFormatPr defaultColWidth="9" defaultRowHeight="14.25"/>
  <cols>
    <col min="1" max="1" width="7.875" style="15" customWidth="1"/>
    <col min="2" max="2" width="32" style="15" customWidth="1"/>
    <col min="3" max="4" width="12" style="15" customWidth="1"/>
    <col min="5" max="5" width="10" style="31" customWidth="1"/>
    <col min="6" max="6" width="16" style="15" customWidth="1"/>
    <col min="7" max="7" width="12" style="15" customWidth="1"/>
    <col min="8" max="8" width="14" style="36" customWidth="1"/>
    <col min="9" max="9" width="14" style="15" customWidth="1"/>
    <col min="10" max="10" width="9" style="15"/>
    <col min="11" max="11" width="19" style="15" customWidth="1"/>
    <col min="12" max="12" width="31.375" style="15" bestFit="1" customWidth="1"/>
    <col min="13" max="13" width="62.375" style="15" bestFit="1" customWidth="1"/>
    <col min="14" max="14" width="25.375" style="15" customWidth="1"/>
    <col min="15" max="16384" width="9" style="15"/>
  </cols>
  <sheetData>
    <row r="1" spans="1:15" ht="15">
      <c r="A1" s="28" t="s">
        <v>0</v>
      </c>
      <c r="B1" s="28" t="s">
        <v>583</v>
      </c>
      <c r="C1" s="28" t="s">
        <v>1</v>
      </c>
      <c r="D1" s="28" t="s">
        <v>584</v>
      </c>
      <c r="E1" s="29" t="s">
        <v>585</v>
      </c>
      <c r="F1" s="28" t="s">
        <v>586</v>
      </c>
      <c r="G1" s="28" t="s">
        <v>587</v>
      </c>
      <c r="H1" s="37" t="s">
        <v>588</v>
      </c>
      <c r="I1" s="28" t="s">
        <v>3961</v>
      </c>
      <c r="J1" s="10" t="s">
        <v>1839</v>
      </c>
    </row>
    <row r="2" spans="1:15" hidden="1">
      <c r="A2">
        <v>1</v>
      </c>
      <c r="B2" t="s">
        <v>539</v>
      </c>
      <c r="C2" t="s">
        <v>538</v>
      </c>
      <c r="D2" t="str">
        <f t="array" ref="D2">TEXT(Table26[[#This Row],[Date]],"MMMM")</f>
        <v>July</v>
      </c>
      <c r="E2">
        <v>500</v>
      </c>
      <c r="F2" t="s">
        <v>589</v>
      </c>
      <c r="G2" t="s">
        <v>690</v>
      </c>
      <c r="H2" s="38">
        <v>46230</v>
      </c>
      <c r="I2" cm="1">
        <f t="array" ref="I2">IFERROR(INDEX('ALL STUDENTS'!$A:$A, MATCH(1, ('ALL STUDENTS'!$B:$B = B2) * ('ALL STUDENTS'!$C:$C = C2), 0)), "NOT FOUND")</f>
        <v>8</v>
      </c>
      <c r="J2" t="str">
        <f>IF(Table26[[#This Row],[Fee]]&gt;500,Table26[[#This Row],[Fee]],"")</f>
        <v/>
      </c>
    </row>
    <row r="3" spans="1:15" hidden="1">
      <c r="A3">
        <v>2</v>
      </c>
      <c r="B3" t="s">
        <v>539</v>
      </c>
      <c r="C3" t="s">
        <v>538</v>
      </c>
      <c r="D3" t="str">
        <f t="array" ref="D3">TEXT(Table26[[#This Row],[Date]],"MMMM")</f>
        <v>July</v>
      </c>
      <c r="E3">
        <v>500</v>
      </c>
      <c r="F3" t="s">
        <v>589</v>
      </c>
      <c r="G3" t="s">
        <v>691</v>
      </c>
      <c r="H3" s="38">
        <v>46230</v>
      </c>
      <c r="I3" cm="1">
        <f t="array" ref="I3">IFERROR(INDEX('ALL STUDENTS'!$A:$A, MATCH(1, ('ALL STUDENTS'!$B:$B = B3) * ('ALL STUDENTS'!$C:$C = C3), 0)), "NOT FOUND")</f>
        <v>8</v>
      </c>
      <c r="J3" t="str">
        <f>IF(Table26[[#This Row],[Fee]]&gt;500,Table26[[#This Row],[Fee]],"")</f>
        <v/>
      </c>
      <c r="L3" s="64" t="s">
        <v>1893</v>
      </c>
      <c r="M3" s="64"/>
      <c r="N3" s="64"/>
      <c r="O3" s="64"/>
    </row>
    <row r="4" spans="1:15" hidden="1">
      <c r="A4">
        <v>3</v>
      </c>
      <c r="B4" t="s">
        <v>539</v>
      </c>
      <c r="C4" t="s">
        <v>538</v>
      </c>
      <c r="D4" t="str">
        <f t="array" ref="D4">TEXT(Table26[[#This Row],[Date]],"MMMM")</f>
        <v>July</v>
      </c>
      <c r="E4">
        <v>500</v>
      </c>
      <c r="F4" t="s">
        <v>589</v>
      </c>
      <c r="G4" t="s">
        <v>692</v>
      </c>
      <c r="H4" s="38">
        <v>46230</v>
      </c>
      <c r="I4" cm="1">
        <f t="array" ref="I4">IFERROR(INDEX('ALL STUDENTS'!$A:$A, MATCH(1, ('ALL STUDENTS'!$B:$B = B4) * ('ALL STUDENTS'!$C:$C = C4), 0)), "NOT FOUND")</f>
        <v>8</v>
      </c>
      <c r="J4" t="str">
        <f>IF(Table26[[#This Row],[Fee]]&gt;500,Table26[[#This Row],[Fee]],"")</f>
        <v/>
      </c>
      <c r="L4" s="64"/>
      <c r="M4" s="64"/>
      <c r="N4" s="64"/>
      <c r="O4" s="64"/>
    </row>
    <row r="5" spans="1:15" ht="15" hidden="1">
      <c r="A5">
        <v>4</v>
      </c>
      <c r="B5" t="s">
        <v>454</v>
      </c>
      <c r="C5" t="s">
        <v>453</v>
      </c>
      <c r="D5" t="str">
        <f t="array" ref="D5">TEXT(Table26[[#This Row],[Date]],"MMMM")</f>
        <v>July</v>
      </c>
      <c r="E5">
        <v>500</v>
      </c>
      <c r="F5" t="s">
        <v>589</v>
      </c>
      <c r="G5" t="s">
        <v>693</v>
      </c>
      <c r="H5" s="38">
        <v>46228</v>
      </c>
      <c r="I5" cm="1">
        <f t="array" ref="I5">IFERROR(INDEX('ALL STUDENTS'!$A:$A, MATCH(1, ('ALL STUDENTS'!$B:$B = B5) * ('ALL STUDENTS'!$C:$C = C5), 0)), "NOT FOUND")</f>
        <v>717</v>
      </c>
      <c r="J5" t="str">
        <f>IF(Table26[[#This Row],[Fee]]&gt;500,Table26[[#This Row],[Fee]],"")</f>
        <v/>
      </c>
      <c r="L5" s="23" t="s">
        <v>1892</v>
      </c>
      <c r="M5" s="23" t="str" cm="1">
        <f t="array" ref="M5:M7">_xlfn.UNIQUE(_xlfn._xlws.FILTER(B:B,E:E&gt;500,"NEXTRA PAYMENT"))</f>
        <v>Name</v>
      </c>
      <c r="N5" s="23" t="s">
        <v>1895</v>
      </c>
      <c r="O5" s="23" t="s">
        <v>1894</v>
      </c>
    </row>
    <row r="6" spans="1:15" ht="15" hidden="1">
      <c r="A6">
        <v>5</v>
      </c>
      <c r="B6" t="s">
        <v>335</v>
      </c>
      <c r="C6" t="s">
        <v>334</v>
      </c>
      <c r="D6" t="str">
        <f t="array" ref="D6">TEXT(Table26[[#This Row],[Date]],"MMMM")</f>
        <v>July</v>
      </c>
      <c r="E6">
        <v>500</v>
      </c>
      <c r="F6" t="s">
        <v>589</v>
      </c>
      <c r="G6" t="s">
        <v>694</v>
      </c>
      <c r="H6" s="38">
        <v>46228</v>
      </c>
      <c r="I6" cm="1">
        <f t="array" ref="I6">IFERROR(INDEX('ALL STUDENTS'!$A:$A, MATCH(1, ('ALL STUDENTS'!$B:$B = B6) * ('ALL STUDENTS'!$C:$C = C6), 0)), "NOT FOUND")</f>
        <v>2490</v>
      </c>
      <c r="J6" t="str">
        <f>IF(Table26[[#This Row],[Fee]]&gt;500,Table26[[#This Row],[Fee]],"")</f>
        <v/>
      </c>
      <c r="L6" s="24" t="str">
        <f>_xlfn.XLOOKUP(M6,B:B,C:C,"")</f>
        <v>3-B</v>
      </c>
      <c r="M6" s="24" t="str">
        <v>ARYA CHOUBEY</v>
      </c>
      <c r="N6" s="24">
        <f>SUMIF(B:B,M6,E:E)</f>
        <v>4500</v>
      </c>
      <c r="O6" s="24">
        <f>N6-1500</f>
        <v>3000</v>
      </c>
    </row>
    <row r="7" spans="1:15" ht="15" hidden="1">
      <c r="A7">
        <v>6</v>
      </c>
      <c r="B7" t="s">
        <v>430</v>
      </c>
      <c r="C7" t="s">
        <v>429</v>
      </c>
      <c r="D7" t="str">
        <f t="array" ref="D7">TEXT(Table26[[#This Row],[Date]],"MMMM")</f>
        <v>July</v>
      </c>
      <c r="E7">
        <v>500</v>
      </c>
      <c r="F7" t="s">
        <v>589</v>
      </c>
      <c r="G7" t="s">
        <v>695</v>
      </c>
      <c r="H7" s="38">
        <v>46228</v>
      </c>
      <c r="I7" cm="1">
        <f t="array" ref="I7">IFERROR(INDEX('ALL STUDENTS'!$A:$A, MATCH(1, ('ALL STUDENTS'!$B:$B = B7) * ('ALL STUDENTS'!$C:$C = C7), 0)), "NOT FOUND")</f>
        <v>746</v>
      </c>
      <c r="J7" t="str">
        <f>IF(Table26[[#This Row],[Fee]]&gt;500,Table26[[#This Row],[Fee]],"")</f>
        <v/>
      </c>
      <c r="L7" s="24" t="str">
        <f>_xlfn.XLOOKUP(M7,B:B,C:C,"")</f>
        <v>3-F</v>
      </c>
      <c r="M7" s="24" t="str">
        <v>HIMAKSHI PANDRE</v>
      </c>
      <c r="N7" s="24">
        <f>SUMIF(B:B,M7,E:E)</f>
        <v>4500</v>
      </c>
      <c r="O7" s="24">
        <f>N7-1500</f>
        <v>3000</v>
      </c>
    </row>
    <row r="8" spans="1:15" ht="15" hidden="1">
      <c r="A8">
        <v>7</v>
      </c>
      <c r="B8" t="s">
        <v>430</v>
      </c>
      <c r="C8" t="s">
        <v>429</v>
      </c>
      <c r="D8" t="str">
        <f t="array" ref="D8">TEXT(Table26[[#This Row],[Date]],"MMMM")</f>
        <v>July</v>
      </c>
      <c r="E8">
        <v>500</v>
      </c>
      <c r="F8" t="s">
        <v>589</v>
      </c>
      <c r="G8" t="s">
        <v>696</v>
      </c>
      <c r="H8" s="38">
        <v>46228</v>
      </c>
      <c r="I8" cm="1">
        <f t="array" ref="I8">IFERROR(INDEX('ALL STUDENTS'!$A:$A, MATCH(1, ('ALL STUDENTS'!$B:$B = B8) * ('ALL STUDENTS'!$C:$C = C8), 0)), "NOT FOUND")</f>
        <v>746</v>
      </c>
      <c r="J8" t="str">
        <f>IF(Table26[[#This Row],[Fee]]&gt;500,Table26[[#This Row],[Fee]],"")</f>
        <v/>
      </c>
      <c r="L8" s="24"/>
      <c r="M8" s="24"/>
      <c r="N8" s="24"/>
      <c r="O8" s="24"/>
    </row>
    <row r="9" spans="1:15" ht="15" hidden="1">
      <c r="A9">
        <v>8</v>
      </c>
      <c r="B9" t="s">
        <v>430</v>
      </c>
      <c r="C9" t="s">
        <v>429</v>
      </c>
      <c r="D9" t="str">
        <f t="array" ref="D9">TEXT(Table26[[#This Row],[Date]],"MMMM")</f>
        <v>July</v>
      </c>
      <c r="E9">
        <v>500</v>
      </c>
      <c r="F9" t="s">
        <v>589</v>
      </c>
      <c r="G9" t="s">
        <v>697</v>
      </c>
      <c r="H9" s="38">
        <v>46228</v>
      </c>
      <c r="I9" cm="1">
        <f t="array" ref="I9">IFERROR(INDEX('ALL STUDENTS'!$A:$A, MATCH(1, ('ALL STUDENTS'!$B:$B = B9) * ('ALL STUDENTS'!$C:$C = C9), 0)), "NOT FOUND")</f>
        <v>746</v>
      </c>
      <c r="J9" t="str">
        <f>IF(Table26[[#This Row],[Fee]]&gt;500,Table26[[#This Row],[Fee]],"")</f>
        <v/>
      </c>
      <c r="L9" s="24"/>
      <c r="M9" s="24"/>
      <c r="N9" s="24"/>
      <c r="O9" s="24"/>
    </row>
    <row r="10" spans="1:15" ht="15" hidden="1">
      <c r="A10">
        <v>9</v>
      </c>
      <c r="B10" t="s">
        <v>468</v>
      </c>
      <c r="C10" t="s">
        <v>467</v>
      </c>
      <c r="D10" t="str">
        <f t="array" ref="D10">TEXT(Table26[[#This Row],[Date]],"MMMM")</f>
        <v>July</v>
      </c>
      <c r="E10">
        <v>500</v>
      </c>
      <c r="F10" t="s">
        <v>589</v>
      </c>
      <c r="G10" t="s">
        <v>698</v>
      </c>
      <c r="H10" s="38">
        <v>46228</v>
      </c>
      <c r="I10" cm="1">
        <f t="array" ref="I10">IFERROR(INDEX('ALL STUDENTS'!$A:$A, MATCH(1, ('ALL STUDENTS'!$B:$B = B10) * ('ALL STUDENTS'!$C:$C = C10), 0)), "NOT FOUND")</f>
        <v>265</v>
      </c>
      <c r="J10" t="str">
        <f>IF(Table26[[#This Row],[Fee]]&gt;500,Table26[[#This Row],[Fee]],"")</f>
        <v/>
      </c>
      <c r="L10" s="24"/>
      <c r="M10" s="24"/>
      <c r="N10" s="24"/>
      <c r="O10" s="24"/>
    </row>
    <row r="11" spans="1:15" ht="15" hidden="1">
      <c r="A11">
        <v>10</v>
      </c>
      <c r="B11" t="s">
        <v>468</v>
      </c>
      <c r="C11" t="s">
        <v>467</v>
      </c>
      <c r="D11" t="str">
        <f t="array" ref="D11">TEXT(Table26[[#This Row],[Date]],"MMMM")</f>
        <v>July</v>
      </c>
      <c r="E11">
        <v>500</v>
      </c>
      <c r="F11" t="s">
        <v>589</v>
      </c>
      <c r="G11" t="s">
        <v>699</v>
      </c>
      <c r="H11" s="38">
        <v>46228</v>
      </c>
      <c r="I11" cm="1">
        <f t="array" ref="I11">IFERROR(INDEX('ALL STUDENTS'!$A:$A, MATCH(1, ('ALL STUDENTS'!$B:$B = B11) * ('ALL STUDENTS'!$C:$C = C11), 0)), "NOT FOUND")</f>
        <v>265</v>
      </c>
      <c r="J11" t="str">
        <f>IF(Table26[[#This Row],[Fee]]&gt;500,Table26[[#This Row],[Fee]],"")</f>
        <v/>
      </c>
      <c r="L11" s="24"/>
      <c r="M11" s="24"/>
      <c r="N11" s="24"/>
      <c r="O11" s="24"/>
    </row>
    <row r="12" spans="1:15" ht="15" hidden="1">
      <c r="A12">
        <v>11</v>
      </c>
      <c r="B12" t="s">
        <v>468</v>
      </c>
      <c r="C12" t="s">
        <v>467</v>
      </c>
      <c r="D12" t="str">
        <f t="array" ref="D12">TEXT(Table26[[#This Row],[Date]],"MMMM")</f>
        <v>July</v>
      </c>
      <c r="E12">
        <v>500</v>
      </c>
      <c r="F12" t="s">
        <v>589</v>
      </c>
      <c r="G12" t="s">
        <v>700</v>
      </c>
      <c r="H12" s="38">
        <v>46228</v>
      </c>
      <c r="I12" cm="1">
        <f t="array" ref="I12">IFERROR(INDEX('ALL STUDENTS'!$A:$A, MATCH(1, ('ALL STUDENTS'!$B:$B = B12) * ('ALL STUDENTS'!$C:$C = C12), 0)), "NOT FOUND")</f>
        <v>265</v>
      </c>
      <c r="J12" t="str">
        <f>IF(Table26[[#This Row],[Fee]]&gt;500,Table26[[#This Row],[Fee]],"")</f>
        <v/>
      </c>
      <c r="L12" s="24"/>
      <c r="M12" s="24"/>
      <c r="N12" s="24"/>
      <c r="O12" s="24"/>
    </row>
    <row r="13" spans="1:15" hidden="1">
      <c r="A13">
        <v>12</v>
      </c>
      <c r="B13" t="s">
        <v>521</v>
      </c>
      <c r="C13" t="s">
        <v>520</v>
      </c>
      <c r="D13" t="str">
        <f t="array" ref="D13">TEXT(Table26[[#This Row],[Date]],"MMMM")</f>
        <v>July</v>
      </c>
      <c r="E13">
        <v>500</v>
      </c>
      <c r="F13" t="s">
        <v>589</v>
      </c>
      <c r="G13" t="s">
        <v>701</v>
      </c>
      <c r="H13" s="38">
        <v>46228</v>
      </c>
      <c r="I13" cm="1">
        <f t="array" ref="I13">IFERROR(INDEX('ALL STUDENTS'!$A:$A, MATCH(1, ('ALL STUDENTS'!$B:$B = B13) * ('ALL STUDENTS'!$C:$C = C13), 0)), "NOT FOUND")</f>
        <v>96</v>
      </c>
      <c r="J13" t="str">
        <f>IF(Table26[[#This Row],[Fee]]&gt;500,Table26[[#This Row],[Fee]],"")</f>
        <v/>
      </c>
    </row>
    <row r="14" spans="1:15" ht="15" hidden="1">
      <c r="A14">
        <v>13</v>
      </c>
      <c r="B14" t="s">
        <v>469</v>
      </c>
      <c r="C14" t="s">
        <v>467</v>
      </c>
      <c r="D14" t="str">
        <f t="array" ref="D14">TEXT(Table26[[#This Row],[Date]],"MMMM")</f>
        <v>July</v>
      </c>
      <c r="E14">
        <v>500</v>
      </c>
      <c r="F14" t="s">
        <v>589</v>
      </c>
      <c r="G14" t="s">
        <v>702</v>
      </c>
      <c r="H14" s="38">
        <v>46228</v>
      </c>
      <c r="I14" cm="1">
        <f t="array" ref="I14">IFERROR(INDEX('ALL STUDENTS'!$A:$A, MATCH(1, ('ALL STUDENTS'!$B:$B = B14) * ('ALL STUDENTS'!$C:$C = C14), 0)), "NOT FOUND")</f>
        <v>246</v>
      </c>
      <c r="J14" t="str">
        <f>IF(Table26[[#This Row],[Fee]]&gt;500,Table26[[#This Row],[Fee]],"")</f>
        <v/>
      </c>
      <c r="L14" s="19" t="s">
        <v>1896</v>
      </c>
      <c r="M14" s="21">
        <f>SUM(E:E)</f>
        <v>728500</v>
      </c>
    </row>
    <row r="15" spans="1:15" ht="15" hidden="1">
      <c r="A15">
        <v>14</v>
      </c>
      <c r="B15" t="s">
        <v>557</v>
      </c>
      <c r="C15" t="s">
        <v>556</v>
      </c>
      <c r="D15" t="str">
        <f t="array" ref="D15">TEXT(Table26[[#This Row],[Date]],"MMMM")</f>
        <v>July</v>
      </c>
      <c r="E15">
        <v>500</v>
      </c>
      <c r="F15" t="s">
        <v>589</v>
      </c>
      <c r="G15" t="s">
        <v>703</v>
      </c>
      <c r="H15" s="38">
        <v>46226</v>
      </c>
      <c r="I15" cm="1">
        <f t="array" ref="I15">IFERROR(INDEX('ALL STUDENTS'!$A:$A, MATCH(1, ('ALL STUDENTS'!$B:$B = B15) * ('ALL STUDENTS'!$C:$C = C15), 0)), "NOT FOUND")</f>
        <v>228</v>
      </c>
      <c r="J15" t="str">
        <f>IF(Table26[[#This Row],[Fee]]&gt;500,Table26[[#This Row],[Fee]],"")</f>
        <v/>
      </c>
      <c r="L15" s="20" t="s">
        <v>1897</v>
      </c>
      <c r="M15" s="22">
        <f>SUM(O6:O12)</f>
        <v>6000</v>
      </c>
    </row>
    <row r="16" spans="1:15" ht="45" hidden="1">
      <c r="A16">
        <v>15</v>
      </c>
      <c r="B16" t="s">
        <v>500</v>
      </c>
      <c r="C16" t="s">
        <v>499</v>
      </c>
      <c r="D16" t="str">
        <f t="array" ref="D16">TEXT(Table26[[#This Row],[Date]],"MMMM")</f>
        <v>July</v>
      </c>
      <c r="E16">
        <v>500</v>
      </c>
      <c r="F16" t="s">
        <v>589</v>
      </c>
      <c r="G16" t="s">
        <v>704</v>
      </c>
      <c r="H16" s="38">
        <v>46227</v>
      </c>
      <c r="I16" cm="1">
        <f t="array" ref="I16">IFERROR(INDEX('ALL STUDENTS'!$A:$A, MATCH(1, ('ALL STUDENTS'!$B:$B = B16) * ('ALL STUDENTS'!$C:$C = C16), 0)), "NOT FOUND")</f>
        <v>390</v>
      </c>
      <c r="J16" t="str">
        <f>IF(Table26[[#This Row],[Fee]]&gt;500,Table26[[#This Row],[Fee]],"")</f>
        <v/>
      </c>
      <c r="L16" s="46" t="s">
        <v>1898</v>
      </c>
      <c r="M16" s="30">
        <f>M14-M15</f>
        <v>722500</v>
      </c>
    </row>
    <row r="17" spans="1:10" hidden="1">
      <c r="A17">
        <v>16</v>
      </c>
      <c r="B17" t="s">
        <v>500</v>
      </c>
      <c r="C17" t="s">
        <v>499</v>
      </c>
      <c r="D17" t="str">
        <f t="array" ref="D17">TEXT(Table26[[#This Row],[Date]],"MMMM")</f>
        <v>July</v>
      </c>
      <c r="E17">
        <v>500</v>
      </c>
      <c r="F17" t="s">
        <v>589</v>
      </c>
      <c r="G17" t="s">
        <v>705</v>
      </c>
      <c r="H17" s="38">
        <v>46227</v>
      </c>
      <c r="I17" cm="1">
        <f t="array" ref="I17">IFERROR(INDEX('ALL STUDENTS'!$A:$A, MATCH(1, ('ALL STUDENTS'!$B:$B = B17) * ('ALL STUDENTS'!$C:$C = C17), 0)), "NOT FOUND")</f>
        <v>390</v>
      </c>
      <c r="J17" t="str">
        <f>IF(Table26[[#This Row],[Fee]]&gt;500,Table26[[#This Row],[Fee]],"")</f>
        <v/>
      </c>
    </row>
    <row r="18" spans="1:10" hidden="1">
      <c r="A18">
        <v>17</v>
      </c>
      <c r="B18" t="s">
        <v>500</v>
      </c>
      <c r="C18" t="s">
        <v>499</v>
      </c>
      <c r="D18" t="str">
        <f t="array" ref="D18">TEXT(Table26[[#This Row],[Date]],"MMMM")</f>
        <v>July</v>
      </c>
      <c r="E18">
        <v>500</v>
      </c>
      <c r="F18" t="s">
        <v>589</v>
      </c>
      <c r="G18" t="s">
        <v>706</v>
      </c>
      <c r="H18" s="38">
        <v>46227</v>
      </c>
      <c r="I18" cm="1">
        <f t="array" ref="I18">IFERROR(INDEX('ALL STUDENTS'!$A:$A, MATCH(1, ('ALL STUDENTS'!$B:$B = B18) * ('ALL STUDENTS'!$C:$C = C18), 0)), "NOT FOUND")</f>
        <v>390</v>
      </c>
      <c r="J18" t="str">
        <f>IF(Table26[[#This Row],[Fee]]&gt;500,Table26[[#This Row],[Fee]],"")</f>
        <v/>
      </c>
    </row>
    <row r="19" spans="1:10" hidden="1">
      <c r="A19">
        <v>18</v>
      </c>
      <c r="B19" t="s">
        <v>527</v>
      </c>
      <c r="C19" t="s">
        <v>526</v>
      </c>
      <c r="D19" t="str">
        <f t="array" ref="D19">TEXT(Table26[[#This Row],[Date]],"MMMM")</f>
        <v>July</v>
      </c>
      <c r="E19">
        <v>500</v>
      </c>
      <c r="F19" t="s">
        <v>589</v>
      </c>
      <c r="G19" t="s">
        <v>707</v>
      </c>
      <c r="H19" s="38">
        <v>46225</v>
      </c>
      <c r="I19" cm="1">
        <f t="array" ref="I19">IFERROR(INDEX('ALL STUDENTS'!$A:$A, MATCH(1, ('ALL STUDENTS'!$B:$B = B19) * ('ALL STUDENTS'!$C:$C = C19), 0)), "NOT FOUND")</f>
        <v>121</v>
      </c>
      <c r="J19" t="str">
        <f>IF(Table26[[#This Row],[Fee]]&gt;500,Table26[[#This Row],[Fee]],"")</f>
        <v/>
      </c>
    </row>
    <row r="20" spans="1:10" hidden="1">
      <c r="A20">
        <v>19</v>
      </c>
      <c r="B20" t="s">
        <v>527</v>
      </c>
      <c r="C20" t="s">
        <v>526</v>
      </c>
      <c r="D20" t="str">
        <f t="array" ref="D20">TEXT(Table26[[#This Row],[Date]],"MMMM")</f>
        <v>July</v>
      </c>
      <c r="E20">
        <v>500</v>
      </c>
      <c r="F20" t="s">
        <v>589</v>
      </c>
      <c r="G20" t="s">
        <v>708</v>
      </c>
      <c r="H20" s="38">
        <v>46225</v>
      </c>
      <c r="I20" cm="1">
        <f t="array" ref="I20">IFERROR(INDEX('ALL STUDENTS'!$A:$A, MATCH(1, ('ALL STUDENTS'!$B:$B = B20) * ('ALL STUDENTS'!$C:$C = C20), 0)), "NOT FOUND")</f>
        <v>121</v>
      </c>
      <c r="J20" t="str">
        <f>IF(Table26[[#This Row],[Fee]]&gt;500,Table26[[#This Row],[Fee]],"")</f>
        <v/>
      </c>
    </row>
    <row r="21" spans="1:10" hidden="1">
      <c r="A21">
        <v>20</v>
      </c>
      <c r="B21" t="s">
        <v>527</v>
      </c>
      <c r="C21" t="s">
        <v>526</v>
      </c>
      <c r="D21" t="str">
        <f t="array" ref="D21">TEXT(Table26[[#This Row],[Date]],"MMMM")</f>
        <v>July</v>
      </c>
      <c r="E21">
        <v>500</v>
      </c>
      <c r="F21" t="s">
        <v>589</v>
      </c>
      <c r="G21" t="s">
        <v>709</v>
      </c>
      <c r="H21" s="38">
        <v>46225</v>
      </c>
      <c r="I21" cm="1">
        <f t="array" ref="I21">IFERROR(INDEX('ALL STUDENTS'!$A:$A, MATCH(1, ('ALL STUDENTS'!$B:$B = B21) * ('ALL STUDENTS'!$C:$C = C21), 0)), "NOT FOUND")</f>
        <v>121</v>
      </c>
      <c r="J21" t="str">
        <f>IF(Table26[[#This Row],[Fee]]&gt;500,Table26[[#This Row],[Fee]],"")</f>
        <v/>
      </c>
    </row>
    <row r="22" spans="1:10" hidden="1">
      <c r="A22">
        <v>21</v>
      </c>
      <c r="B22" t="s">
        <v>441</v>
      </c>
      <c r="C22" t="s">
        <v>440</v>
      </c>
      <c r="D22" t="str">
        <f t="array" ref="D22">TEXT(Table26[[#This Row],[Date]],"MMMM")</f>
        <v>July</v>
      </c>
      <c r="E22">
        <v>500</v>
      </c>
      <c r="F22" t="s">
        <v>589</v>
      </c>
      <c r="G22" t="s">
        <v>710</v>
      </c>
      <c r="H22" s="38">
        <v>46226</v>
      </c>
      <c r="I22" cm="1">
        <f t="array" ref="I22">IFERROR(INDEX('ALL STUDENTS'!$A:$A, MATCH(1, ('ALL STUDENTS'!$B:$B = B22) * ('ALL STUDENTS'!$C:$C = C22), 0)), "NOT FOUND")</f>
        <v>629</v>
      </c>
      <c r="J22" t="str">
        <f>IF(Table26[[#This Row],[Fee]]&gt;500,Table26[[#This Row],[Fee]],"")</f>
        <v/>
      </c>
    </row>
    <row r="23" spans="1:10" hidden="1">
      <c r="A23">
        <v>22</v>
      </c>
      <c r="B23" t="s">
        <v>441</v>
      </c>
      <c r="C23" t="s">
        <v>440</v>
      </c>
      <c r="D23" t="str">
        <f t="array" ref="D23">TEXT(Table26[[#This Row],[Date]],"MMMM")</f>
        <v>July</v>
      </c>
      <c r="E23">
        <v>500</v>
      </c>
      <c r="F23" t="s">
        <v>589</v>
      </c>
      <c r="G23" t="s">
        <v>711</v>
      </c>
      <c r="H23" s="38">
        <v>46226</v>
      </c>
      <c r="I23" cm="1">
        <f t="array" ref="I23">IFERROR(INDEX('ALL STUDENTS'!$A:$A, MATCH(1, ('ALL STUDENTS'!$B:$B = B23) * ('ALL STUDENTS'!$C:$C = C23), 0)), "NOT FOUND")</f>
        <v>629</v>
      </c>
      <c r="J23" t="str">
        <f>IF(Table26[[#This Row],[Fee]]&gt;500,Table26[[#This Row],[Fee]],"")</f>
        <v/>
      </c>
    </row>
    <row r="24" spans="1:10" hidden="1">
      <c r="A24">
        <v>23</v>
      </c>
      <c r="B24" t="s">
        <v>441</v>
      </c>
      <c r="C24" t="s">
        <v>440</v>
      </c>
      <c r="D24" t="str">
        <f t="array" ref="D24">TEXT(Table26[[#This Row],[Date]],"MMMM")</f>
        <v>July</v>
      </c>
      <c r="E24">
        <v>500</v>
      </c>
      <c r="F24" t="s">
        <v>589</v>
      </c>
      <c r="G24" t="s">
        <v>712</v>
      </c>
      <c r="H24" s="38">
        <v>46226</v>
      </c>
      <c r="I24" cm="1">
        <f t="array" ref="I24">IFERROR(INDEX('ALL STUDENTS'!$A:$A, MATCH(1, ('ALL STUDENTS'!$B:$B = B24) * ('ALL STUDENTS'!$C:$C = C24), 0)), "NOT FOUND")</f>
        <v>629</v>
      </c>
      <c r="J24" t="str">
        <f>IF(Table26[[#This Row],[Fee]]&gt;500,Table26[[#This Row],[Fee]],"")</f>
        <v/>
      </c>
    </row>
    <row r="25" spans="1:10" hidden="1">
      <c r="A25">
        <v>24</v>
      </c>
      <c r="B25" t="s">
        <v>367</v>
      </c>
      <c r="C25" t="s">
        <v>366</v>
      </c>
      <c r="D25" t="str">
        <f t="array" ref="D25">TEXT(Table26[[#This Row],[Date]],"MMMM")</f>
        <v>July</v>
      </c>
      <c r="E25">
        <v>500</v>
      </c>
      <c r="F25" t="s">
        <v>589</v>
      </c>
      <c r="G25" t="s">
        <v>713</v>
      </c>
      <c r="H25" s="38">
        <v>46225</v>
      </c>
      <c r="I25" cm="1">
        <f t="array" ref="I25">IFERROR(INDEX('ALL STUDENTS'!$A:$A, MATCH(1, ('ALL STUDENTS'!$B:$B = B25) * ('ALL STUDENTS'!$C:$C = C25), 0)), "NOT FOUND")</f>
        <v>825</v>
      </c>
      <c r="J25" t="str">
        <f>IF(Table26[[#This Row],[Fee]]&gt;500,Table26[[#This Row],[Fee]],"")</f>
        <v/>
      </c>
    </row>
    <row r="26" spans="1:10" hidden="1">
      <c r="A26">
        <v>25</v>
      </c>
      <c r="B26" t="s">
        <v>341</v>
      </c>
      <c r="C26" t="s">
        <v>340</v>
      </c>
      <c r="D26" t="str">
        <f t="array" ref="D26">TEXT(Table26[[#This Row],[Date]],"MMMM")</f>
        <v>July</v>
      </c>
      <c r="E26">
        <v>500</v>
      </c>
      <c r="F26" t="s">
        <v>589</v>
      </c>
      <c r="G26" t="s">
        <v>714</v>
      </c>
      <c r="H26" s="38">
        <v>46230</v>
      </c>
      <c r="I26" cm="1">
        <f t="array" ref="I26">IFERROR(INDEX('ALL STUDENTS'!$A:$A, MATCH(1, ('ALL STUDENTS'!$B:$B = B26) * ('ALL STUDENTS'!$C:$C = C26), 0)), "NOT FOUND")</f>
        <v>2515</v>
      </c>
      <c r="J26" t="str">
        <f>IF(Table26[[#This Row],[Fee]]&gt;500,Table26[[#This Row],[Fee]],"")</f>
        <v/>
      </c>
    </row>
    <row r="27" spans="1:10" hidden="1">
      <c r="A27">
        <v>26</v>
      </c>
      <c r="B27" t="s">
        <v>398</v>
      </c>
      <c r="C27" t="s">
        <v>397</v>
      </c>
      <c r="D27" t="str">
        <f t="array" ref="D27">TEXT(Table26[[#This Row],[Date]],"MMMM")</f>
        <v>July</v>
      </c>
      <c r="E27">
        <v>500</v>
      </c>
      <c r="F27" t="s">
        <v>589</v>
      </c>
      <c r="G27" t="s">
        <v>715</v>
      </c>
      <c r="H27" s="38">
        <v>46231</v>
      </c>
      <c r="I27" cm="1">
        <f t="array" ref="I27">IFERROR(INDEX('ALL STUDENTS'!$A:$A, MATCH(1, ('ALL STUDENTS'!$B:$B = B27) * ('ALL STUDENTS'!$C:$C = C27), 0)), "NOT FOUND")</f>
        <v>938</v>
      </c>
      <c r="J27" t="str">
        <f>IF(Table26[[#This Row],[Fee]]&gt;500,Table26[[#This Row],[Fee]],"")</f>
        <v/>
      </c>
    </row>
    <row r="28" spans="1:10" hidden="1">
      <c r="A28">
        <v>27</v>
      </c>
      <c r="B28" t="s">
        <v>398</v>
      </c>
      <c r="C28" t="s">
        <v>397</v>
      </c>
      <c r="D28" t="str">
        <f t="array" ref="D28">TEXT(Table26[[#This Row],[Date]],"MMMM")</f>
        <v>July</v>
      </c>
      <c r="E28">
        <v>500</v>
      </c>
      <c r="F28" t="s">
        <v>589</v>
      </c>
      <c r="G28" t="s">
        <v>716</v>
      </c>
      <c r="H28" s="38">
        <v>46231</v>
      </c>
      <c r="I28" cm="1">
        <f t="array" ref="I28">IFERROR(INDEX('ALL STUDENTS'!$A:$A, MATCH(1, ('ALL STUDENTS'!$B:$B = B28) * ('ALL STUDENTS'!$C:$C = C28), 0)), "NOT FOUND")</f>
        <v>938</v>
      </c>
      <c r="J28" t="str">
        <f>IF(Table26[[#This Row],[Fee]]&gt;500,Table26[[#This Row],[Fee]],"")</f>
        <v/>
      </c>
    </row>
    <row r="29" spans="1:10" hidden="1">
      <c r="A29">
        <v>28</v>
      </c>
      <c r="B29" t="s">
        <v>398</v>
      </c>
      <c r="C29" t="s">
        <v>397</v>
      </c>
      <c r="D29" t="str">
        <f t="array" ref="D29">TEXT(Table26[[#This Row],[Date]],"MMMM")</f>
        <v>July</v>
      </c>
      <c r="E29">
        <v>500</v>
      </c>
      <c r="F29" t="s">
        <v>589</v>
      </c>
      <c r="G29" t="s">
        <v>717</v>
      </c>
      <c r="H29" s="38">
        <v>46231</v>
      </c>
      <c r="I29" cm="1">
        <f t="array" ref="I29">IFERROR(INDEX('ALL STUDENTS'!$A:$A, MATCH(1, ('ALL STUDENTS'!$B:$B = B29) * ('ALL STUDENTS'!$C:$C = C29), 0)), "NOT FOUND")</f>
        <v>938</v>
      </c>
      <c r="J29" t="str">
        <f>IF(Table26[[#This Row],[Fee]]&gt;500,Table26[[#This Row],[Fee]],"")</f>
        <v/>
      </c>
    </row>
    <row r="30" spans="1:10" hidden="1">
      <c r="A30">
        <v>29</v>
      </c>
      <c r="B30" t="s">
        <v>416</v>
      </c>
      <c r="C30" t="s">
        <v>415</v>
      </c>
      <c r="D30" t="str">
        <f t="array" ref="D30">TEXT(Table26[[#This Row],[Date]],"MMMM")</f>
        <v>July</v>
      </c>
      <c r="E30">
        <v>500</v>
      </c>
      <c r="F30" t="s">
        <v>589</v>
      </c>
      <c r="G30" t="s">
        <v>718</v>
      </c>
      <c r="H30" s="38">
        <v>46228</v>
      </c>
      <c r="I30" cm="1">
        <f t="array" ref="I30">IFERROR(INDEX('ALL STUDENTS'!$A:$A, MATCH(1, ('ALL STUDENTS'!$B:$B = B30) * ('ALL STUDENTS'!$C:$C = C30), 0)), "NOT FOUND")</f>
        <v>1010</v>
      </c>
      <c r="J30" t="str">
        <f>IF(Table26[[#This Row],[Fee]]&gt;500,Table26[[#This Row],[Fee]],"")</f>
        <v/>
      </c>
    </row>
    <row r="31" spans="1:10" hidden="1">
      <c r="A31">
        <v>30</v>
      </c>
      <c r="B31" t="s">
        <v>253</v>
      </c>
      <c r="C31" t="s">
        <v>252</v>
      </c>
      <c r="D31" t="str">
        <f t="array" ref="D31">TEXT(Table26[[#This Row],[Date]],"MMMM")</f>
        <v>July</v>
      </c>
      <c r="E31">
        <v>500</v>
      </c>
      <c r="F31" t="s">
        <v>589</v>
      </c>
      <c r="G31" t="s">
        <v>719</v>
      </c>
      <c r="H31" s="38">
        <v>46231</v>
      </c>
      <c r="I31" cm="1">
        <f t="array" ref="I31">IFERROR(INDEX('ALL STUDENTS'!$A:$A, MATCH(1, ('ALL STUDENTS'!$B:$B = B31) * ('ALL STUDENTS'!$C:$C = C31), 0)), "NOT FOUND")</f>
        <v>2132</v>
      </c>
      <c r="J31" t="str">
        <f>IF(Table26[[#This Row],[Fee]]&gt;500,Table26[[#This Row],[Fee]],"")</f>
        <v/>
      </c>
    </row>
    <row r="32" spans="1:10" hidden="1">
      <c r="A32">
        <v>31</v>
      </c>
      <c r="B32" t="s">
        <v>375</v>
      </c>
      <c r="C32" t="s">
        <v>374</v>
      </c>
      <c r="D32" t="str">
        <f t="array" ref="D32">TEXT(Table26[[#This Row],[Date]],"MMMM")</f>
        <v>July</v>
      </c>
      <c r="E32">
        <v>500</v>
      </c>
      <c r="F32" t="s">
        <v>589</v>
      </c>
      <c r="G32" t="s">
        <v>720</v>
      </c>
      <c r="H32" s="38">
        <v>46230</v>
      </c>
      <c r="I32" cm="1">
        <f t="array" ref="I32">IFERROR(INDEX('ALL STUDENTS'!$A:$A, MATCH(1, ('ALL STUDENTS'!$B:$B = B32) * ('ALL STUDENTS'!$C:$C = C32), 0)), "NOT FOUND")</f>
        <v>842</v>
      </c>
      <c r="J32" t="str">
        <f>IF(Table26[[#This Row],[Fee]]&gt;500,Table26[[#This Row],[Fee]],"")</f>
        <v/>
      </c>
    </row>
    <row r="33" spans="1:10" hidden="1">
      <c r="A33">
        <v>32</v>
      </c>
      <c r="B33" t="s">
        <v>375</v>
      </c>
      <c r="C33" t="s">
        <v>374</v>
      </c>
      <c r="D33" t="str">
        <f t="array" ref="D33">TEXT(Table26[[#This Row],[Date]],"MMMM")</f>
        <v>July</v>
      </c>
      <c r="E33">
        <v>500</v>
      </c>
      <c r="F33" t="s">
        <v>589</v>
      </c>
      <c r="G33" t="s">
        <v>721</v>
      </c>
      <c r="H33" s="38">
        <v>46230</v>
      </c>
      <c r="I33" cm="1">
        <f t="array" ref="I33">IFERROR(INDEX('ALL STUDENTS'!$A:$A, MATCH(1, ('ALL STUDENTS'!$B:$B = B33) * ('ALL STUDENTS'!$C:$C = C33), 0)), "NOT FOUND")</f>
        <v>842</v>
      </c>
      <c r="J33" t="str">
        <f>IF(Table26[[#This Row],[Fee]]&gt;500,Table26[[#This Row],[Fee]],"")</f>
        <v/>
      </c>
    </row>
    <row r="34" spans="1:10" hidden="1">
      <c r="A34">
        <v>33</v>
      </c>
      <c r="B34" t="s">
        <v>375</v>
      </c>
      <c r="C34" t="s">
        <v>374</v>
      </c>
      <c r="D34" t="str">
        <f t="array" ref="D34">TEXT(Table26[[#This Row],[Date]],"MMMM")</f>
        <v>July</v>
      </c>
      <c r="E34">
        <v>500</v>
      </c>
      <c r="F34" t="s">
        <v>589</v>
      </c>
      <c r="G34" t="s">
        <v>722</v>
      </c>
      <c r="H34" s="38">
        <v>46230</v>
      </c>
      <c r="I34" cm="1">
        <f t="array" ref="I34">IFERROR(INDEX('ALL STUDENTS'!$A:$A, MATCH(1, ('ALL STUDENTS'!$B:$B = B34) * ('ALL STUDENTS'!$C:$C = C34), 0)), "NOT FOUND")</f>
        <v>842</v>
      </c>
      <c r="J34" t="str">
        <f>IF(Table26[[#This Row],[Fee]]&gt;500,Table26[[#This Row],[Fee]],"")</f>
        <v/>
      </c>
    </row>
    <row r="35" spans="1:10" hidden="1">
      <c r="A35">
        <v>34</v>
      </c>
      <c r="B35" t="s">
        <v>357</v>
      </c>
      <c r="C35" t="s">
        <v>356</v>
      </c>
      <c r="D35" t="str">
        <f t="array" ref="D35">TEXT(Table26[[#This Row],[Date]],"MMMM")</f>
        <v>July</v>
      </c>
      <c r="E35">
        <v>500</v>
      </c>
      <c r="F35" t="s">
        <v>589</v>
      </c>
      <c r="G35" t="s">
        <v>723</v>
      </c>
      <c r="H35" s="38">
        <v>46229</v>
      </c>
      <c r="I35" cm="1">
        <f t="array" ref="I35">IFERROR(INDEX('ALL STUDENTS'!$A:$A, MATCH(1, ('ALL STUDENTS'!$B:$B = B35) * ('ALL STUDENTS'!$C:$C = C35), 0)), "NOT FOUND")</f>
        <v>765</v>
      </c>
      <c r="J35" t="str">
        <f>IF(Table26[[#This Row],[Fee]]&gt;500,Table26[[#This Row],[Fee]],"")</f>
        <v/>
      </c>
    </row>
    <row r="36" spans="1:10" hidden="1">
      <c r="A36">
        <v>35</v>
      </c>
      <c r="B36" t="s">
        <v>357</v>
      </c>
      <c r="C36" t="s">
        <v>356</v>
      </c>
      <c r="D36" t="str">
        <f t="array" ref="D36">TEXT(Table26[[#This Row],[Date]],"MMMM")</f>
        <v>July</v>
      </c>
      <c r="E36">
        <v>500</v>
      </c>
      <c r="F36" t="s">
        <v>589</v>
      </c>
      <c r="G36" t="s">
        <v>724</v>
      </c>
      <c r="H36" s="38">
        <v>46229</v>
      </c>
      <c r="I36" cm="1">
        <f t="array" ref="I36">IFERROR(INDEX('ALL STUDENTS'!$A:$A, MATCH(1, ('ALL STUDENTS'!$B:$B = B36) * ('ALL STUDENTS'!$C:$C = C36), 0)), "NOT FOUND")</f>
        <v>765</v>
      </c>
      <c r="J36" t="str">
        <f>IF(Table26[[#This Row],[Fee]]&gt;500,Table26[[#This Row],[Fee]],"")</f>
        <v/>
      </c>
    </row>
    <row r="37" spans="1:10" hidden="1">
      <c r="A37">
        <v>36</v>
      </c>
      <c r="B37" t="s">
        <v>357</v>
      </c>
      <c r="C37" t="s">
        <v>356</v>
      </c>
      <c r="D37" t="str">
        <f t="array" ref="D37">TEXT(Table26[[#This Row],[Date]],"MMMM")</f>
        <v>July</v>
      </c>
      <c r="E37">
        <v>500</v>
      </c>
      <c r="F37" t="s">
        <v>589</v>
      </c>
      <c r="G37" t="s">
        <v>725</v>
      </c>
      <c r="H37" s="38">
        <v>46229</v>
      </c>
      <c r="I37" cm="1">
        <f t="array" ref="I37">IFERROR(INDEX('ALL STUDENTS'!$A:$A, MATCH(1, ('ALL STUDENTS'!$B:$B = B37) * ('ALL STUDENTS'!$C:$C = C37), 0)), "NOT FOUND")</f>
        <v>765</v>
      </c>
      <c r="J37" t="str">
        <f>IF(Table26[[#This Row],[Fee]]&gt;500,Table26[[#This Row],[Fee]],"")</f>
        <v/>
      </c>
    </row>
    <row r="38" spans="1:10" hidden="1">
      <c r="A38">
        <v>37</v>
      </c>
      <c r="B38" t="s">
        <v>558</v>
      </c>
      <c r="C38" t="s">
        <v>556</v>
      </c>
      <c r="D38" t="str">
        <f t="array" ref="D38">TEXT(Table26[[#This Row],[Date]],"MMMM")</f>
        <v>July</v>
      </c>
      <c r="E38">
        <v>500</v>
      </c>
      <c r="F38" t="s">
        <v>589</v>
      </c>
      <c r="G38" t="s">
        <v>726</v>
      </c>
      <c r="H38" s="38">
        <v>46229</v>
      </c>
      <c r="I38" cm="1">
        <f t="array" ref="I38">IFERROR(INDEX('ALL STUDENTS'!$A:$A, MATCH(1, ('ALL STUDENTS'!$B:$B = B38) * ('ALL STUDENTS'!$C:$C = C38), 0)), "NOT FOUND")</f>
        <v>226</v>
      </c>
      <c r="J38" t="str">
        <f>IF(Table26[[#This Row],[Fee]]&gt;500,Table26[[#This Row],[Fee]],"")</f>
        <v/>
      </c>
    </row>
    <row r="39" spans="1:10" hidden="1">
      <c r="A39">
        <v>38</v>
      </c>
      <c r="B39" t="s">
        <v>376</v>
      </c>
      <c r="C39" t="s">
        <v>374</v>
      </c>
      <c r="D39" t="str">
        <f t="array" ref="D39">TEXT(Table26[[#This Row],[Date]],"MMMM")</f>
        <v>July</v>
      </c>
      <c r="E39">
        <v>500</v>
      </c>
      <c r="F39" t="s">
        <v>591</v>
      </c>
      <c r="G39" t="s">
        <v>727</v>
      </c>
      <c r="H39" s="38">
        <v>46230</v>
      </c>
      <c r="I39" cm="1">
        <f t="array" ref="I39">IFERROR(INDEX('ALL STUDENTS'!$A:$A, MATCH(1, ('ALL STUDENTS'!$B:$B = B39) * ('ALL STUDENTS'!$C:$C = C39), 0)), "NOT FOUND")</f>
        <v>838</v>
      </c>
      <c r="J39" t="str">
        <f>IF(Table26[[#This Row],[Fee]]&gt;500,Table26[[#This Row],[Fee]],"")</f>
        <v/>
      </c>
    </row>
    <row r="40" spans="1:10" hidden="1">
      <c r="A40">
        <v>39</v>
      </c>
      <c r="B40" t="s">
        <v>558</v>
      </c>
      <c r="C40" t="s">
        <v>556</v>
      </c>
      <c r="D40" t="str">
        <f t="array" ref="D40">TEXT(Table26[[#This Row],[Date]],"MMMM")</f>
        <v>July</v>
      </c>
      <c r="E40">
        <v>500</v>
      </c>
      <c r="F40" t="s">
        <v>589</v>
      </c>
      <c r="G40" t="s">
        <v>728</v>
      </c>
      <c r="H40" s="38">
        <v>46229</v>
      </c>
      <c r="I40" cm="1">
        <f t="array" ref="I40">IFERROR(INDEX('ALL STUDENTS'!$A:$A, MATCH(1, ('ALL STUDENTS'!$B:$B = B40) * ('ALL STUDENTS'!$C:$C = C40), 0)), "NOT FOUND")</f>
        <v>226</v>
      </c>
      <c r="J40" t="str">
        <f>IF(Table26[[#This Row],[Fee]]&gt;500,Table26[[#This Row],[Fee]],"")</f>
        <v/>
      </c>
    </row>
    <row r="41" spans="1:10" hidden="1">
      <c r="A41">
        <v>40</v>
      </c>
      <c r="B41" t="s">
        <v>558</v>
      </c>
      <c r="C41" t="s">
        <v>556</v>
      </c>
      <c r="D41" t="str">
        <f t="array" ref="D41">TEXT(Table26[[#This Row],[Date]],"MMMM")</f>
        <v>July</v>
      </c>
      <c r="E41">
        <v>500</v>
      </c>
      <c r="F41" t="s">
        <v>589</v>
      </c>
      <c r="G41" t="s">
        <v>729</v>
      </c>
      <c r="H41" s="38">
        <v>46229</v>
      </c>
      <c r="I41" cm="1">
        <f t="array" ref="I41">IFERROR(INDEX('ALL STUDENTS'!$A:$A, MATCH(1, ('ALL STUDENTS'!$B:$B = B41) * ('ALL STUDENTS'!$C:$C = C41), 0)), "NOT FOUND")</f>
        <v>226</v>
      </c>
      <c r="J41" t="str">
        <f>IF(Table26[[#This Row],[Fee]]&gt;500,Table26[[#This Row],[Fee]],"")</f>
        <v/>
      </c>
    </row>
    <row r="42" spans="1:10" hidden="1">
      <c r="A42">
        <v>41</v>
      </c>
      <c r="B42" t="s">
        <v>336</v>
      </c>
      <c r="C42" t="s">
        <v>334</v>
      </c>
      <c r="D42" t="str">
        <f t="array" ref="D42">TEXT(Table26[[#This Row],[Date]],"MMMM")</f>
        <v>July</v>
      </c>
      <c r="E42">
        <v>500</v>
      </c>
      <c r="F42" t="s">
        <v>589</v>
      </c>
      <c r="G42" t="s">
        <v>730</v>
      </c>
      <c r="H42" s="38">
        <v>46229</v>
      </c>
      <c r="I42" cm="1">
        <f t="array" ref="I42">IFERROR(INDEX('ALL STUDENTS'!$A:$A, MATCH(1, ('ALL STUDENTS'!$B:$B = B42) * ('ALL STUDENTS'!$C:$C = C42), 0)), "NOT FOUND")</f>
        <v>2478</v>
      </c>
      <c r="J42" t="str">
        <f>IF(Table26[[#This Row],[Fee]]&gt;500,Table26[[#This Row],[Fee]],"")</f>
        <v/>
      </c>
    </row>
    <row r="43" spans="1:10" hidden="1">
      <c r="A43">
        <v>42</v>
      </c>
      <c r="B43" t="s">
        <v>399</v>
      </c>
      <c r="C43" t="s">
        <v>397</v>
      </c>
      <c r="D43" t="str">
        <f t="array" ref="D43">TEXT(Table26[[#This Row],[Date]],"MMMM")</f>
        <v>July</v>
      </c>
      <c r="E43">
        <v>500</v>
      </c>
      <c r="F43" t="s">
        <v>589</v>
      </c>
      <c r="G43" t="s">
        <v>731</v>
      </c>
      <c r="H43" s="38">
        <v>46232</v>
      </c>
      <c r="I43" cm="1">
        <f t="array" ref="I43">IFERROR(INDEX('ALL STUDENTS'!$A:$A, MATCH(1, ('ALL STUDENTS'!$B:$B = B43) * ('ALL STUDENTS'!$C:$C = C43), 0)), "NOT FOUND")</f>
        <v>923</v>
      </c>
      <c r="J43" t="str">
        <f>IF(Table26[[#This Row],[Fee]]&gt;500,Table26[[#This Row],[Fee]],"")</f>
        <v/>
      </c>
    </row>
    <row r="44" spans="1:10" hidden="1">
      <c r="A44">
        <v>43</v>
      </c>
      <c r="B44" t="s">
        <v>399</v>
      </c>
      <c r="C44" t="s">
        <v>397</v>
      </c>
      <c r="D44" t="str">
        <f t="array" ref="D44">TEXT(Table26[[#This Row],[Date]],"MMMM")</f>
        <v>July</v>
      </c>
      <c r="E44">
        <v>500</v>
      </c>
      <c r="F44" t="s">
        <v>589</v>
      </c>
      <c r="G44" t="s">
        <v>732</v>
      </c>
      <c r="H44" s="38">
        <v>46232</v>
      </c>
      <c r="I44" cm="1">
        <f t="array" ref="I44">IFERROR(INDEX('ALL STUDENTS'!$A:$A, MATCH(1, ('ALL STUDENTS'!$B:$B = B44) * ('ALL STUDENTS'!$C:$C = C44), 0)), "NOT FOUND")</f>
        <v>923</v>
      </c>
      <c r="J44" t="str">
        <f>IF(Table26[[#This Row],[Fee]]&gt;500,Table26[[#This Row],[Fee]],"")</f>
        <v/>
      </c>
    </row>
    <row r="45" spans="1:10" hidden="1">
      <c r="A45">
        <v>44</v>
      </c>
      <c r="B45" t="s">
        <v>399</v>
      </c>
      <c r="C45" t="s">
        <v>397</v>
      </c>
      <c r="D45" t="str">
        <f t="array" ref="D45">TEXT(Table26[[#This Row],[Date]],"MMMM")</f>
        <v>July</v>
      </c>
      <c r="E45">
        <v>500</v>
      </c>
      <c r="F45" t="s">
        <v>589</v>
      </c>
      <c r="G45" t="s">
        <v>733</v>
      </c>
      <c r="H45" s="38">
        <v>46232</v>
      </c>
      <c r="I45" cm="1">
        <f t="array" ref="I45">IFERROR(INDEX('ALL STUDENTS'!$A:$A, MATCH(1, ('ALL STUDENTS'!$B:$B = B45) * ('ALL STUDENTS'!$C:$C = C45), 0)), "NOT FOUND")</f>
        <v>923</v>
      </c>
      <c r="J45" t="str">
        <f>IF(Table26[[#This Row],[Fee]]&gt;500,Table26[[#This Row],[Fee]],"")</f>
        <v/>
      </c>
    </row>
    <row r="46" spans="1:10" hidden="1">
      <c r="A46">
        <v>45</v>
      </c>
      <c r="B46" t="s">
        <v>160</v>
      </c>
      <c r="C46" t="s">
        <v>159</v>
      </c>
      <c r="D46" t="str">
        <f t="array" ref="D46">TEXT(Table26[[#This Row],[Date]],"MMMM")</f>
        <v>July</v>
      </c>
      <c r="E46">
        <v>500</v>
      </c>
      <c r="F46" t="s">
        <v>589</v>
      </c>
      <c r="G46" t="s">
        <v>734</v>
      </c>
      <c r="H46" s="38">
        <v>46232</v>
      </c>
      <c r="I46" cm="1">
        <f t="array" ref="I46">IFERROR(INDEX('ALL STUDENTS'!$A:$A, MATCH(1, ('ALL STUDENTS'!$B:$B = B46) * ('ALL STUDENTS'!$C:$C = C46), 0)), "NOT FOUND")</f>
        <v>2658</v>
      </c>
      <c r="J46" t="str">
        <f>IF(Table26[[#This Row],[Fee]]&gt;500,Table26[[#This Row],[Fee]],"")</f>
        <v/>
      </c>
    </row>
    <row r="47" spans="1:10" hidden="1">
      <c r="A47">
        <v>46</v>
      </c>
      <c r="B47" t="s">
        <v>160</v>
      </c>
      <c r="C47" t="s">
        <v>159</v>
      </c>
      <c r="D47" t="str">
        <f t="array" ref="D47">TEXT(Table26[[#This Row],[Date]],"MMMM")</f>
        <v>July</v>
      </c>
      <c r="E47">
        <v>500</v>
      </c>
      <c r="F47" t="s">
        <v>589</v>
      </c>
      <c r="G47" t="s">
        <v>735</v>
      </c>
      <c r="H47" s="38">
        <v>46232</v>
      </c>
      <c r="I47" cm="1">
        <f t="array" ref="I47">IFERROR(INDEX('ALL STUDENTS'!$A:$A, MATCH(1, ('ALL STUDENTS'!$B:$B = B47) * ('ALL STUDENTS'!$C:$C = C47), 0)), "NOT FOUND")</f>
        <v>2658</v>
      </c>
      <c r="J47" t="str">
        <f>IF(Table26[[#This Row],[Fee]]&gt;500,Table26[[#This Row],[Fee]],"")</f>
        <v/>
      </c>
    </row>
    <row r="48" spans="1:10" hidden="1">
      <c r="A48">
        <v>47</v>
      </c>
      <c r="B48" t="s">
        <v>160</v>
      </c>
      <c r="C48" t="s">
        <v>159</v>
      </c>
      <c r="D48" t="str">
        <f t="array" ref="D48">TEXT(Table26[[#This Row],[Date]],"MMMM")</f>
        <v>July</v>
      </c>
      <c r="E48">
        <v>500</v>
      </c>
      <c r="F48" t="s">
        <v>589</v>
      </c>
      <c r="G48" t="s">
        <v>736</v>
      </c>
      <c r="H48" s="38">
        <v>46232</v>
      </c>
      <c r="I48" cm="1">
        <f t="array" ref="I48">IFERROR(INDEX('ALL STUDENTS'!$A:$A, MATCH(1, ('ALL STUDENTS'!$B:$B = B48) * ('ALL STUDENTS'!$C:$C = C48), 0)), "NOT FOUND")</f>
        <v>2658</v>
      </c>
      <c r="J48" t="str">
        <f>IF(Table26[[#This Row],[Fee]]&gt;500,Table26[[#This Row],[Fee]],"")</f>
        <v/>
      </c>
    </row>
    <row r="49" spans="1:10" hidden="1">
      <c r="A49">
        <v>48</v>
      </c>
      <c r="B49" t="s">
        <v>501</v>
      </c>
      <c r="C49" t="s">
        <v>499</v>
      </c>
      <c r="D49" t="str">
        <f t="array" ref="D49">TEXT(Table26[[#This Row],[Date]],"MMMM")</f>
        <v>July</v>
      </c>
      <c r="E49">
        <v>500</v>
      </c>
      <c r="F49" t="s">
        <v>589</v>
      </c>
      <c r="G49" t="s">
        <v>737</v>
      </c>
      <c r="H49" s="38">
        <v>46232</v>
      </c>
      <c r="I49" cm="1">
        <f t="array" ref="I49">IFERROR(INDEX('ALL STUDENTS'!$A:$A, MATCH(1, ('ALL STUDENTS'!$B:$B = B49) * ('ALL STUDENTS'!$C:$C = C49), 0)), "NOT FOUND")</f>
        <v>436</v>
      </c>
      <c r="J49" t="str">
        <f>IF(Table26[[#This Row],[Fee]]&gt;500,Table26[[#This Row],[Fee]],"")</f>
        <v/>
      </c>
    </row>
    <row r="50" spans="1:10" hidden="1">
      <c r="A50">
        <v>49</v>
      </c>
      <c r="B50" t="s">
        <v>501</v>
      </c>
      <c r="C50" t="s">
        <v>499</v>
      </c>
      <c r="D50" t="str">
        <f t="array" ref="D50">TEXT(Table26[[#This Row],[Date]],"MMMM")</f>
        <v>July</v>
      </c>
      <c r="E50">
        <v>500</v>
      </c>
      <c r="F50" t="s">
        <v>589</v>
      </c>
      <c r="G50" t="s">
        <v>738</v>
      </c>
      <c r="H50" s="38">
        <v>46232</v>
      </c>
      <c r="I50" cm="1">
        <f t="array" ref="I50">IFERROR(INDEX('ALL STUDENTS'!$A:$A, MATCH(1, ('ALL STUDENTS'!$B:$B = B50) * ('ALL STUDENTS'!$C:$C = C50), 0)), "NOT FOUND")</f>
        <v>436</v>
      </c>
      <c r="J50" t="str">
        <f>IF(Table26[[#This Row],[Fee]]&gt;500,Table26[[#This Row],[Fee]],"")</f>
        <v/>
      </c>
    </row>
    <row r="51" spans="1:10" hidden="1">
      <c r="A51">
        <v>50</v>
      </c>
      <c r="B51" t="s">
        <v>501</v>
      </c>
      <c r="C51" t="s">
        <v>499</v>
      </c>
      <c r="D51" t="str">
        <f t="array" ref="D51">TEXT(Table26[[#This Row],[Date]],"MMMM")</f>
        <v>July</v>
      </c>
      <c r="E51">
        <v>500</v>
      </c>
      <c r="F51" t="s">
        <v>589</v>
      </c>
      <c r="G51" t="s">
        <v>739</v>
      </c>
      <c r="H51" s="38">
        <v>46232</v>
      </c>
      <c r="I51" cm="1">
        <f t="array" ref="I51">IFERROR(INDEX('ALL STUDENTS'!$A:$A, MATCH(1, ('ALL STUDENTS'!$B:$B = B51) * ('ALL STUDENTS'!$C:$C = C51), 0)), "NOT FOUND")</f>
        <v>436</v>
      </c>
      <c r="J51" t="str">
        <f>IF(Table26[[#This Row],[Fee]]&gt;500,Table26[[#This Row],[Fee]],"")</f>
        <v/>
      </c>
    </row>
    <row r="52" spans="1:10" hidden="1">
      <c r="A52">
        <v>51</v>
      </c>
      <c r="B52" t="s">
        <v>437</v>
      </c>
      <c r="C52" t="s">
        <v>436</v>
      </c>
      <c r="D52" t="str">
        <f t="array" ref="D52">TEXT(Table26[[#This Row],[Date]],"MMMM")</f>
        <v>July</v>
      </c>
      <c r="E52">
        <v>500</v>
      </c>
      <c r="F52" t="s">
        <v>589</v>
      </c>
      <c r="G52" t="s">
        <v>740</v>
      </c>
      <c r="H52" s="38">
        <v>46232</v>
      </c>
      <c r="I52" cm="1">
        <f t="array" ref="I52">IFERROR(INDEX('ALL STUDENTS'!$A:$A, MATCH(1, ('ALL STUDENTS'!$B:$B = B52) * ('ALL STUDENTS'!$C:$C = C52), 0)), "NOT FOUND")</f>
        <v>607</v>
      </c>
      <c r="J52" t="str">
        <f>IF(Table26[[#This Row],[Fee]]&gt;500,Table26[[#This Row],[Fee]],"")</f>
        <v/>
      </c>
    </row>
    <row r="53" spans="1:10" hidden="1">
      <c r="A53">
        <v>52</v>
      </c>
      <c r="B53" t="s">
        <v>186</v>
      </c>
      <c r="C53" t="s">
        <v>185</v>
      </c>
      <c r="D53" t="str">
        <f t="array" ref="D53">TEXT(Table26[[#This Row],[Date]],"MMMM")</f>
        <v>July</v>
      </c>
      <c r="E53">
        <v>500</v>
      </c>
      <c r="F53" t="s">
        <v>589</v>
      </c>
      <c r="G53" t="s">
        <v>741</v>
      </c>
      <c r="H53" s="38">
        <v>46232</v>
      </c>
      <c r="I53" cm="1">
        <f t="array" ref="I53">IFERROR(INDEX('ALL STUDENTS'!$A:$A, MATCH(1, ('ALL STUDENTS'!$B:$B = B53) * ('ALL STUDENTS'!$C:$C = C53), 0)), "NOT FOUND")</f>
        <v>1824</v>
      </c>
      <c r="J53" t="str">
        <f>IF(Table26[[#This Row],[Fee]]&gt;500,Table26[[#This Row],[Fee]],"")</f>
        <v/>
      </c>
    </row>
    <row r="54" spans="1:10" hidden="1">
      <c r="A54">
        <v>53</v>
      </c>
      <c r="B54" t="s">
        <v>88</v>
      </c>
      <c r="C54" t="s">
        <v>87</v>
      </c>
      <c r="D54" t="str">
        <f t="array" ref="D54">TEXT(Table26[[#This Row],[Date]],"MMMM")</f>
        <v>July</v>
      </c>
      <c r="E54">
        <v>500</v>
      </c>
      <c r="F54" t="s">
        <v>589</v>
      </c>
      <c r="G54" t="s">
        <v>742</v>
      </c>
      <c r="H54" s="38">
        <v>46232</v>
      </c>
      <c r="I54" cm="1">
        <f t="array" ref="I54">IFERROR(INDEX('ALL STUDENTS'!$A:$A, MATCH(1, ('ALL STUDENTS'!$B:$B = B54) * ('ALL STUDENTS'!$C:$C = C54), 0)), "NOT FOUND")</f>
        <v>1592</v>
      </c>
      <c r="J54" t="str">
        <f>IF(Table26[[#This Row],[Fee]]&gt;500,Table26[[#This Row],[Fee]],"")</f>
        <v/>
      </c>
    </row>
    <row r="55" spans="1:10" hidden="1">
      <c r="A55">
        <v>54</v>
      </c>
      <c r="B55" t="s">
        <v>3256</v>
      </c>
      <c r="C55" t="s">
        <v>252</v>
      </c>
      <c r="D55" t="str">
        <f t="array" ref="D55">TEXT(Table26[[#This Row],[Date]],"MMMM")</f>
        <v>July</v>
      </c>
      <c r="E55">
        <v>500</v>
      </c>
      <c r="F55" t="s">
        <v>589</v>
      </c>
      <c r="G55" t="s">
        <v>743</v>
      </c>
      <c r="H55" s="38">
        <v>46233</v>
      </c>
      <c r="I55" cm="1">
        <f t="array" ref="I55">IFERROR(INDEX('ALL STUDENTS'!$A:$A, MATCH(1, ('ALL STUDENTS'!$B:$B = B55) * ('ALL STUDENTS'!$C:$C = C55), 0)), "NOT FOUND")</f>
        <v>2125</v>
      </c>
      <c r="J55" t="str">
        <f>IF(Table26[[#This Row],[Fee]]&gt;500,Table26[[#This Row],[Fee]],"")</f>
        <v/>
      </c>
    </row>
    <row r="56" spans="1:10" hidden="1">
      <c r="A56">
        <v>55</v>
      </c>
      <c r="B56" t="s">
        <v>387</v>
      </c>
      <c r="C56" t="s">
        <v>386</v>
      </c>
      <c r="D56" t="str">
        <f t="array" ref="D56">TEXT(Table26[[#This Row],[Date]],"MMMM")</f>
        <v>July</v>
      </c>
      <c r="E56">
        <v>500</v>
      </c>
      <c r="F56" t="s">
        <v>589</v>
      </c>
      <c r="G56" t="s">
        <v>744</v>
      </c>
      <c r="H56" s="38">
        <v>46233</v>
      </c>
      <c r="I56" cm="1">
        <f t="array" ref="I56">IFERROR(INDEX('ALL STUDENTS'!$A:$A, MATCH(1, ('ALL STUDENTS'!$B:$B = B56) * ('ALL STUDENTS'!$C:$C = C56), 0)), "NOT FOUND")</f>
        <v>888</v>
      </c>
      <c r="J56" t="str">
        <f>IF(Table26[[#This Row],[Fee]]&gt;500,Table26[[#This Row],[Fee]],"")</f>
        <v/>
      </c>
    </row>
    <row r="57" spans="1:10" hidden="1">
      <c r="A57">
        <v>56</v>
      </c>
      <c r="B57" t="s">
        <v>528</v>
      </c>
      <c r="C57" t="s">
        <v>526</v>
      </c>
      <c r="D57" t="str">
        <f t="array" ref="D57">TEXT(Table26[[#This Row],[Date]],"MMMM")</f>
        <v>July</v>
      </c>
      <c r="E57">
        <v>500</v>
      </c>
      <c r="F57" t="s">
        <v>589</v>
      </c>
      <c r="G57" t="s">
        <v>745</v>
      </c>
      <c r="H57" s="38">
        <v>46233</v>
      </c>
      <c r="I57" cm="1">
        <f t="array" ref="I57">IFERROR(INDEX('ALL STUDENTS'!$A:$A, MATCH(1, ('ALL STUDENTS'!$B:$B = B57) * ('ALL STUDENTS'!$C:$C = C57), 0)), "NOT FOUND")</f>
        <v>102</v>
      </c>
      <c r="J57" t="str">
        <f>IF(Table26[[#This Row],[Fee]]&gt;500,Table26[[#This Row],[Fee]],"")</f>
        <v/>
      </c>
    </row>
    <row r="58" spans="1:10" hidden="1">
      <c r="A58">
        <v>57</v>
      </c>
      <c r="B58" t="s">
        <v>388</v>
      </c>
      <c r="C58" t="s">
        <v>386</v>
      </c>
      <c r="D58" t="str">
        <f t="array" ref="D58">TEXT(Table26[[#This Row],[Date]],"MMMM")</f>
        <v>July</v>
      </c>
      <c r="E58">
        <v>500</v>
      </c>
      <c r="F58" t="s">
        <v>589</v>
      </c>
      <c r="G58" t="s">
        <v>746</v>
      </c>
      <c r="H58" s="38">
        <v>46233</v>
      </c>
      <c r="I58" cm="1">
        <f t="array" ref="I58">IFERROR(INDEX('ALL STUDENTS'!$A:$A, MATCH(1, ('ALL STUDENTS'!$B:$B = B58) * ('ALL STUDENTS'!$C:$C = C58), 0)), "NOT FOUND")</f>
        <v>894</v>
      </c>
      <c r="J58" t="str">
        <f>IF(Table26[[#This Row],[Fee]]&gt;500,Table26[[#This Row],[Fee]],"")</f>
        <v/>
      </c>
    </row>
    <row r="59" spans="1:10" hidden="1">
      <c r="A59">
        <v>58</v>
      </c>
      <c r="B59" t="s">
        <v>3938</v>
      </c>
      <c r="C59" t="s">
        <v>538</v>
      </c>
      <c r="D59" t="str">
        <f t="array" ref="D59">TEXT(Table26[[#This Row],[Date]],"MMMM")</f>
        <v>July</v>
      </c>
      <c r="E59">
        <v>500</v>
      </c>
      <c r="F59" t="s">
        <v>589</v>
      </c>
      <c r="G59" t="s">
        <v>747</v>
      </c>
      <c r="H59" s="38">
        <v>46233</v>
      </c>
      <c r="I59" cm="1">
        <f t="array" ref="I59">IFERROR(INDEX('ALL STUDENTS'!$A:$A, MATCH(1, ('ALL STUDENTS'!$B:$B = B59) * ('ALL STUDENTS'!$C:$C = C59), 0)), "NOT FOUND")</f>
        <v>16</v>
      </c>
      <c r="J59" t="str">
        <f>IF(Table26[[#This Row],[Fee]]&gt;500,Table26[[#This Row],[Fee]],"")</f>
        <v/>
      </c>
    </row>
    <row r="60" spans="1:10" hidden="1">
      <c r="A60">
        <v>59</v>
      </c>
      <c r="B60" t="s">
        <v>254</v>
      </c>
      <c r="C60" t="s">
        <v>252</v>
      </c>
      <c r="D60" t="str">
        <f t="array" ref="D60">TEXT(Table26[[#This Row],[Date]],"MMMM")</f>
        <v>July</v>
      </c>
      <c r="E60">
        <v>500</v>
      </c>
      <c r="F60" t="s">
        <v>589</v>
      </c>
      <c r="G60" t="s">
        <v>748</v>
      </c>
      <c r="H60" s="38">
        <v>46233</v>
      </c>
      <c r="I60" cm="1">
        <f t="array" ref="I60">IFERROR(INDEX('ALL STUDENTS'!$A:$A, MATCH(1, ('ALL STUDENTS'!$B:$B = B60) * ('ALL STUDENTS'!$C:$C = C60), 0)), "NOT FOUND")</f>
        <v>2134</v>
      </c>
      <c r="J60" t="str">
        <f>IF(Table26[[#This Row],[Fee]]&gt;500,Table26[[#This Row],[Fee]],"")</f>
        <v/>
      </c>
    </row>
    <row r="61" spans="1:10" hidden="1">
      <c r="A61">
        <v>60</v>
      </c>
      <c r="B61" t="s">
        <v>455</v>
      </c>
      <c r="C61" t="s">
        <v>453</v>
      </c>
      <c r="D61" t="str">
        <f t="array" ref="D61">TEXT(Table26[[#This Row],[Date]],"MMMM")</f>
        <v>July</v>
      </c>
      <c r="E61">
        <v>500</v>
      </c>
      <c r="F61" t="s">
        <v>592</v>
      </c>
      <c r="G61" t="s">
        <v>749</v>
      </c>
      <c r="H61" s="38">
        <v>46232</v>
      </c>
      <c r="I61" cm="1">
        <f t="array" ref="I61">IFERROR(INDEX('ALL STUDENTS'!$A:$A, MATCH(1, ('ALL STUDENTS'!$B:$B = B61) * ('ALL STUDENTS'!$C:$C = C61), 0)), "NOT FOUND")</f>
        <v>718</v>
      </c>
      <c r="J61" t="str">
        <f>IF(Table26[[#This Row],[Fee]]&gt;500,Table26[[#This Row],[Fee]],"")</f>
        <v/>
      </c>
    </row>
    <row r="62" spans="1:10" hidden="1">
      <c r="A62">
        <v>61</v>
      </c>
      <c r="B62" t="s">
        <v>455</v>
      </c>
      <c r="C62" t="s">
        <v>453</v>
      </c>
      <c r="D62" t="str">
        <f t="array" ref="D62">TEXT(Table26[[#This Row],[Date]],"MMMM")</f>
        <v>July</v>
      </c>
      <c r="E62">
        <v>500</v>
      </c>
      <c r="F62" t="s">
        <v>592</v>
      </c>
      <c r="G62" t="s">
        <v>750</v>
      </c>
      <c r="H62" s="38">
        <v>46232</v>
      </c>
      <c r="I62" cm="1">
        <f t="array" ref="I62">IFERROR(INDEX('ALL STUDENTS'!$A:$A, MATCH(1, ('ALL STUDENTS'!$B:$B = B62) * ('ALL STUDENTS'!$C:$C = C62), 0)), "NOT FOUND")</f>
        <v>718</v>
      </c>
      <c r="J62" t="str">
        <f>IF(Table26[[#This Row],[Fee]]&gt;500,Table26[[#This Row],[Fee]],"")</f>
        <v/>
      </c>
    </row>
    <row r="63" spans="1:10" hidden="1">
      <c r="A63">
        <v>62</v>
      </c>
      <c r="B63" t="s">
        <v>455</v>
      </c>
      <c r="C63" t="s">
        <v>453</v>
      </c>
      <c r="D63" t="str">
        <f t="array" ref="D63">TEXT(Table26[[#This Row],[Date]],"MMMM")</f>
        <v>July</v>
      </c>
      <c r="E63">
        <v>500</v>
      </c>
      <c r="F63" t="s">
        <v>592</v>
      </c>
      <c r="G63" t="s">
        <v>751</v>
      </c>
      <c r="H63" s="38">
        <v>46232</v>
      </c>
      <c r="I63" cm="1">
        <f t="array" ref="I63">IFERROR(INDEX('ALL STUDENTS'!$A:$A, MATCH(1, ('ALL STUDENTS'!$B:$B = B63) * ('ALL STUDENTS'!$C:$C = C63), 0)), "NOT FOUND")</f>
        <v>718</v>
      </c>
      <c r="J63" t="str">
        <f>IF(Table26[[#This Row],[Fee]]&gt;500,Table26[[#This Row],[Fee]],"")</f>
        <v/>
      </c>
    </row>
    <row r="64" spans="1:10" hidden="1">
      <c r="A64">
        <v>63</v>
      </c>
      <c r="B64" t="s">
        <v>540</v>
      </c>
      <c r="C64" t="s">
        <v>538</v>
      </c>
      <c r="D64" t="str">
        <f t="array" ref="D64">TEXT(Table26[[#This Row],[Date]],"MMMM")</f>
        <v>July</v>
      </c>
      <c r="E64">
        <v>500</v>
      </c>
      <c r="F64" t="s">
        <v>589</v>
      </c>
      <c r="G64" t="s">
        <v>752</v>
      </c>
      <c r="H64" s="38">
        <v>46233</v>
      </c>
      <c r="I64" cm="1">
        <f t="array" ref="I64">IFERROR(INDEX('ALL STUDENTS'!$A:$A, MATCH(1, ('ALL STUDENTS'!$B:$B = B64) * ('ALL STUDENTS'!$C:$C = C64), 0)), "NOT FOUND")</f>
        <v>11</v>
      </c>
      <c r="J64" t="str">
        <f>IF(Table26[[#This Row],[Fee]]&gt;500,Table26[[#This Row],[Fee]],"")</f>
        <v/>
      </c>
    </row>
    <row r="65" spans="1:10" hidden="1">
      <c r="A65">
        <v>64</v>
      </c>
      <c r="B65" t="s">
        <v>287</v>
      </c>
      <c r="C65" t="s">
        <v>286</v>
      </c>
      <c r="D65" t="str">
        <f t="array" ref="D65">TEXT(Table26[[#This Row],[Date]],"MMMM")</f>
        <v>July</v>
      </c>
      <c r="E65">
        <v>500</v>
      </c>
      <c r="F65" t="s">
        <v>589</v>
      </c>
      <c r="G65" t="s">
        <v>753</v>
      </c>
      <c r="H65" s="38">
        <v>46233</v>
      </c>
      <c r="I65" cm="1">
        <f t="array" ref="I65">IFERROR(INDEX('ALL STUDENTS'!$A:$A, MATCH(1, ('ALL STUDENTS'!$B:$B = B65) * ('ALL STUDENTS'!$C:$C = C65), 0)), "NOT FOUND")</f>
        <v>2239</v>
      </c>
      <c r="J65" t="str">
        <f>IF(Table26[[#This Row],[Fee]]&gt;500,Table26[[#This Row],[Fee]],"")</f>
        <v/>
      </c>
    </row>
    <row r="66" spans="1:10" hidden="1">
      <c r="A66">
        <v>65</v>
      </c>
      <c r="B66" t="s">
        <v>255</v>
      </c>
      <c r="C66" t="s">
        <v>252</v>
      </c>
      <c r="D66" t="str">
        <f t="array" ref="D66">TEXT(Table26[[#This Row],[Date]],"MMMM")</f>
        <v>July</v>
      </c>
      <c r="E66">
        <v>500</v>
      </c>
      <c r="F66" t="s">
        <v>589</v>
      </c>
      <c r="G66" t="s">
        <v>754</v>
      </c>
      <c r="H66" s="38">
        <v>46233</v>
      </c>
      <c r="I66" cm="1">
        <f t="array" ref="I66">IFERROR(INDEX('ALL STUDENTS'!$A:$A, MATCH(1, ('ALL STUDENTS'!$B:$B = B66) * ('ALL STUDENTS'!$C:$C = C66), 0)), "NOT FOUND")</f>
        <v>2142</v>
      </c>
      <c r="J66" t="str">
        <f>IF(Table26[[#This Row],[Fee]]&gt;500,Table26[[#This Row],[Fee]],"")</f>
        <v/>
      </c>
    </row>
    <row r="67" spans="1:10" hidden="1">
      <c r="A67">
        <v>66</v>
      </c>
      <c r="B67" t="s">
        <v>456</v>
      </c>
      <c r="C67" t="s">
        <v>453</v>
      </c>
      <c r="D67" t="str">
        <f t="array" ref="D67">TEXT(Table26[[#This Row],[Date]],"MMMM")</f>
        <v>July</v>
      </c>
      <c r="E67">
        <v>500</v>
      </c>
      <c r="F67" t="s">
        <v>592</v>
      </c>
      <c r="G67" t="s">
        <v>755</v>
      </c>
      <c r="H67" s="38">
        <v>46233</v>
      </c>
      <c r="I67" cm="1">
        <f t="array" ref="I67">IFERROR(INDEX('ALL STUDENTS'!$A:$A, MATCH(1, ('ALL STUDENTS'!$B:$B = B67) * ('ALL STUDENTS'!$C:$C = C67), 0)), "NOT FOUND")</f>
        <v>708</v>
      </c>
      <c r="J67" t="str">
        <f>IF(Table26[[#This Row],[Fee]]&gt;500,Table26[[#This Row],[Fee]],"")</f>
        <v/>
      </c>
    </row>
    <row r="68" spans="1:10" hidden="1">
      <c r="A68">
        <v>67</v>
      </c>
      <c r="B68" t="s">
        <v>456</v>
      </c>
      <c r="C68" t="s">
        <v>453</v>
      </c>
      <c r="D68" t="str">
        <f t="array" ref="D68">TEXT(Table26[[#This Row],[Date]],"MMMM")</f>
        <v>July</v>
      </c>
      <c r="E68">
        <v>500</v>
      </c>
      <c r="F68" t="s">
        <v>592</v>
      </c>
      <c r="G68" t="s">
        <v>756</v>
      </c>
      <c r="H68" s="38">
        <v>46233</v>
      </c>
      <c r="I68" cm="1">
        <f t="array" ref="I68">IFERROR(INDEX('ALL STUDENTS'!$A:$A, MATCH(1, ('ALL STUDENTS'!$B:$B = B68) * ('ALL STUDENTS'!$C:$C = C68), 0)), "NOT FOUND")</f>
        <v>708</v>
      </c>
      <c r="J68" t="str">
        <f>IF(Table26[[#This Row],[Fee]]&gt;500,Table26[[#This Row],[Fee]],"")</f>
        <v/>
      </c>
    </row>
    <row r="69" spans="1:10" hidden="1">
      <c r="A69">
        <v>68</v>
      </c>
      <c r="B69" t="s">
        <v>456</v>
      </c>
      <c r="C69" t="s">
        <v>453</v>
      </c>
      <c r="D69" t="str">
        <f t="array" ref="D69">TEXT(Table26[[#This Row],[Date]],"MMMM")</f>
        <v>July</v>
      </c>
      <c r="E69">
        <v>500</v>
      </c>
      <c r="F69" t="s">
        <v>592</v>
      </c>
      <c r="G69" t="s">
        <v>757</v>
      </c>
      <c r="H69" s="38">
        <v>46233</v>
      </c>
      <c r="I69" cm="1">
        <f t="array" ref="I69">IFERROR(INDEX('ALL STUDENTS'!$A:$A, MATCH(1, ('ALL STUDENTS'!$B:$B = B69) * ('ALL STUDENTS'!$C:$C = C69), 0)), "NOT FOUND")</f>
        <v>708</v>
      </c>
      <c r="J69" t="str">
        <f>IF(Table26[[#This Row],[Fee]]&gt;500,Table26[[#This Row],[Fee]],"")</f>
        <v/>
      </c>
    </row>
    <row r="70" spans="1:10" hidden="1">
      <c r="A70">
        <v>69</v>
      </c>
      <c r="B70" t="s">
        <v>139</v>
      </c>
      <c r="C70" t="s">
        <v>138</v>
      </c>
      <c r="D70" t="str">
        <f t="array" ref="D70">TEXT(Table26[[#This Row],[Date]],"MMMM")</f>
        <v>July</v>
      </c>
      <c r="E70">
        <v>500</v>
      </c>
      <c r="F70" t="s">
        <v>589</v>
      </c>
      <c r="G70" t="s">
        <v>758</v>
      </c>
      <c r="H70" s="38">
        <v>46233</v>
      </c>
      <c r="I70" cm="1">
        <f t="array" ref="I70">IFERROR(INDEX('ALL STUDENTS'!$A:$A, MATCH(1, ('ALL STUDENTS'!$B:$B = B70) * ('ALL STUDENTS'!$C:$C = C70), 0)), "NOT FOUND")</f>
        <v>1746</v>
      </c>
      <c r="J70" t="str">
        <f>IF(Table26[[#This Row],[Fee]]&gt;500,Table26[[#This Row],[Fee]],"")</f>
        <v/>
      </c>
    </row>
    <row r="71" spans="1:10" hidden="1">
      <c r="A71">
        <v>70</v>
      </c>
      <c r="B71" t="s">
        <v>139</v>
      </c>
      <c r="C71" t="s">
        <v>138</v>
      </c>
      <c r="D71" t="str">
        <f t="array" ref="D71">TEXT(Table26[[#This Row],[Date]],"MMMM")</f>
        <v>July</v>
      </c>
      <c r="E71">
        <v>500</v>
      </c>
      <c r="F71" t="s">
        <v>589</v>
      </c>
      <c r="G71" t="s">
        <v>759</v>
      </c>
      <c r="H71" s="38">
        <v>46233</v>
      </c>
      <c r="I71" cm="1">
        <f t="array" ref="I71">IFERROR(INDEX('ALL STUDENTS'!$A:$A, MATCH(1, ('ALL STUDENTS'!$B:$B = B71) * ('ALL STUDENTS'!$C:$C = C71), 0)), "NOT FOUND")</f>
        <v>1746</v>
      </c>
      <c r="J71" t="str">
        <f>IF(Table26[[#This Row],[Fee]]&gt;500,Table26[[#This Row],[Fee]],"")</f>
        <v/>
      </c>
    </row>
    <row r="72" spans="1:10" hidden="1">
      <c r="A72">
        <v>71</v>
      </c>
      <c r="B72" t="s">
        <v>139</v>
      </c>
      <c r="C72" t="s">
        <v>138</v>
      </c>
      <c r="D72" t="str">
        <f t="array" ref="D72">TEXT(Table26[[#This Row],[Date]],"MMMM")</f>
        <v>July</v>
      </c>
      <c r="E72">
        <v>500</v>
      </c>
      <c r="F72" t="s">
        <v>589</v>
      </c>
      <c r="G72" t="s">
        <v>760</v>
      </c>
      <c r="H72" s="38">
        <v>46233</v>
      </c>
      <c r="I72" cm="1">
        <f t="array" ref="I72">IFERROR(INDEX('ALL STUDENTS'!$A:$A, MATCH(1, ('ALL STUDENTS'!$B:$B = B72) * ('ALL STUDENTS'!$C:$C = C72), 0)), "NOT FOUND")</f>
        <v>1746</v>
      </c>
      <c r="J72" t="str">
        <f>IF(Table26[[#This Row],[Fee]]&gt;500,Table26[[#This Row],[Fee]],"")</f>
        <v/>
      </c>
    </row>
    <row r="73" spans="1:10" hidden="1">
      <c r="A73">
        <v>72</v>
      </c>
      <c r="B73" t="s">
        <v>481</v>
      </c>
      <c r="C73" t="s">
        <v>480</v>
      </c>
      <c r="D73" t="str">
        <f t="array" ref="D73">TEXT(Table26[[#This Row],[Date]],"MMMM")</f>
        <v>July</v>
      </c>
      <c r="E73">
        <v>500</v>
      </c>
      <c r="F73" t="s">
        <v>589</v>
      </c>
      <c r="G73" t="s">
        <v>761</v>
      </c>
      <c r="H73" s="38">
        <v>46229</v>
      </c>
      <c r="I73" cm="1">
        <f t="array" ref="I73">IFERROR(INDEX('ALL STUDENTS'!$A:$A, MATCH(1, ('ALL STUDENTS'!$B:$B = B73) * ('ALL STUDENTS'!$C:$C = C73), 0)), "NOT FOUND")</f>
        <v>288</v>
      </c>
      <c r="J73" t="str">
        <f>IF(Table26[[#This Row],[Fee]]&gt;500,Table26[[#This Row],[Fee]],"")</f>
        <v/>
      </c>
    </row>
    <row r="74" spans="1:10" hidden="1">
      <c r="A74">
        <v>73</v>
      </c>
      <c r="B74" t="s">
        <v>89</v>
      </c>
      <c r="C74" t="s">
        <v>87</v>
      </c>
      <c r="D74" t="str">
        <f t="array" ref="D74">TEXT(Table26[[#This Row],[Date]],"MMMM")</f>
        <v>July</v>
      </c>
      <c r="E74">
        <v>500</v>
      </c>
      <c r="F74" t="s">
        <v>589</v>
      </c>
      <c r="G74" t="s">
        <v>762</v>
      </c>
      <c r="H74" s="38">
        <v>46234</v>
      </c>
      <c r="I74" cm="1">
        <f t="array" ref="I74">IFERROR(INDEX('ALL STUDENTS'!$A:$A, MATCH(1, ('ALL STUDENTS'!$B:$B = B74) * ('ALL STUDENTS'!$C:$C = C74), 0)), "NOT FOUND")</f>
        <v>1567</v>
      </c>
      <c r="J74" t="str">
        <f>IF(Table26[[#This Row],[Fee]]&gt;500,Table26[[#This Row],[Fee]],"")</f>
        <v/>
      </c>
    </row>
    <row r="75" spans="1:10" hidden="1">
      <c r="A75">
        <v>74</v>
      </c>
      <c r="B75" t="s">
        <v>89</v>
      </c>
      <c r="C75" t="s">
        <v>87</v>
      </c>
      <c r="D75" t="str">
        <f t="array" ref="D75">TEXT(Table26[[#This Row],[Date]],"MMMM")</f>
        <v>July</v>
      </c>
      <c r="E75">
        <v>500</v>
      </c>
      <c r="F75" t="s">
        <v>589</v>
      </c>
      <c r="G75" t="s">
        <v>763</v>
      </c>
      <c r="H75" s="38">
        <v>46234</v>
      </c>
      <c r="I75" cm="1">
        <f t="array" ref="I75">IFERROR(INDEX('ALL STUDENTS'!$A:$A, MATCH(1, ('ALL STUDENTS'!$B:$B = B75) * ('ALL STUDENTS'!$C:$C = C75), 0)), "NOT FOUND")</f>
        <v>1567</v>
      </c>
      <c r="J75" t="str">
        <f>IF(Table26[[#This Row],[Fee]]&gt;500,Table26[[#This Row],[Fee]],"")</f>
        <v/>
      </c>
    </row>
    <row r="76" spans="1:10" hidden="1">
      <c r="A76">
        <v>75</v>
      </c>
      <c r="B76" t="s">
        <v>89</v>
      </c>
      <c r="C76" t="s">
        <v>87</v>
      </c>
      <c r="D76" t="str">
        <f t="array" ref="D76">TEXT(Table26[[#This Row],[Date]],"MMMM")</f>
        <v>July</v>
      </c>
      <c r="E76">
        <v>500</v>
      </c>
      <c r="F76" t="s">
        <v>589</v>
      </c>
      <c r="G76" t="s">
        <v>764</v>
      </c>
      <c r="H76" s="38">
        <v>46234</v>
      </c>
      <c r="I76" cm="1">
        <f t="array" ref="I76">IFERROR(INDEX('ALL STUDENTS'!$A:$A, MATCH(1, ('ALL STUDENTS'!$B:$B = B76) * ('ALL STUDENTS'!$C:$C = C76), 0)), "NOT FOUND")</f>
        <v>1567</v>
      </c>
      <c r="J76" t="str">
        <f>IF(Table26[[#This Row],[Fee]]&gt;500,Table26[[#This Row],[Fee]],"")</f>
        <v/>
      </c>
    </row>
    <row r="77" spans="1:10" hidden="1">
      <c r="A77">
        <v>76</v>
      </c>
      <c r="B77" t="s">
        <v>410</v>
      </c>
      <c r="C77" t="s">
        <v>409</v>
      </c>
      <c r="D77" t="str">
        <f t="array" ref="D77">TEXT(Table26[[#This Row],[Date]],"MMMM")</f>
        <v>July</v>
      </c>
      <c r="E77">
        <v>500</v>
      </c>
      <c r="F77" t="s">
        <v>589</v>
      </c>
      <c r="G77" t="s">
        <v>765</v>
      </c>
      <c r="H77" s="38">
        <v>46231</v>
      </c>
      <c r="I77" cm="1">
        <f t="array" ref="I77">IFERROR(INDEX('ALL STUDENTS'!$A:$A, MATCH(1, ('ALL STUDENTS'!$B:$B = B77) * ('ALL STUDENTS'!$C:$C = C77), 0)), "NOT FOUND")</f>
        <v>947</v>
      </c>
      <c r="J77" t="str">
        <f>IF(Table26[[#This Row],[Fee]]&gt;500,Table26[[#This Row],[Fee]],"")</f>
        <v/>
      </c>
    </row>
    <row r="78" spans="1:10" hidden="1">
      <c r="A78">
        <v>77</v>
      </c>
      <c r="B78" t="s">
        <v>69</v>
      </c>
      <c r="C78" t="s">
        <v>68</v>
      </c>
      <c r="D78" t="str">
        <f t="array" ref="D78">TEXT(Table26[[#This Row],[Date]],"MMMM")</f>
        <v>July</v>
      </c>
      <c r="E78">
        <v>500</v>
      </c>
      <c r="F78" t="s">
        <v>589</v>
      </c>
      <c r="G78" t="s">
        <v>766</v>
      </c>
      <c r="H78" s="38">
        <v>46234</v>
      </c>
      <c r="I78" cm="1">
        <f t="array" ref="I78">IFERROR(INDEX('ALL STUDENTS'!$A:$A, MATCH(1, ('ALL STUDENTS'!$B:$B = B78) * ('ALL STUDENTS'!$C:$C = C78), 0)), "NOT FOUND")</f>
        <v>1500</v>
      </c>
      <c r="J78" t="str">
        <f>IF(Table26[[#This Row],[Fee]]&gt;500,Table26[[#This Row],[Fee]],"")</f>
        <v/>
      </c>
    </row>
    <row r="79" spans="1:10" hidden="1">
      <c r="A79">
        <v>78</v>
      </c>
      <c r="B79" t="s">
        <v>140</v>
      </c>
      <c r="C79" t="s">
        <v>138</v>
      </c>
      <c r="D79" t="str">
        <f t="array" ref="D79">TEXT(Table26[[#This Row],[Date]],"MMMM")</f>
        <v>July</v>
      </c>
      <c r="E79">
        <v>500</v>
      </c>
      <c r="F79" t="s">
        <v>589</v>
      </c>
      <c r="G79" t="s">
        <v>767</v>
      </c>
      <c r="H79" s="38">
        <v>46234</v>
      </c>
      <c r="I79" cm="1">
        <f t="array" ref="I79">IFERROR(INDEX('ALL STUDENTS'!$A:$A, MATCH(1, ('ALL STUDENTS'!$B:$B = B79) * ('ALL STUDENTS'!$C:$C = C79), 0)), "NOT FOUND")</f>
        <v>1761</v>
      </c>
      <c r="J79" t="str">
        <f>IF(Table26[[#This Row],[Fee]]&gt;500,Table26[[#This Row],[Fee]],"")</f>
        <v/>
      </c>
    </row>
    <row r="80" spans="1:10" hidden="1">
      <c r="A80">
        <v>79</v>
      </c>
      <c r="B80" t="s">
        <v>90</v>
      </c>
      <c r="C80" t="s">
        <v>87</v>
      </c>
      <c r="D80" t="str">
        <f t="array" ref="D80">TEXT(Table26[[#This Row],[Date]],"MMMM")</f>
        <v>July</v>
      </c>
      <c r="E80">
        <v>500</v>
      </c>
      <c r="F80" t="s">
        <v>589</v>
      </c>
      <c r="G80" t="s">
        <v>768</v>
      </c>
      <c r="H80" s="38">
        <v>46234</v>
      </c>
      <c r="I80" cm="1">
        <f t="array" ref="I80">IFERROR(INDEX('ALL STUDENTS'!$A:$A, MATCH(1, ('ALL STUDENTS'!$B:$B = B80) * ('ALL STUDENTS'!$C:$C = C80), 0)), "NOT FOUND")</f>
        <v>1572</v>
      </c>
      <c r="J80" t="str">
        <f>IF(Table26[[#This Row],[Fee]]&gt;500,Table26[[#This Row],[Fee]],"")</f>
        <v/>
      </c>
    </row>
    <row r="81" spans="1:10" hidden="1">
      <c r="A81">
        <v>80</v>
      </c>
      <c r="B81" t="s">
        <v>90</v>
      </c>
      <c r="C81" t="s">
        <v>87</v>
      </c>
      <c r="D81" t="str">
        <f t="array" ref="D81">TEXT(Table26[[#This Row],[Date]],"MMMM")</f>
        <v>July</v>
      </c>
      <c r="E81">
        <v>500</v>
      </c>
      <c r="F81" t="s">
        <v>589</v>
      </c>
      <c r="G81" t="s">
        <v>769</v>
      </c>
      <c r="H81" s="38">
        <v>46234</v>
      </c>
      <c r="I81" cm="1">
        <f t="array" ref="I81">IFERROR(INDEX('ALL STUDENTS'!$A:$A, MATCH(1, ('ALL STUDENTS'!$B:$B = B81) * ('ALL STUDENTS'!$C:$C = C81), 0)), "NOT FOUND")</f>
        <v>1572</v>
      </c>
      <c r="J81" t="str">
        <f>IF(Table26[[#This Row],[Fee]]&gt;500,Table26[[#This Row],[Fee]],"")</f>
        <v/>
      </c>
    </row>
    <row r="82" spans="1:10" hidden="1">
      <c r="A82">
        <v>81</v>
      </c>
      <c r="B82" t="s">
        <v>90</v>
      </c>
      <c r="C82" t="s">
        <v>87</v>
      </c>
      <c r="D82" t="str">
        <f t="array" ref="D82">TEXT(Table26[[#This Row],[Date]],"MMMM")</f>
        <v>July</v>
      </c>
      <c r="E82">
        <v>500</v>
      </c>
      <c r="F82" t="s">
        <v>589</v>
      </c>
      <c r="G82" t="s">
        <v>770</v>
      </c>
      <c r="H82" s="38">
        <v>46234</v>
      </c>
      <c r="I82" cm="1">
        <f t="array" ref="I82">IFERROR(INDEX('ALL STUDENTS'!$A:$A, MATCH(1, ('ALL STUDENTS'!$B:$B = B82) * ('ALL STUDENTS'!$C:$C = C82), 0)), "NOT FOUND")</f>
        <v>1572</v>
      </c>
      <c r="J82" t="str">
        <f>IF(Table26[[#This Row],[Fee]]&gt;500,Table26[[#This Row],[Fee]],"")</f>
        <v/>
      </c>
    </row>
    <row r="83" spans="1:10" hidden="1">
      <c r="A83">
        <v>82</v>
      </c>
      <c r="B83" t="s">
        <v>505</v>
      </c>
      <c r="C83" t="s">
        <v>504</v>
      </c>
      <c r="D83" t="str">
        <f t="array" ref="D83">TEXT(Table26[[#This Row],[Date]],"MMMM")</f>
        <v>July</v>
      </c>
      <c r="E83">
        <v>500</v>
      </c>
      <c r="F83" t="s">
        <v>591</v>
      </c>
      <c r="G83" t="s">
        <v>771</v>
      </c>
      <c r="H83" s="38">
        <v>46231</v>
      </c>
      <c r="I83" cm="1">
        <f t="array" ref="I83">IFERROR(INDEX('ALL STUDENTS'!$A:$A, MATCH(1, ('ALL STUDENTS'!$B:$B = B83) * ('ALL STUDENTS'!$C:$C = C83), 0)), "NOT FOUND")</f>
        <v>449</v>
      </c>
      <c r="J83" t="str">
        <f>IF(Table26[[#This Row],[Fee]]&gt;500,Table26[[#This Row],[Fee]],"")</f>
        <v/>
      </c>
    </row>
    <row r="84" spans="1:10" hidden="1">
      <c r="A84">
        <v>83</v>
      </c>
      <c r="B84" t="s">
        <v>400</v>
      </c>
      <c r="C84" t="s">
        <v>397</v>
      </c>
      <c r="D84" t="str">
        <f t="array" ref="D84">TEXT(Table26[[#This Row],[Date]],"MMMM")</f>
        <v>July</v>
      </c>
      <c r="E84">
        <v>500</v>
      </c>
      <c r="F84" t="s">
        <v>591</v>
      </c>
      <c r="G84" t="s">
        <v>772</v>
      </c>
      <c r="H84" s="38">
        <v>46231</v>
      </c>
      <c r="I84" cm="1">
        <f t="array" ref="I84">IFERROR(INDEX('ALL STUDENTS'!$A:$A, MATCH(1, ('ALL STUDENTS'!$B:$B = B84) * ('ALL STUDENTS'!$C:$C = C84), 0)), "NOT FOUND")</f>
        <v>916</v>
      </c>
      <c r="J84" t="str">
        <f>IF(Table26[[#This Row],[Fee]]&gt;500,Table26[[#This Row],[Fee]],"")</f>
        <v/>
      </c>
    </row>
    <row r="85" spans="1:10" hidden="1">
      <c r="A85">
        <v>84</v>
      </c>
      <c r="B85" t="s">
        <v>457</v>
      </c>
      <c r="C85" t="s">
        <v>453</v>
      </c>
      <c r="D85" t="str">
        <f t="array" ref="D85">TEXT(Table26[[#This Row],[Date]],"MMMM")</f>
        <v>July</v>
      </c>
      <c r="E85">
        <v>500</v>
      </c>
      <c r="F85" t="s">
        <v>591</v>
      </c>
      <c r="G85" t="s">
        <v>773</v>
      </c>
      <c r="H85" s="38">
        <v>46231</v>
      </c>
      <c r="I85" cm="1">
        <f t="array" ref="I85">IFERROR(INDEX('ALL STUDENTS'!$A:$A, MATCH(1, ('ALL STUDENTS'!$B:$B = B85) * ('ALL STUDENTS'!$C:$C = C85), 0)), "NOT FOUND")</f>
        <v>716</v>
      </c>
      <c r="J85" t="str">
        <f>IF(Table26[[#This Row],[Fee]]&gt;500,Table26[[#This Row],[Fee]],"")</f>
        <v/>
      </c>
    </row>
    <row r="86" spans="1:10" hidden="1">
      <c r="A86">
        <v>85</v>
      </c>
      <c r="B86" t="s">
        <v>470</v>
      </c>
      <c r="C86" t="s">
        <v>467</v>
      </c>
      <c r="D86" t="str">
        <f t="array" ref="D86">TEXT(Table26[[#This Row],[Date]],"MMMM")</f>
        <v>July</v>
      </c>
      <c r="E86">
        <v>500</v>
      </c>
      <c r="F86" t="s">
        <v>591</v>
      </c>
      <c r="G86" t="s">
        <v>774</v>
      </c>
      <c r="H86" s="38">
        <v>46233</v>
      </c>
      <c r="I86" cm="1">
        <f t="array" ref="I86">IFERROR(INDEX('ALL STUDENTS'!$A:$A, MATCH(1, ('ALL STUDENTS'!$B:$B = B86) * ('ALL STUDENTS'!$C:$C = C86), 0)), "NOT FOUND")</f>
        <v>263</v>
      </c>
      <c r="J86" t="str">
        <f>IF(Table26[[#This Row],[Fee]]&gt;500,Table26[[#This Row],[Fee]],"")</f>
        <v/>
      </c>
    </row>
    <row r="87" spans="1:10" hidden="1">
      <c r="A87">
        <v>86</v>
      </c>
      <c r="B87" t="s">
        <v>81</v>
      </c>
      <c r="C87" t="s">
        <v>80</v>
      </c>
      <c r="D87" t="str">
        <f t="array" ref="D87">TEXT(Table26[[#This Row],[Date]],"MMMM")</f>
        <v>July</v>
      </c>
      <c r="E87">
        <v>500</v>
      </c>
      <c r="F87" t="s">
        <v>589</v>
      </c>
      <c r="G87" t="s">
        <v>775</v>
      </c>
      <c r="H87" s="38">
        <v>46234</v>
      </c>
      <c r="I87" cm="1">
        <f t="array" ref="I87">IFERROR(INDEX('ALL STUDENTS'!$A:$A, MATCH(1, ('ALL STUDENTS'!$B:$B = B87) * ('ALL STUDENTS'!$C:$C = C87), 0)), "NOT FOUND")</f>
        <v>1555</v>
      </c>
      <c r="J87" t="str">
        <f>IF(Table26[[#This Row],[Fee]]&gt;500,Table26[[#This Row],[Fee]],"")</f>
        <v/>
      </c>
    </row>
    <row r="88" spans="1:10" hidden="1">
      <c r="A88">
        <v>87</v>
      </c>
      <c r="B88" t="s">
        <v>81</v>
      </c>
      <c r="C88" t="s">
        <v>80</v>
      </c>
      <c r="D88" t="str">
        <f t="array" ref="D88">TEXT(Table26[[#This Row],[Date]],"MMMM")</f>
        <v>July</v>
      </c>
      <c r="E88">
        <v>500</v>
      </c>
      <c r="F88" t="s">
        <v>589</v>
      </c>
      <c r="G88" t="s">
        <v>776</v>
      </c>
      <c r="H88" s="38">
        <v>46234</v>
      </c>
      <c r="I88" cm="1">
        <f t="array" ref="I88">IFERROR(INDEX('ALL STUDENTS'!$A:$A, MATCH(1, ('ALL STUDENTS'!$B:$B = B88) * ('ALL STUDENTS'!$C:$C = C88), 0)), "NOT FOUND")</f>
        <v>1555</v>
      </c>
      <c r="J88" t="str">
        <f>IF(Table26[[#This Row],[Fee]]&gt;500,Table26[[#This Row],[Fee]],"")</f>
        <v/>
      </c>
    </row>
    <row r="89" spans="1:10" hidden="1">
      <c r="A89">
        <v>88</v>
      </c>
      <c r="B89" t="s">
        <v>81</v>
      </c>
      <c r="C89" t="s">
        <v>80</v>
      </c>
      <c r="D89" t="str">
        <f t="array" ref="D89">TEXT(Table26[[#This Row],[Date]],"MMMM")</f>
        <v>July</v>
      </c>
      <c r="E89">
        <v>500</v>
      </c>
      <c r="F89" t="s">
        <v>589</v>
      </c>
      <c r="G89" t="s">
        <v>777</v>
      </c>
      <c r="H89" s="38">
        <v>46234</v>
      </c>
      <c r="I89" cm="1">
        <f t="array" ref="I89">IFERROR(INDEX('ALL STUDENTS'!$A:$A, MATCH(1, ('ALL STUDENTS'!$B:$B = B89) * ('ALL STUDENTS'!$C:$C = C89), 0)), "NOT FOUND")</f>
        <v>1555</v>
      </c>
      <c r="J89" t="str">
        <f>IF(Table26[[#This Row],[Fee]]&gt;500,Table26[[#This Row],[Fee]],"")</f>
        <v/>
      </c>
    </row>
    <row r="90" spans="1:10" hidden="1">
      <c r="A90">
        <v>89</v>
      </c>
      <c r="B90" t="s">
        <v>489</v>
      </c>
      <c r="C90" t="s">
        <v>488</v>
      </c>
      <c r="D90" t="str">
        <f t="array" ref="D90">TEXT(Table26[[#This Row],[Date]],"MMMM")</f>
        <v>July</v>
      </c>
      <c r="E90">
        <v>500</v>
      </c>
      <c r="F90" t="s">
        <v>589</v>
      </c>
      <c r="G90" t="s">
        <v>778</v>
      </c>
      <c r="H90" s="38">
        <v>46231</v>
      </c>
      <c r="I90" cm="1">
        <f t="array" ref="I90">IFERROR(INDEX('ALL STUDENTS'!$A:$A, MATCH(1, ('ALL STUDENTS'!$B:$B = B90) * ('ALL STUDENTS'!$C:$C = C90), 0)), "NOT FOUND")</f>
        <v>322</v>
      </c>
      <c r="J90" t="str">
        <f>IF(Table26[[#This Row],[Fee]]&gt;500,Table26[[#This Row],[Fee]],"")</f>
        <v/>
      </c>
    </row>
    <row r="91" spans="1:10" hidden="1">
      <c r="A91">
        <v>90</v>
      </c>
      <c r="B91" t="s">
        <v>274</v>
      </c>
      <c r="C91" t="s">
        <v>273</v>
      </c>
      <c r="D91" t="str">
        <f t="array" ref="D91">TEXT(Table26[[#This Row],[Date]],"MMMM")</f>
        <v>July</v>
      </c>
      <c r="E91">
        <v>500</v>
      </c>
      <c r="F91" t="s">
        <v>589</v>
      </c>
      <c r="G91" t="s">
        <v>779</v>
      </c>
      <c r="H91" s="38">
        <v>46234</v>
      </c>
      <c r="I91" cm="1">
        <f t="array" ref="I91">IFERROR(INDEX('ALL STUDENTS'!$A:$A, MATCH(1, ('ALL STUDENTS'!$B:$B = B91) * ('ALL STUDENTS'!$C:$C = C91), 0)), "NOT FOUND")</f>
        <v>2203</v>
      </c>
      <c r="J91" t="str">
        <f>IF(Table26[[#This Row],[Fee]]&gt;500,Table26[[#This Row],[Fee]],"")</f>
        <v/>
      </c>
    </row>
    <row r="92" spans="1:10" hidden="1">
      <c r="A92">
        <v>91</v>
      </c>
      <c r="B92" t="s">
        <v>431</v>
      </c>
      <c r="C92" t="s">
        <v>429</v>
      </c>
      <c r="D92" t="str">
        <f t="array" ref="D92">TEXT(Table26[[#This Row],[Date]],"MMMM")</f>
        <v>July</v>
      </c>
      <c r="E92">
        <v>500</v>
      </c>
      <c r="F92" t="s">
        <v>589</v>
      </c>
      <c r="G92" t="s">
        <v>780</v>
      </c>
      <c r="H92" s="38">
        <v>46230</v>
      </c>
      <c r="I92" cm="1">
        <f t="array" ref="I92">IFERROR(INDEX('ALL STUDENTS'!$A:$A, MATCH(1, ('ALL STUDENTS'!$B:$B = B92) * ('ALL STUDENTS'!$C:$C = C92), 0)), "NOT FOUND")</f>
        <v>590</v>
      </c>
      <c r="J92" t="str">
        <f>IF(Table26[[#This Row],[Fee]]&gt;500,Table26[[#This Row],[Fee]],"")</f>
        <v/>
      </c>
    </row>
    <row r="93" spans="1:10" hidden="1">
      <c r="A93">
        <v>92</v>
      </c>
      <c r="B93" t="s">
        <v>431</v>
      </c>
      <c r="C93" t="s">
        <v>429</v>
      </c>
      <c r="D93" t="str">
        <f t="array" ref="D93">TEXT(Table26[[#This Row],[Date]],"MMMM")</f>
        <v>July</v>
      </c>
      <c r="E93">
        <v>500</v>
      </c>
      <c r="F93" t="s">
        <v>589</v>
      </c>
      <c r="G93" t="s">
        <v>781</v>
      </c>
      <c r="H93" s="38">
        <v>46230</v>
      </c>
      <c r="I93" cm="1">
        <f t="array" ref="I93">IFERROR(INDEX('ALL STUDENTS'!$A:$A, MATCH(1, ('ALL STUDENTS'!$B:$B = B93) * ('ALL STUDENTS'!$C:$C = C93), 0)), "NOT FOUND")</f>
        <v>590</v>
      </c>
      <c r="J93" t="str">
        <f>IF(Table26[[#This Row],[Fee]]&gt;500,Table26[[#This Row],[Fee]],"")</f>
        <v/>
      </c>
    </row>
    <row r="94" spans="1:10" hidden="1">
      <c r="A94">
        <v>93</v>
      </c>
      <c r="B94" t="s">
        <v>431</v>
      </c>
      <c r="C94" t="s">
        <v>429</v>
      </c>
      <c r="D94" t="str">
        <f t="array" ref="D94">TEXT(Table26[[#This Row],[Date]],"MMMM")</f>
        <v>July</v>
      </c>
      <c r="E94">
        <v>500</v>
      </c>
      <c r="F94" t="s">
        <v>589</v>
      </c>
      <c r="G94" t="s">
        <v>782</v>
      </c>
      <c r="H94" s="38">
        <v>46230</v>
      </c>
      <c r="I94" cm="1">
        <f t="array" ref="I94">IFERROR(INDEX('ALL STUDENTS'!$A:$A, MATCH(1, ('ALL STUDENTS'!$B:$B = B94) * ('ALL STUDENTS'!$C:$C = C94), 0)), "NOT FOUND")</f>
        <v>590</v>
      </c>
      <c r="J94" t="str">
        <f>IF(Table26[[#This Row],[Fee]]&gt;500,Table26[[#This Row],[Fee]],"")</f>
        <v/>
      </c>
    </row>
    <row r="95" spans="1:10" hidden="1">
      <c r="A95">
        <v>94</v>
      </c>
      <c r="B95" t="s">
        <v>389</v>
      </c>
      <c r="C95" t="s">
        <v>386</v>
      </c>
      <c r="D95" t="str">
        <f t="array" ref="D95">TEXT(Table26[[#This Row],[Date]],"MMMM")</f>
        <v>August</v>
      </c>
      <c r="E95">
        <v>500</v>
      </c>
      <c r="F95" t="s">
        <v>589</v>
      </c>
      <c r="G95" t="s">
        <v>783</v>
      </c>
      <c r="H95" s="38">
        <v>46235</v>
      </c>
      <c r="I95" cm="1">
        <f t="array" ref="I95">IFERROR(INDEX('ALL STUDENTS'!$A:$A, MATCH(1, ('ALL STUDENTS'!$B:$B = B95) * ('ALL STUDENTS'!$C:$C = C95), 0)), "NOT FOUND")</f>
        <v>908</v>
      </c>
      <c r="J95" t="str">
        <f>IF(Table26[[#This Row],[Fee]]&gt;500,Table26[[#This Row],[Fee]],"")</f>
        <v/>
      </c>
    </row>
    <row r="96" spans="1:10" hidden="1">
      <c r="A96">
        <v>95</v>
      </c>
      <c r="B96" t="s">
        <v>389</v>
      </c>
      <c r="C96" t="s">
        <v>386</v>
      </c>
      <c r="D96" t="str">
        <f t="array" ref="D96">TEXT(Table26[[#This Row],[Date]],"MMMM")</f>
        <v>August</v>
      </c>
      <c r="E96">
        <v>500</v>
      </c>
      <c r="F96" t="s">
        <v>589</v>
      </c>
      <c r="G96" t="s">
        <v>784</v>
      </c>
      <c r="H96" s="38">
        <v>46235</v>
      </c>
      <c r="I96" cm="1">
        <f t="array" ref="I96">IFERROR(INDEX('ALL STUDENTS'!$A:$A, MATCH(1, ('ALL STUDENTS'!$B:$B = B96) * ('ALL STUDENTS'!$C:$C = C96), 0)), "NOT FOUND")</f>
        <v>908</v>
      </c>
      <c r="J96" t="str">
        <f>IF(Table26[[#This Row],[Fee]]&gt;500,Table26[[#This Row],[Fee]],"")</f>
        <v/>
      </c>
    </row>
    <row r="97" spans="1:10" hidden="1">
      <c r="A97">
        <v>96</v>
      </c>
      <c r="B97" t="s">
        <v>389</v>
      </c>
      <c r="C97" t="s">
        <v>386</v>
      </c>
      <c r="D97" t="str">
        <f t="array" ref="D97">TEXT(Table26[[#This Row],[Date]],"MMMM")</f>
        <v>August</v>
      </c>
      <c r="E97">
        <v>500</v>
      </c>
      <c r="F97" t="s">
        <v>589</v>
      </c>
      <c r="G97" t="s">
        <v>785</v>
      </c>
      <c r="H97" s="38">
        <v>46235</v>
      </c>
      <c r="I97" cm="1">
        <f t="array" ref="I97">IFERROR(INDEX('ALL STUDENTS'!$A:$A, MATCH(1, ('ALL STUDENTS'!$B:$B = B97) * ('ALL STUDENTS'!$C:$C = C97), 0)), "NOT FOUND")</f>
        <v>908</v>
      </c>
      <c r="J97" t="str">
        <f>IF(Table26[[#This Row],[Fee]]&gt;500,Table26[[#This Row],[Fee]],"")</f>
        <v/>
      </c>
    </row>
    <row r="98" spans="1:10" hidden="1">
      <c r="A98">
        <v>97</v>
      </c>
      <c r="B98" t="s">
        <v>529</v>
      </c>
      <c r="C98" t="s">
        <v>526</v>
      </c>
      <c r="D98" t="str">
        <f t="array" ref="D98">TEXT(Table26[[#This Row],[Date]],"MMMM")</f>
        <v>August</v>
      </c>
      <c r="E98">
        <v>500</v>
      </c>
      <c r="F98" t="s">
        <v>589</v>
      </c>
      <c r="G98" t="s">
        <v>786</v>
      </c>
      <c r="H98" s="38">
        <v>46235</v>
      </c>
      <c r="I98" cm="1">
        <f t="array" ref="I98">IFERROR(INDEX('ALL STUDENTS'!$A:$A, MATCH(1, ('ALL STUDENTS'!$B:$B = B98) * ('ALL STUDENTS'!$C:$C = C98), 0)), "NOT FOUND")</f>
        <v>114</v>
      </c>
      <c r="J98" t="str">
        <f>IF(Table26[[#This Row],[Fee]]&gt;500,Table26[[#This Row],[Fee]],"")</f>
        <v/>
      </c>
    </row>
    <row r="99" spans="1:10" hidden="1">
      <c r="A99">
        <v>98</v>
      </c>
      <c r="B99" t="s">
        <v>438</v>
      </c>
      <c r="C99" t="s">
        <v>436</v>
      </c>
      <c r="D99" t="str">
        <f t="array" ref="D99">TEXT(Table26[[#This Row],[Date]],"MMMM")</f>
        <v>August</v>
      </c>
      <c r="E99">
        <v>500</v>
      </c>
      <c r="F99" t="s">
        <v>589</v>
      </c>
      <c r="G99" t="s">
        <v>787</v>
      </c>
      <c r="H99" s="38">
        <v>46235</v>
      </c>
      <c r="I99" cm="1">
        <f t="array" ref="I99">IFERROR(INDEX('ALL STUDENTS'!$A:$A, MATCH(1, ('ALL STUDENTS'!$B:$B = B99) * ('ALL STUDENTS'!$C:$C = C99), 0)), "NOT FOUND")</f>
        <v>1027</v>
      </c>
      <c r="J99" t="str">
        <f>IF(Table26[[#This Row],[Fee]]&gt;500,Table26[[#This Row],[Fee]],"")</f>
        <v/>
      </c>
    </row>
    <row r="100" spans="1:10" hidden="1">
      <c r="A100">
        <v>99</v>
      </c>
      <c r="B100" t="s">
        <v>70</v>
      </c>
      <c r="C100" t="s">
        <v>68</v>
      </c>
      <c r="D100" t="str">
        <f t="array" ref="D100">TEXT(Table26[[#This Row],[Date]],"MMMM")</f>
        <v>August</v>
      </c>
      <c r="E100">
        <v>500</v>
      </c>
      <c r="F100" t="s">
        <v>589</v>
      </c>
      <c r="G100" t="s">
        <v>788</v>
      </c>
      <c r="H100" s="38">
        <v>46235</v>
      </c>
      <c r="I100" cm="1">
        <f t="array" ref="I100">IFERROR(INDEX('ALL STUDENTS'!$A:$A, MATCH(1, ('ALL STUDENTS'!$B:$B = B100) * ('ALL STUDENTS'!$C:$C = C100), 0)), "NOT FOUND")</f>
        <v>1520</v>
      </c>
      <c r="J100" t="str">
        <f>IF(Table26[[#This Row],[Fee]]&gt;500,Table26[[#This Row],[Fee]],"")</f>
        <v/>
      </c>
    </row>
    <row r="101" spans="1:10" hidden="1">
      <c r="A101">
        <v>100</v>
      </c>
      <c r="B101" t="s">
        <v>482</v>
      </c>
      <c r="C101" t="s">
        <v>480</v>
      </c>
      <c r="D101" t="str">
        <f t="array" ref="D101">TEXT(Table26[[#This Row],[Date]],"MMMM")</f>
        <v>August</v>
      </c>
      <c r="E101">
        <v>500</v>
      </c>
      <c r="F101" t="s">
        <v>589</v>
      </c>
      <c r="G101" t="s">
        <v>789</v>
      </c>
      <c r="H101" s="38">
        <v>46235</v>
      </c>
      <c r="I101" cm="1">
        <f t="array" ref="I101">IFERROR(INDEX('ALL STUDENTS'!$A:$A, MATCH(1, ('ALL STUDENTS'!$B:$B = B101) * ('ALL STUDENTS'!$C:$C = C101), 0)), "NOT FOUND")</f>
        <v>269</v>
      </c>
      <c r="J101" t="str">
        <f>IF(Table26[[#This Row],[Fee]]&gt;500,Table26[[#This Row],[Fee]],"")</f>
        <v/>
      </c>
    </row>
    <row r="102" spans="1:10" hidden="1">
      <c r="A102">
        <v>101</v>
      </c>
      <c r="B102" t="s">
        <v>482</v>
      </c>
      <c r="C102" t="s">
        <v>480</v>
      </c>
      <c r="D102" t="str">
        <f t="array" ref="D102">TEXT(Table26[[#This Row],[Date]],"MMMM")</f>
        <v>August</v>
      </c>
      <c r="E102">
        <v>500</v>
      </c>
      <c r="F102" t="s">
        <v>589</v>
      </c>
      <c r="G102" t="s">
        <v>790</v>
      </c>
      <c r="H102" s="38">
        <v>46235</v>
      </c>
      <c r="I102" cm="1">
        <f t="array" ref="I102">IFERROR(INDEX('ALL STUDENTS'!$A:$A, MATCH(1, ('ALL STUDENTS'!$B:$B = B102) * ('ALL STUDENTS'!$C:$C = C102), 0)), "NOT FOUND")</f>
        <v>269</v>
      </c>
      <c r="J102" t="str">
        <f>IF(Table26[[#This Row],[Fee]]&gt;500,Table26[[#This Row],[Fee]],"")</f>
        <v/>
      </c>
    </row>
    <row r="103" spans="1:10" hidden="1">
      <c r="A103">
        <v>102</v>
      </c>
      <c r="B103" t="s">
        <v>482</v>
      </c>
      <c r="C103" t="s">
        <v>480</v>
      </c>
      <c r="D103" t="str">
        <f t="array" ref="D103">TEXT(Table26[[#This Row],[Date]],"MMMM")</f>
        <v>August</v>
      </c>
      <c r="E103">
        <v>500</v>
      </c>
      <c r="F103" t="s">
        <v>589</v>
      </c>
      <c r="G103" t="s">
        <v>791</v>
      </c>
      <c r="H103" s="38">
        <v>46235</v>
      </c>
      <c r="I103" cm="1">
        <f t="array" ref="I103">IFERROR(INDEX('ALL STUDENTS'!$A:$A, MATCH(1, ('ALL STUDENTS'!$B:$B = B103) * ('ALL STUDENTS'!$C:$C = C103), 0)), "NOT FOUND")</f>
        <v>269</v>
      </c>
      <c r="J103" t="str">
        <f>IF(Table26[[#This Row],[Fee]]&gt;500,Table26[[#This Row],[Fee]],"")</f>
        <v/>
      </c>
    </row>
    <row r="104" spans="1:10" hidden="1">
      <c r="A104">
        <v>103</v>
      </c>
      <c r="B104" t="s">
        <v>71</v>
      </c>
      <c r="C104" t="s">
        <v>68</v>
      </c>
      <c r="D104" t="str">
        <f t="array" ref="D104">TEXT(Table26[[#This Row],[Date]],"MMMM")</f>
        <v>August</v>
      </c>
      <c r="E104">
        <v>500</v>
      </c>
      <c r="F104" t="s">
        <v>589</v>
      </c>
      <c r="G104" t="s">
        <v>792</v>
      </c>
      <c r="H104" s="38">
        <v>46235</v>
      </c>
      <c r="I104" cm="1">
        <f t="array" ref="I104">IFERROR(INDEX('ALL STUDENTS'!$A:$A, MATCH(1, ('ALL STUDENTS'!$B:$B = B104) * ('ALL STUDENTS'!$C:$C = C104), 0)), "NOT FOUND")</f>
        <v>1515</v>
      </c>
      <c r="J104" t="str">
        <f>IF(Table26[[#This Row],[Fee]]&gt;500,Table26[[#This Row],[Fee]],"")</f>
        <v/>
      </c>
    </row>
    <row r="105" spans="1:10" hidden="1">
      <c r="A105">
        <v>104</v>
      </c>
      <c r="B105" t="s">
        <v>71</v>
      </c>
      <c r="C105" t="s">
        <v>68</v>
      </c>
      <c r="D105" t="str">
        <f t="array" ref="D105">TEXT(Table26[[#This Row],[Date]],"MMMM")</f>
        <v>August</v>
      </c>
      <c r="E105">
        <v>500</v>
      </c>
      <c r="F105" t="s">
        <v>589</v>
      </c>
      <c r="G105" t="s">
        <v>793</v>
      </c>
      <c r="H105" s="38">
        <v>46235</v>
      </c>
      <c r="I105" cm="1">
        <f t="array" ref="I105">IFERROR(INDEX('ALL STUDENTS'!$A:$A, MATCH(1, ('ALL STUDENTS'!$B:$B = B105) * ('ALL STUDENTS'!$C:$C = C105), 0)), "NOT FOUND")</f>
        <v>1515</v>
      </c>
      <c r="J105" t="str">
        <f>IF(Table26[[#This Row],[Fee]]&gt;500,Table26[[#This Row],[Fee]],"")</f>
        <v/>
      </c>
    </row>
    <row r="106" spans="1:10" hidden="1">
      <c r="A106">
        <v>105</v>
      </c>
      <c r="B106" t="s">
        <v>71</v>
      </c>
      <c r="C106" t="s">
        <v>68</v>
      </c>
      <c r="D106" t="str">
        <f t="array" ref="D106">TEXT(Table26[[#This Row],[Date]],"MMMM")</f>
        <v>August</v>
      </c>
      <c r="E106">
        <v>500</v>
      </c>
      <c r="F106" t="s">
        <v>589</v>
      </c>
      <c r="G106" t="s">
        <v>794</v>
      </c>
      <c r="H106" s="38">
        <v>46235</v>
      </c>
      <c r="I106" cm="1">
        <f t="array" ref="I106">IFERROR(INDEX('ALL STUDENTS'!$A:$A, MATCH(1, ('ALL STUDENTS'!$B:$B = B106) * ('ALL STUDENTS'!$C:$C = C106), 0)), "NOT FOUND")</f>
        <v>1515</v>
      </c>
      <c r="J106" t="str">
        <f>IF(Table26[[#This Row],[Fee]]&gt;500,Table26[[#This Row],[Fee]],"")</f>
        <v/>
      </c>
    </row>
    <row r="107" spans="1:10" hidden="1">
      <c r="A107">
        <v>106</v>
      </c>
      <c r="B107" t="s">
        <v>530</v>
      </c>
      <c r="C107" t="s">
        <v>526</v>
      </c>
      <c r="D107" t="str">
        <f t="array" ref="D107">TEXT(Table26[[#This Row],[Date]],"MMMM")</f>
        <v>July</v>
      </c>
      <c r="E107">
        <v>500</v>
      </c>
      <c r="F107" t="s">
        <v>589</v>
      </c>
      <c r="G107" t="s">
        <v>795</v>
      </c>
      <c r="H107" s="38">
        <v>46227</v>
      </c>
      <c r="I107" cm="1">
        <f t="array" ref="I107">IFERROR(INDEX('ALL STUDENTS'!$A:$A, MATCH(1, ('ALL STUDENTS'!$B:$B = B107) * ('ALL STUDENTS'!$C:$C = C107), 0)), "NOT FOUND")</f>
        <v>126</v>
      </c>
      <c r="J107" t="str">
        <f>IF(Table26[[#This Row],[Fee]]&gt;500,Table26[[#This Row],[Fee]],"")</f>
        <v/>
      </c>
    </row>
    <row r="108" spans="1:10" hidden="1">
      <c r="A108">
        <v>107</v>
      </c>
      <c r="B108" t="s">
        <v>368</v>
      </c>
      <c r="C108" t="s">
        <v>366</v>
      </c>
      <c r="D108" t="str">
        <f t="array" ref="D108">TEXT(Table26[[#This Row],[Date]],"MMMM")</f>
        <v>August</v>
      </c>
      <c r="E108">
        <v>500</v>
      </c>
      <c r="F108" t="s">
        <v>589</v>
      </c>
      <c r="G108" t="s">
        <v>796</v>
      </c>
      <c r="H108" s="38">
        <v>46235</v>
      </c>
      <c r="I108" cm="1">
        <f t="array" ref="I108">IFERROR(INDEX('ALL STUDENTS'!$A:$A, MATCH(1, ('ALL STUDENTS'!$B:$B = B108) * ('ALL STUDENTS'!$C:$C = C108), 0)), "NOT FOUND")</f>
        <v>808</v>
      </c>
      <c r="J108" t="str">
        <f>IF(Table26[[#This Row],[Fee]]&gt;500,Table26[[#This Row],[Fee]],"")</f>
        <v/>
      </c>
    </row>
    <row r="109" spans="1:10" hidden="1">
      <c r="A109">
        <v>108</v>
      </c>
      <c r="B109" t="s">
        <v>342</v>
      </c>
      <c r="C109" t="s">
        <v>340</v>
      </c>
      <c r="D109" t="str">
        <f t="array" ref="D109">TEXT(Table26[[#This Row],[Date]],"MMMM")</f>
        <v>August</v>
      </c>
      <c r="E109">
        <v>500</v>
      </c>
      <c r="F109" t="s">
        <v>589</v>
      </c>
      <c r="G109" t="s">
        <v>797</v>
      </c>
      <c r="H109" s="38">
        <v>46235</v>
      </c>
      <c r="I109" cm="1">
        <f t="array" ref="I109">IFERROR(INDEX('ALL STUDENTS'!$A:$A, MATCH(1, ('ALL STUDENTS'!$B:$B = B109) * ('ALL STUDENTS'!$C:$C = C109), 0)), "NOT FOUND")</f>
        <v>2504</v>
      </c>
      <c r="J109" t="str">
        <f>IF(Table26[[#This Row],[Fee]]&gt;500,Table26[[#This Row],[Fee]],"")</f>
        <v/>
      </c>
    </row>
    <row r="110" spans="1:10" hidden="1">
      <c r="A110">
        <v>109</v>
      </c>
      <c r="B110" t="s">
        <v>471</v>
      </c>
      <c r="C110" t="s">
        <v>467</v>
      </c>
      <c r="D110" t="str">
        <f t="array" ref="D110">TEXT(Table26[[#This Row],[Date]],"MMMM")</f>
        <v>August</v>
      </c>
      <c r="E110">
        <v>500</v>
      </c>
      <c r="F110" t="s">
        <v>589</v>
      </c>
      <c r="G110" t="s">
        <v>798</v>
      </c>
      <c r="H110" s="38">
        <v>46235</v>
      </c>
      <c r="I110" cm="1">
        <f t="array" ref="I110">IFERROR(INDEX('ALL STUDENTS'!$A:$A, MATCH(1, ('ALL STUDENTS'!$B:$B = B110) * ('ALL STUDENTS'!$C:$C = C110), 0)), "NOT FOUND")</f>
        <v>245</v>
      </c>
      <c r="J110" t="str">
        <f>IF(Table26[[#This Row],[Fee]]&gt;500,Table26[[#This Row],[Fee]],"")</f>
        <v/>
      </c>
    </row>
    <row r="111" spans="1:10" hidden="1">
      <c r="A111">
        <v>110</v>
      </c>
      <c r="B111" t="s">
        <v>483</v>
      </c>
      <c r="C111" t="s">
        <v>480</v>
      </c>
      <c r="D111" t="str">
        <f t="array" ref="D111">TEXT(Table26[[#This Row],[Date]],"MMMM")</f>
        <v>August</v>
      </c>
      <c r="E111">
        <v>500</v>
      </c>
      <c r="F111" t="s">
        <v>589</v>
      </c>
      <c r="G111" t="s">
        <v>799</v>
      </c>
      <c r="H111" s="38">
        <v>46235</v>
      </c>
      <c r="I111" cm="1">
        <f t="array" ref="I111">IFERROR(INDEX('ALL STUDENTS'!$A:$A, MATCH(1, ('ALL STUDENTS'!$B:$B = B111) * ('ALL STUDENTS'!$C:$C = C111), 0)), "NOT FOUND")</f>
        <v>298</v>
      </c>
      <c r="J111" t="str">
        <f>IF(Table26[[#This Row],[Fee]]&gt;500,Table26[[#This Row],[Fee]],"")</f>
        <v/>
      </c>
    </row>
    <row r="112" spans="1:10" hidden="1">
      <c r="A112">
        <v>111</v>
      </c>
      <c r="B112" t="s">
        <v>161</v>
      </c>
      <c r="C112" t="s">
        <v>159</v>
      </c>
      <c r="D112" t="str">
        <f t="array" ref="D112">TEXT(Table26[[#This Row],[Date]],"MMMM")</f>
        <v>August</v>
      </c>
      <c r="E112">
        <v>500</v>
      </c>
      <c r="F112" t="s">
        <v>589</v>
      </c>
      <c r="G112" t="s">
        <v>800</v>
      </c>
      <c r="H112" s="38">
        <v>46235</v>
      </c>
      <c r="I112" cm="1">
        <f t="array" ref="I112">IFERROR(INDEX('ALL STUDENTS'!$A:$A, MATCH(1, ('ALL STUDENTS'!$B:$B = B112) * ('ALL STUDENTS'!$C:$C = C112), 0)), "NOT FOUND")</f>
        <v>2622</v>
      </c>
      <c r="J112" t="str">
        <f>IF(Table26[[#This Row],[Fee]]&gt;500,Table26[[#This Row],[Fee]],"")</f>
        <v/>
      </c>
    </row>
    <row r="113" spans="1:10" hidden="1">
      <c r="A113">
        <v>112</v>
      </c>
      <c r="B113" t="s">
        <v>91</v>
      </c>
      <c r="C113" t="s">
        <v>87</v>
      </c>
      <c r="D113" t="str">
        <f t="array" ref="D113">TEXT(Table26[[#This Row],[Date]],"MMMM")</f>
        <v>August</v>
      </c>
      <c r="E113">
        <v>500</v>
      </c>
      <c r="F113" t="s">
        <v>589</v>
      </c>
      <c r="G113" t="s">
        <v>801</v>
      </c>
      <c r="H113" s="38">
        <v>46235</v>
      </c>
      <c r="I113" cm="1">
        <f t="array" ref="I113">IFERROR(INDEX('ALL STUDENTS'!$A:$A, MATCH(1, ('ALL STUDENTS'!$B:$B = B113) * ('ALL STUDENTS'!$C:$C = C113), 0)), "NOT FOUND")</f>
        <v>1573</v>
      </c>
      <c r="J113" t="str">
        <f>IF(Table26[[#This Row],[Fee]]&gt;500,Table26[[#This Row],[Fee]],"")</f>
        <v/>
      </c>
    </row>
    <row r="114" spans="1:10" hidden="1">
      <c r="A114">
        <v>113</v>
      </c>
      <c r="B114" t="s">
        <v>91</v>
      </c>
      <c r="C114" t="s">
        <v>87</v>
      </c>
      <c r="D114" t="str">
        <f t="array" ref="D114">TEXT(Table26[[#This Row],[Date]],"MMMM")</f>
        <v>August</v>
      </c>
      <c r="E114">
        <v>500</v>
      </c>
      <c r="F114" t="s">
        <v>589</v>
      </c>
      <c r="G114" t="s">
        <v>802</v>
      </c>
      <c r="H114" s="38">
        <v>46235</v>
      </c>
      <c r="I114" cm="1">
        <f t="array" ref="I114">IFERROR(INDEX('ALL STUDENTS'!$A:$A, MATCH(1, ('ALL STUDENTS'!$B:$B = B114) * ('ALL STUDENTS'!$C:$C = C114), 0)), "NOT FOUND")</f>
        <v>1573</v>
      </c>
      <c r="J114" t="str">
        <f>IF(Table26[[#This Row],[Fee]]&gt;500,Table26[[#This Row],[Fee]],"")</f>
        <v/>
      </c>
    </row>
    <row r="115" spans="1:10" hidden="1">
      <c r="A115">
        <v>114</v>
      </c>
      <c r="B115" t="s">
        <v>91</v>
      </c>
      <c r="C115" t="s">
        <v>87</v>
      </c>
      <c r="D115" t="str">
        <f t="array" ref="D115">TEXT(Table26[[#This Row],[Date]],"MMMM")</f>
        <v>August</v>
      </c>
      <c r="E115">
        <v>500</v>
      </c>
      <c r="F115" t="s">
        <v>589</v>
      </c>
      <c r="G115" t="s">
        <v>803</v>
      </c>
      <c r="H115" s="38">
        <v>46235</v>
      </c>
      <c r="I115" cm="1">
        <f t="array" ref="I115">IFERROR(INDEX('ALL STUDENTS'!$A:$A, MATCH(1, ('ALL STUDENTS'!$B:$B = B115) * ('ALL STUDENTS'!$C:$C = C115), 0)), "NOT FOUND")</f>
        <v>1573</v>
      </c>
      <c r="J115" t="str">
        <f>IF(Table26[[#This Row],[Fee]]&gt;500,Table26[[#This Row],[Fee]],"")</f>
        <v/>
      </c>
    </row>
    <row r="116" spans="1:10" hidden="1">
      <c r="A116">
        <v>115</v>
      </c>
      <c r="B116" t="s">
        <v>129</v>
      </c>
      <c r="C116" t="s">
        <v>128</v>
      </c>
      <c r="D116" t="str">
        <f t="array" ref="D116">TEXT(Table26[[#This Row],[Date]],"MMMM")</f>
        <v>August</v>
      </c>
      <c r="E116">
        <v>500</v>
      </c>
      <c r="F116" t="s">
        <v>589</v>
      </c>
      <c r="G116" t="s">
        <v>804</v>
      </c>
      <c r="H116" s="38">
        <v>46235</v>
      </c>
      <c r="I116" cm="1">
        <f t="array" ref="I116">IFERROR(INDEX('ALL STUDENTS'!$A:$A, MATCH(1, ('ALL STUDENTS'!$B:$B = B116) * ('ALL STUDENTS'!$C:$C = C116), 0)), "NOT FOUND")</f>
        <v>1724</v>
      </c>
      <c r="J116" t="str">
        <f>IF(Table26[[#This Row],[Fee]]&gt;500,Table26[[#This Row],[Fee]],"")</f>
        <v/>
      </c>
    </row>
    <row r="117" spans="1:10" hidden="1">
      <c r="A117">
        <v>116</v>
      </c>
      <c r="B117" t="s">
        <v>129</v>
      </c>
      <c r="C117" t="s">
        <v>128</v>
      </c>
      <c r="D117" t="str">
        <f t="array" ref="D117">TEXT(Table26[[#This Row],[Date]],"MMMM")</f>
        <v>August</v>
      </c>
      <c r="E117">
        <v>500</v>
      </c>
      <c r="F117" t="s">
        <v>589</v>
      </c>
      <c r="G117" t="s">
        <v>805</v>
      </c>
      <c r="H117" s="38">
        <v>46235</v>
      </c>
      <c r="I117" cm="1">
        <f t="array" ref="I117">IFERROR(INDEX('ALL STUDENTS'!$A:$A, MATCH(1, ('ALL STUDENTS'!$B:$B = B117) * ('ALL STUDENTS'!$C:$C = C117), 0)), "NOT FOUND")</f>
        <v>1724</v>
      </c>
      <c r="J117" t="str">
        <f>IF(Table26[[#This Row],[Fee]]&gt;500,Table26[[#This Row],[Fee]],"")</f>
        <v/>
      </c>
    </row>
    <row r="118" spans="1:10" hidden="1">
      <c r="A118">
        <v>117</v>
      </c>
      <c r="B118" t="s">
        <v>129</v>
      </c>
      <c r="C118" t="s">
        <v>128</v>
      </c>
      <c r="D118" t="str">
        <f t="array" ref="D118">TEXT(Table26[[#This Row],[Date]],"MMMM")</f>
        <v>August</v>
      </c>
      <c r="E118">
        <v>500</v>
      </c>
      <c r="F118" t="s">
        <v>589</v>
      </c>
      <c r="G118" t="s">
        <v>806</v>
      </c>
      <c r="H118" s="38">
        <v>46235</v>
      </c>
      <c r="I118" cm="1">
        <f t="array" ref="I118">IFERROR(INDEX('ALL STUDENTS'!$A:$A, MATCH(1, ('ALL STUDENTS'!$B:$B = B118) * ('ALL STUDENTS'!$C:$C = C118), 0)), "NOT FOUND")</f>
        <v>1724</v>
      </c>
      <c r="J118" t="str">
        <f>IF(Table26[[#This Row],[Fee]]&gt;500,Table26[[#This Row],[Fee]],"")</f>
        <v/>
      </c>
    </row>
    <row r="119" spans="1:10" hidden="1">
      <c r="A119">
        <v>118</v>
      </c>
      <c r="B119" t="s">
        <v>401</v>
      </c>
      <c r="C119" t="s">
        <v>397</v>
      </c>
      <c r="D119" t="str">
        <f t="array" ref="D119">TEXT(Table26[[#This Row],[Date]],"MMMM")</f>
        <v>August</v>
      </c>
      <c r="E119">
        <v>500</v>
      </c>
      <c r="F119" t="s">
        <v>589</v>
      </c>
      <c r="G119" t="s">
        <v>807</v>
      </c>
      <c r="H119" s="38">
        <v>46235</v>
      </c>
      <c r="I119" cm="1">
        <f t="array" ref="I119">IFERROR(INDEX('ALL STUDENTS'!$A:$A, MATCH(1, ('ALL STUDENTS'!$B:$B = B119) * ('ALL STUDENTS'!$C:$C = C119), 0)), "NOT FOUND")</f>
        <v>930</v>
      </c>
      <c r="J119" t="str">
        <f>IF(Table26[[#This Row],[Fee]]&gt;500,Table26[[#This Row],[Fee]],"")</f>
        <v/>
      </c>
    </row>
    <row r="120" spans="1:10" hidden="1">
      <c r="A120">
        <v>119</v>
      </c>
      <c r="B120" t="s">
        <v>401</v>
      </c>
      <c r="C120" t="s">
        <v>397</v>
      </c>
      <c r="D120" t="str">
        <f t="array" ref="D120">TEXT(Table26[[#This Row],[Date]],"MMMM")</f>
        <v>August</v>
      </c>
      <c r="E120">
        <v>500</v>
      </c>
      <c r="F120" t="s">
        <v>589</v>
      </c>
      <c r="G120" t="s">
        <v>808</v>
      </c>
      <c r="H120" s="38">
        <v>46235</v>
      </c>
      <c r="I120" cm="1">
        <f t="array" ref="I120">IFERROR(INDEX('ALL STUDENTS'!$A:$A, MATCH(1, ('ALL STUDENTS'!$B:$B = B120) * ('ALL STUDENTS'!$C:$C = C120), 0)), "NOT FOUND")</f>
        <v>930</v>
      </c>
      <c r="J120" t="str">
        <f>IF(Table26[[#This Row],[Fee]]&gt;500,Table26[[#This Row],[Fee]],"")</f>
        <v/>
      </c>
    </row>
    <row r="121" spans="1:10" hidden="1">
      <c r="A121">
        <v>120</v>
      </c>
      <c r="B121" t="s">
        <v>401</v>
      </c>
      <c r="C121" t="s">
        <v>397</v>
      </c>
      <c r="D121" t="str">
        <f t="array" ref="D121">TEXT(Table26[[#This Row],[Date]],"MMMM")</f>
        <v>August</v>
      </c>
      <c r="E121">
        <v>500</v>
      </c>
      <c r="F121" t="s">
        <v>589</v>
      </c>
      <c r="G121" t="s">
        <v>809</v>
      </c>
      <c r="H121" s="38">
        <v>46235</v>
      </c>
      <c r="I121" cm="1">
        <f t="array" ref="I121">IFERROR(INDEX('ALL STUDENTS'!$A:$A, MATCH(1, ('ALL STUDENTS'!$B:$B = B121) * ('ALL STUDENTS'!$C:$C = C121), 0)), "NOT FOUND")</f>
        <v>930</v>
      </c>
      <c r="J121" t="str">
        <f>IF(Table26[[#This Row],[Fee]]&gt;500,Table26[[#This Row],[Fee]],"")</f>
        <v/>
      </c>
    </row>
    <row r="122" spans="1:10" hidden="1">
      <c r="A122">
        <v>121</v>
      </c>
      <c r="B122" t="s">
        <v>497</v>
      </c>
      <c r="C122" t="s">
        <v>496</v>
      </c>
      <c r="D122" t="str">
        <f t="array" ref="D122">TEXT(Table26[[#This Row],[Date]],"MMMM")</f>
        <v>August</v>
      </c>
      <c r="E122">
        <v>500</v>
      </c>
      <c r="F122" t="s">
        <v>589</v>
      </c>
      <c r="G122" t="s">
        <v>810</v>
      </c>
      <c r="H122" s="38">
        <v>46235</v>
      </c>
      <c r="I122" cm="1">
        <f t="array" ref="I122">IFERROR(INDEX('ALL STUDENTS'!$A:$A, MATCH(1, ('ALL STUDENTS'!$B:$B = B122) * ('ALL STUDENTS'!$C:$C = C122), 0)), "NOT FOUND")</f>
        <v>381</v>
      </c>
      <c r="J122" t="str">
        <f>IF(Table26[[#This Row],[Fee]]&gt;500,Table26[[#This Row],[Fee]],"")</f>
        <v/>
      </c>
    </row>
    <row r="123" spans="1:10" hidden="1">
      <c r="A123">
        <v>122</v>
      </c>
      <c r="B123" t="s">
        <v>120</v>
      </c>
      <c r="C123" t="s">
        <v>119</v>
      </c>
      <c r="D123" t="str">
        <f t="array" ref="D123">TEXT(Table26[[#This Row],[Date]],"MMMM")</f>
        <v>August</v>
      </c>
      <c r="E123">
        <v>500</v>
      </c>
      <c r="F123" t="s">
        <v>589</v>
      </c>
      <c r="G123" t="s">
        <v>811</v>
      </c>
      <c r="H123" s="38">
        <v>46235</v>
      </c>
      <c r="I123" cm="1">
        <f t="array" ref="I123">IFERROR(INDEX('ALL STUDENTS'!$A:$A, MATCH(1, ('ALL STUDENTS'!$B:$B = B123) * ('ALL STUDENTS'!$C:$C = C123), 0)), "NOT FOUND")</f>
        <v>1679</v>
      </c>
      <c r="J123" t="str">
        <f>IF(Table26[[#This Row],[Fee]]&gt;500,Table26[[#This Row],[Fee]],"")</f>
        <v/>
      </c>
    </row>
    <row r="124" spans="1:10" hidden="1">
      <c r="A124">
        <v>123</v>
      </c>
      <c r="B124" t="s">
        <v>531</v>
      </c>
      <c r="C124" t="s">
        <v>526</v>
      </c>
      <c r="D124" t="str">
        <f t="array" ref="D124">TEXT(Table26[[#This Row],[Date]],"MMMM")</f>
        <v>August</v>
      </c>
      <c r="E124">
        <v>500</v>
      </c>
      <c r="F124" t="s">
        <v>589</v>
      </c>
      <c r="G124" t="s">
        <v>812</v>
      </c>
      <c r="H124" s="38">
        <v>46235</v>
      </c>
      <c r="I124" cm="1">
        <f t="array" ref="I124">IFERROR(INDEX('ALL STUDENTS'!$A:$A, MATCH(1, ('ALL STUDENTS'!$B:$B = B124) * ('ALL STUDENTS'!$C:$C = C124), 0)), "NOT FOUND")</f>
        <v>100</v>
      </c>
      <c r="J124" t="str">
        <f>IF(Table26[[#This Row],[Fee]]&gt;500,Table26[[#This Row],[Fee]],"")</f>
        <v/>
      </c>
    </row>
    <row r="125" spans="1:10" hidden="1">
      <c r="A125">
        <v>124</v>
      </c>
      <c r="B125" t="s">
        <v>92</v>
      </c>
      <c r="C125" t="s">
        <v>87</v>
      </c>
      <c r="D125" t="str">
        <f t="array" ref="D125">TEXT(Table26[[#This Row],[Date]],"MMMM")</f>
        <v>August</v>
      </c>
      <c r="E125">
        <v>500</v>
      </c>
      <c r="F125" t="s">
        <v>589</v>
      </c>
      <c r="G125" t="s">
        <v>813</v>
      </c>
      <c r="H125" s="38">
        <v>46235</v>
      </c>
      <c r="I125" cm="1">
        <f t="array" ref="I125">IFERROR(INDEX('ALL STUDENTS'!$A:$A, MATCH(1, ('ALL STUDENTS'!$B:$B = B125) * ('ALL STUDENTS'!$C:$C = C125), 0)), "NOT FOUND")</f>
        <v>1570</v>
      </c>
      <c r="J125" t="str">
        <f>IF(Table26[[#This Row],[Fee]]&gt;500,Table26[[#This Row],[Fee]],"")</f>
        <v/>
      </c>
    </row>
    <row r="126" spans="1:10" hidden="1">
      <c r="A126">
        <v>125</v>
      </c>
      <c r="B126" t="s">
        <v>325</v>
      </c>
      <c r="C126" t="s">
        <v>324</v>
      </c>
      <c r="D126" t="str">
        <f t="array" ref="D126">TEXT(Table26[[#This Row],[Date]],"MMMM")</f>
        <v>August</v>
      </c>
      <c r="E126">
        <v>500</v>
      </c>
      <c r="F126" t="s">
        <v>589</v>
      </c>
      <c r="G126" t="s">
        <v>814</v>
      </c>
      <c r="H126" s="38">
        <v>46235</v>
      </c>
      <c r="I126" cm="1">
        <f t="array" ref="I126">IFERROR(INDEX('ALL STUDENTS'!$A:$A, MATCH(1, ('ALL STUDENTS'!$B:$B = B126) * ('ALL STUDENTS'!$C:$C = C126), 0)), "NOT FOUND")</f>
        <v>2458</v>
      </c>
      <c r="J126" t="str">
        <f>IF(Table26[[#This Row],[Fee]]&gt;500,Table26[[#This Row],[Fee]],"")</f>
        <v/>
      </c>
    </row>
    <row r="127" spans="1:10" hidden="1">
      <c r="A127">
        <v>126</v>
      </c>
      <c r="B127" t="s">
        <v>121</v>
      </c>
      <c r="C127" t="s">
        <v>119</v>
      </c>
      <c r="D127" t="str">
        <f t="array" ref="D127">TEXT(Table26[[#This Row],[Date]],"MMMM")</f>
        <v>August</v>
      </c>
      <c r="E127">
        <v>500</v>
      </c>
      <c r="F127" t="s">
        <v>589</v>
      </c>
      <c r="G127" t="s">
        <v>815</v>
      </c>
      <c r="H127" s="38">
        <v>46235</v>
      </c>
      <c r="I127" cm="1">
        <f t="array" ref="I127">IFERROR(INDEX('ALL STUDENTS'!$A:$A, MATCH(1, ('ALL STUDENTS'!$B:$B = B127) * ('ALL STUDENTS'!$C:$C = C127), 0)), "NOT FOUND")</f>
        <v>1673</v>
      </c>
      <c r="J127" t="str">
        <f>IF(Table26[[#This Row],[Fee]]&gt;500,Table26[[#This Row],[Fee]],"")</f>
        <v/>
      </c>
    </row>
    <row r="128" spans="1:10" hidden="1">
      <c r="A128">
        <v>127</v>
      </c>
      <c r="B128" t="s">
        <v>121</v>
      </c>
      <c r="C128" t="s">
        <v>119</v>
      </c>
      <c r="D128" t="str">
        <f t="array" ref="D128">TEXT(Table26[[#This Row],[Date]],"MMMM")</f>
        <v>August</v>
      </c>
      <c r="E128">
        <v>500</v>
      </c>
      <c r="F128" t="s">
        <v>589</v>
      </c>
      <c r="G128" t="s">
        <v>816</v>
      </c>
      <c r="H128" s="38">
        <v>46235</v>
      </c>
      <c r="I128" cm="1">
        <f t="array" ref="I128">IFERROR(INDEX('ALL STUDENTS'!$A:$A, MATCH(1, ('ALL STUDENTS'!$B:$B = B128) * ('ALL STUDENTS'!$C:$C = C128), 0)), "NOT FOUND")</f>
        <v>1673</v>
      </c>
      <c r="J128" t="str">
        <f>IF(Table26[[#This Row],[Fee]]&gt;500,Table26[[#This Row],[Fee]],"")</f>
        <v/>
      </c>
    </row>
    <row r="129" spans="1:10" hidden="1">
      <c r="A129">
        <v>128</v>
      </c>
      <c r="B129" t="s">
        <v>121</v>
      </c>
      <c r="C129" t="s">
        <v>119</v>
      </c>
      <c r="D129" t="str">
        <f t="array" ref="D129">TEXT(Table26[[#This Row],[Date]],"MMMM")</f>
        <v>August</v>
      </c>
      <c r="E129">
        <v>500</v>
      </c>
      <c r="F129" t="s">
        <v>589</v>
      </c>
      <c r="G129" t="s">
        <v>817</v>
      </c>
      <c r="H129" s="38">
        <v>46235</v>
      </c>
      <c r="I129" cm="1">
        <f t="array" ref="I129">IFERROR(INDEX('ALL STUDENTS'!$A:$A, MATCH(1, ('ALL STUDENTS'!$B:$B = B129) * ('ALL STUDENTS'!$C:$C = C129), 0)), "NOT FOUND")</f>
        <v>1673</v>
      </c>
      <c r="J129" t="str">
        <f>IF(Table26[[#This Row],[Fee]]&gt;500,Table26[[#This Row],[Fee]],"")</f>
        <v/>
      </c>
    </row>
    <row r="130" spans="1:10" hidden="1">
      <c r="A130">
        <v>129</v>
      </c>
      <c r="B130" t="s">
        <v>141</v>
      </c>
      <c r="C130" t="s">
        <v>138</v>
      </c>
      <c r="D130" t="str">
        <f t="array" ref="D130">TEXT(Table26[[#This Row],[Date]],"MMMM")</f>
        <v>August</v>
      </c>
      <c r="E130">
        <v>500</v>
      </c>
      <c r="F130" t="s">
        <v>589</v>
      </c>
      <c r="G130" t="s">
        <v>818</v>
      </c>
      <c r="H130" s="38">
        <v>46235</v>
      </c>
      <c r="I130" cm="1">
        <f t="array" ref="I130">IFERROR(INDEX('ALL STUDENTS'!$A:$A, MATCH(1, ('ALL STUDENTS'!$B:$B = B130) * ('ALL STUDENTS'!$C:$C = C130), 0)), "NOT FOUND")</f>
        <v>1743</v>
      </c>
      <c r="J130" t="str">
        <f>IF(Table26[[#This Row],[Fee]]&gt;500,Table26[[#This Row],[Fee]],"")</f>
        <v/>
      </c>
    </row>
    <row r="131" spans="1:10" hidden="1">
      <c r="A131">
        <v>130</v>
      </c>
      <c r="B131" t="s">
        <v>141</v>
      </c>
      <c r="C131" t="s">
        <v>138</v>
      </c>
      <c r="D131" t="str">
        <f t="array" ref="D131">TEXT(Table26[[#This Row],[Date]],"MMMM")</f>
        <v>August</v>
      </c>
      <c r="E131">
        <v>500</v>
      </c>
      <c r="F131" t="s">
        <v>589</v>
      </c>
      <c r="G131" t="s">
        <v>819</v>
      </c>
      <c r="H131" s="38">
        <v>46235</v>
      </c>
      <c r="I131" cm="1">
        <f t="array" ref="I131">IFERROR(INDEX('ALL STUDENTS'!$A:$A, MATCH(1, ('ALL STUDENTS'!$B:$B = B131) * ('ALL STUDENTS'!$C:$C = C131), 0)), "NOT FOUND")</f>
        <v>1743</v>
      </c>
      <c r="J131" t="str">
        <f>IF(Table26[[#This Row],[Fee]]&gt;500,Table26[[#This Row],[Fee]],"")</f>
        <v/>
      </c>
    </row>
    <row r="132" spans="1:10" hidden="1">
      <c r="A132">
        <v>131</v>
      </c>
      <c r="B132" t="s">
        <v>141</v>
      </c>
      <c r="C132" t="s">
        <v>138</v>
      </c>
      <c r="D132" t="str">
        <f t="array" ref="D132">TEXT(Table26[[#This Row],[Date]],"MMMM")</f>
        <v>August</v>
      </c>
      <c r="E132">
        <v>500</v>
      </c>
      <c r="F132" t="s">
        <v>589</v>
      </c>
      <c r="G132" t="s">
        <v>820</v>
      </c>
      <c r="H132" s="38">
        <v>46235</v>
      </c>
      <c r="I132" cm="1">
        <f t="array" ref="I132">IFERROR(INDEX('ALL STUDENTS'!$A:$A, MATCH(1, ('ALL STUDENTS'!$B:$B = B132) * ('ALL STUDENTS'!$C:$C = C132), 0)), "NOT FOUND")</f>
        <v>1743</v>
      </c>
      <c r="J132" t="str">
        <f>IF(Table26[[#This Row],[Fee]]&gt;500,Table26[[#This Row],[Fee]],"")</f>
        <v/>
      </c>
    </row>
    <row r="133" spans="1:10" hidden="1">
      <c r="A133">
        <v>132</v>
      </c>
      <c r="B133" t="s">
        <v>256</v>
      </c>
      <c r="C133" t="s">
        <v>252</v>
      </c>
      <c r="D133" t="str">
        <f t="array" ref="D133">TEXT(Table26[[#This Row],[Date]],"MMMM")</f>
        <v>August</v>
      </c>
      <c r="E133">
        <v>500</v>
      </c>
      <c r="F133" t="s">
        <v>589</v>
      </c>
      <c r="G133" t="s">
        <v>821</v>
      </c>
      <c r="H133" s="38">
        <v>46235</v>
      </c>
      <c r="I133" cm="1">
        <f t="array" ref="I133">IFERROR(INDEX('ALL STUDENTS'!$A:$A, MATCH(1, ('ALL STUDENTS'!$B:$B = B133) * ('ALL STUDENTS'!$C:$C = C133), 0)), "NOT FOUND")</f>
        <v>2146</v>
      </c>
      <c r="J133" t="str">
        <f>IF(Table26[[#This Row],[Fee]]&gt;500,Table26[[#This Row],[Fee]],"")</f>
        <v/>
      </c>
    </row>
    <row r="134" spans="1:10" hidden="1">
      <c r="A134">
        <v>133</v>
      </c>
      <c r="B134" t="s">
        <v>187</v>
      </c>
      <c r="C134" t="s">
        <v>185</v>
      </c>
      <c r="D134" t="str">
        <f t="array" ref="D134">TEXT(Table26[[#This Row],[Date]],"MMMM")</f>
        <v>August</v>
      </c>
      <c r="E134">
        <v>500</v>
      </c>
      <c r="F134" t="s">
        <v>589</v>
      </c>
      <c r="G134" t="s">
        <v>822</v>
      </c>
      <c r="H134" s="38">
        <v>46235</v>
      </c>
      <c r="I134" cm="1">
        <f t="array" ref="I134">IFERROR(INDEX('ALL STUDENTS'!$A:$A, MATCH(1, ('ALL STUDENTS'!$B:$B = B134) * ('ALL STUDENTS'!$C:$C = C134), 0)), "NOT FOUND")</f>
        <v>2711</v>
      </c>
      <c r="J134" t="str">
        <f>IF(Table26[[#This Row],[Fee]]&gt;500,Table26[[#This Row],[Fee]],"")</f>
        <v/>
      </c>
    </row>
    <row r="135" spans="1:10" hidden="1">
      <c r="A135">
        <v>134</v>
      </c>
      <c r="B135" t="s">
        <v>402</v>
      </c>
      <c r="C135" t="s">
        <v>397</v>
      </c>
      <c r="D135" t="str">
        <f t="array" ref="D135">TEXT(Table26[[#This Row],[Date]],"MMMM")</f>
        <v>August</v>
      </c>
      <c r="E135">
        <v>500</v>
      </c>
      <c r="F135" t="s">
        <v>589</v>
      </c>
      <c r="G135" t="s">
        <v>823</v>
      </c>
      <c r="H135" s="38">
        <v>46235</v>
      </c>
      <c r="I135" cm="1">
        <f t="array" ref="I135">IFERROR(INDEX('ALL STUDENTS'!$A:$A, MATCH(1, ('ALL STUDENTS'!$B:$B = B135) * ('ALL STUDENTS'!$C:$C = C135), 0)), "NOT FOUND")</f>
        <v>910</v>
      </c>
      <c r="J135" t="str">
        <f>IF(Table26[[#This Row],[Fee]]&gt;500,Table26[[#This Row],[Fee]],"")</f>
        <v/>
      </c>
    </row>
    <row r="136" spans="1:10" hidden="1">
      <c r="A136">
        <v>135</v>
      </c>
      <c r="B136" t="s">
        <v>411</v>
      </c>
      <c r="C136" t="s">
        <v>409</v>
      </c>
      <c r="D136" t="str">
        <f t="array" ref="D136">TEXT(Table26[[#This Row],[Date]],"MMMM")</f>
        <v>August</v>
      </c>
      <c r="E136">
        <v>500</v>
      </c>
      <c r="F136" t="s">
        <v>589</v>
      </c>
      <c r="G136" t="s">
        <v>824</v>
      </c>
      <c r="H136" s="38">
        <v>46235</v>
      </c>
      <c r="I136" cm="1">
        <f t="array" ref="I136">IFERROR(INDEX('ALL STUDENTS'!$A:$A, MATCH(1, ('ALL STUDENTS'!$B:$B = B136) * ('ALL STUDENTS'!$C:$C = C136), 0)), "NOT FOUND")</f>
        <v>970</v>
      </c>
      <c r="J136" t="str">
        <f>IF(Table26[[#This Row],[Fee]]&gt;500,Table26[[#This Row],[Fee]],"")</f>
        <v/>
      </c>
    </row>
    <row r="137" spans="1:10" hidden="1">
      <c r="A137">
        <v>136</v>
      </c>
      <c r="B137" t="s">
        <v>411</v>
      </c>
      <c r="C137" t="s">
        <v>409</v>
      </c>
      <c r="D137" t="str">
        <f t="array" ref="D137">TEXT(Table26[[#This Row],[Date]],"MMMM")</f>
        <v>August</v>
      </c>
      <c r="E137">
        <v>500</v>
      </c>
      <c r="F137" t="s">
        <v>589</v>
      </c>
      <c r="G137" t="s">
        <v>825</v>
      </c>
      <c r="H137" s="38">
        <v>46235</v>
      </c>
      <c r="I137" cm="1">
        <f t="array" ref="I137">IFERROR(INDEX('ALL STUDENTS'!$A:$A, MATCH(1, ('ALL STUDENTS'!$B:$B = B137) * ('ALL STUDENTS'!$C:$C = C137), 0)), "NOT FOUND")</f>
        <v>970</v>
      </c>
      <c r="J137" t="str">
        <f>IF(Table26[[#This Row],[Fee]]&gt;500,Table26[[#This Row],[Fee]],"")</f>
        <v/>
      </c>
    </row>
    <row r="138" spans="1:10" hidden="1">
      <c r="A138">
        <v>137</v>
      </c>
      <c r="B138" t="s">
        <v>411</v>
      </c>
      <c r="C138" t="s">
        <v>409</v>
      </c>
      <c r="D138" t="str">
        <f t="array" ref="D138">TEXT(Table26[[#This Row],[Date]],"MMMM")</f>
        <v>August</v>
      </c>
      <c r="E138">
        <v>500</v>
      </c>
      <c r="F138" t="s">
        <v>589</v>
      </c>
      <c r="G138" t="s">
        <v>826</v>
      </c>
      <c r="H138" s="38">
        <v>46235</v>
      </c>
      <c r="I138" cm="1">
        <f t="array" ref="I138">IFERROR(INDEX('ALL STUDENTS'!$A:$A, MATCH(1, ('ALL STUDENTS'!$B:$B = B138) * ('ALL STUDENTS'!$C:$C = C138), 0)), "NOT FOUND")</f>
        <v>970</v>
      </c>
      <c r="J138" t="str">
        <f>IF(Table26[[#This Row],[Fee]]&gt;500,Table26[[#This Row],[Fee]],"")</f>
        <v/>
      </c>
    </row>
    <row r="139" spans="1:10" hidden="1">
      <c r="A139">
        <v>138</v>
      </c>
      <c r="B139" t="s">
        <v>162</v>
      </c>
      <c r="C139" t="s">
        <v>159</v>
      </c>
      <c r="D139" t="str">
        <f t="array" ref="D139">TEXT(Table26[[#This Row],[Date]],"MMMM")</f>
        <v>August</v>
      </c>
      <c r="E139">
        <v>500</v>
      </c>
      <c r="F139" t="s">
        <v>589</v>
      </c>
      <c r="G139" t="s">
        <v>827</v>
      </c>
      <c r="H139" s="38">
        <v>46235</v>
      </c>
      <c r="I139" cm="1">
        <f t="array" ref="I139">IFERROR(INDEX('ALL STUDENTS'!$A:$A, MATCH(1, ('ALL STUDENTS'!$B:$B = B139) * ('ALL STUDENTS'!$C:$C = C139), 0)), "NOT FOUND")</f>
        <v>2623</v>
      </c>
      <c r="J139" t="str">
        <f>IF(Table26[[#This Row],[Fee]]&gt;500,Table26[[#This Row],[Fee]],"")</f>
        <v/>
      </c>
    </row>
    <row r="140" spans="1:10" hidden="1">
      <c r="A140">
        <v>139</v>
      </c>
      <c r="B140" t="s">
        <v>162</v>
      </c>
      <c r="C140" t="s">
        <v>159</v>
      </c>
      <c r="D140" t="str">
        <f t="array" ref="D140">TEXT(Table26[[#This Row],[Date]],"MMMM")</f>
        <v>August</v>
      </c>
      <c r="E140">
        <v>500</v>
      </c>
      <c r="F140" t="s">
        <v>589</v>
      </c>
      <c r="G140" t="s">
        <v>828</v>
      </c>
      <c r="H140" s="38">
        <v>46235</v>
      </c>
      <c r="I140" cm="1">
        <f t="array" ref="I140">IFERROR(INDEX('ALL STUDENTS'!$A:$A, MATCH(1, ('ALL STUDENTS'!$B:$B = B140) * ('ALL STUDENTS'!$C:$C = C140), 0)), "NOT FOUND")</f>
        <v>2623</v>
      </c>
      <c r="J140" t="str">
        <f>IF(Table26[[#This Row],[Fee]]&gt;500,Table26[[#This Row],[Fee]],"")</f>
        <v/>
      </c>
    </row>
    <row r="141" spans="1:10" hidden="1">
      <c r="A141">
        <v>140</v>
      </c>
      <c r="B141" t="s">
        <v>162</v>
      </c>
      <c r="C141" t="s">
        <v>159</v>
      </c>
      <c r="D141" t="str">
        <f t="array" ref="D141">TEXT(Table26[[#This Row],[Date]],"MMMM")</f>
        <v>August</v>
      </c>
      <c r="E141">
        <v>500</v>
      </c>
      <c r="F141" t="s">
        <v>589</v>
      </c>
      <c r="G141" t="s">
        <v>829</v>
      </c>
      <c r="H141" s="38">
        <v>46235</v>
      </c>
      <c r="I141" cm="1">
        <f t="array" ref="I141">IFERROR(INDEX('ALL STUDENTS'!$A:$A, MATCH(1, ('ALL STUDENTS'!$B:$B = B141) * ('ALL STUDENTS'!$C:$C = C141), 0)), "NOT FOUND")</f>
        <v>2623</v>
      </c>
      <c r="J141" t="str">
        <f>IF(Table26[[#This Row],[Fee]]&gt;500,Table26[[#This Row],[Fee]],"")</f>
        <v/>
      </c>
    </row>
    <row r="142" spans="1:10" hidden="1">
      <c r="A142">
        <v>141</v>
      </c>
      <c r="B142" t="s">
        <v>544</v>
      </c>
      <c r="C142" t="s">
        <v>543</v>
      </c>
      <c r="D142" t="str">
        <f t="array" ref="D142">TEXT(Table26[[#This Row],[Date]],"MMMM")</f>
        <v>August</v>
      </c>
      <c r="E142">
        <v>500</v>
      </c>
      <c r="F142" t="s">
        <v>589</v>
      </c>
      <c r="G142" t="s">
        <v>830</v>
      </c>
      <c r="H142" s="38">
        <v>46235</v>
      </c>
      <c r="I142" cm="1">
        <f t="array" ref="I142">IFERROR(INDEX('ALL STUDENTS'!$A:$A, MATCH(1, ('ALL STUDENTS'!$B:$B = B142) * ('ALL STUDENTS'!$C:$C = C142), 0)), "NOT FOUND")</f>
        <v>152</v>
      </c>
      <c r="J142" t="str">
        <f>IF(Table26[[#This Row],[Fee]]&gt;500,Table26[[#This Row],[Fee]],"")</f>
        <v/>
      </c>
    </row>
    <row r="143" spans="1:10" hidden="1">
      <c r="A143">
        <v>142</v>
      </c>
      <c r="B143" t="s">
        <v>522</v>
      </c>
      <c r="C143" t="s">
        <v>520</v>
      </c>
      <c r="D143" t="str">
        <f t="array" ref="D143">TEXT(Table26[[#This Row],[Date]],"MMMM")</f>
        <v>August</v>
      </c>
      <c r="E143">
        <v>500</v>
      </c>
      <c r="F143" t="s">
        <v>589</v>
      </c>
      <c r="G143" t="s">
        <v>831</v>
      </c>
      <c r="H143" s="38">
        <v>46235</v>
      </c>
      <c r="I143" cm="1">
        <f t="array" ref="I143">IFERROR(INDEX('ALL STUDENTS'!$A:$A, MATCH(1, ('ALL STUDENTS'!$B:$B = B143) * ('ALL STUDENTS'!$C:$C = C143), 0)), "NOT FOUND")</f>
        <v>72</v>
      </c>
      <c r="J143" t="str">
        <f>IF(Table26[[#This Row],[Fee]]&gt;500,Table26[[#This Row],[Fee]],"")</f>
        <v/>
      </c>
    </row>
    <row r="144" spans="1:10" hidden="1">
      <c r="A144">
        <v>143</v>
      </c>
      <c r="B144" t="s">
        <v>103</v>
      </c>
      <c r="C144" t="s">
        <v>102</v>
      </c>
      <c r="D144" t="str">
        <f t="array" ref="D144">TEXT(Table26[[#This Row],[Date]],"MMMM")</f>
        <v>August</v>
      </c>
      <c r="E144">
        <v>500</v>
      </c>
      <c r="F144" t="s">
        <v>589</v>
      </c>
      <c r="G144" t="s">
        <v>832</v>
      </c>
      <c r="H144" s="38">
        <v>46235</v>
      </c>
      <c r="I144" cm="1">
        <f t="array" ref="I144">IFERROR(INDEX('ALL STUDENTS'!$A:$A, MATCH(1, ('ALL STUDENTS'!$B:$B = B144) * ('ALL STUDENTS'!$C:$C = C144), 0)), "NOT FOUND")</f>
        <v>1614</v>
      </c>
      <c r="J144" t="str">
        <f>IF(Table26[[#This Row],[Fee]]&gt;500,Table26[[#This Row],[Fee]],"")</f>
        <v/>
      </c>
    </row>
    <row r="145" spans="1:10" hidden="1">
      <c r="A145">
        <v>144</v>
      </c>
      <c r="B145" t="s">
        <v>150</v>
      </c>
      <c r="C145" t="s">
        <v>149</v>
      </c>
      <c r="D145" t="str">
        <f t="array" ref="D145">TEXT(Table26[[#This Row],[Date]],"MMMM")</f>
        <v>August</v>
      </c>
      <c r="E145">
        <v>500</v>
      </c>
      <c r="F145" t="s">
        <v>589</v>
      </c>
      <c r="G145" t="s">
        <v>833</v>
      </c>
      <c r="H145" s="38">
        <v>46235</v>
      </c>
      <c r="I145" cm="1">
        <f t="array" ref="I145">IFERROR(INDEX('ALL STUDENTS'!$A:$A, MATCH(1, ('ALL STUDENTS'!$B:$B = B145) * ('ALL STUDENTS'!$C:$C = C145), 0)), "NOT FOUND")</f>
        <v>1780</v>
      </c>
      <c r="J145" t="str">
        <f>IF(Table26[[#This Row],[Fee]]&gt;500,Table26[[#This Row],[Fee]],"")</f>
        <v/>
      </c>
    </row>
    <row r="146" spans="1:10" hidden="1">
      <c r="A146">
        <v>145</v>
      </c>
      <c r="B146" t="s">
        <v>150</v>
      </c>
      <c r="C146" t="s">
        <v>149</v>
      </c>
      <c r="D146" t="str">
        <f t="array" ref="D146">TEXT(Table26[[#This Row],[Date]],"MMMM")</f>
        <v>August</v>
      </c>
      <c r="E146">
        <v>500</v>
      </c>
      <c r="F146" t="s">
        <v>589</v>
      </c>
      <c r="G146" t="s">
        <v>834</v>
      </c>
      <c r="H146" s="38">
        <v>46235</v>
      </c>
      <c r="I146" cm="1">
        <f t="array" ref="I146">IFERROR(INDEX('ALL STUDENTS'!$A:$A, MATCH(1, ('ALL STUDENTS'!$B:$B = B146) * ('ALL STUDENTS'!$C:$C = C146), 0)), "NOT FOUND")</f>
        <v>1780</v>
      </c>
      <c r="J146" t="str">
        <f>IF(Table26[[#This Row],[Fee]]&gt;500,Table26[[#This Row],[Fee]],"")</f>
        <v/>
      </c>
    </row>
    <row r="147" spans="1:10" hidden="1">
      <c r="A147">
        <v>146</v>
      </c>
      <c r="B147" t="s">
        <v>150</v>
      </c>
      <c r="C147" t="s">
        <v>149</v>
      </c>
      <c r="D147" t="str">
        <f t="array" ref="D147">TEXT(Table26[[#This Row],[Date]],"MMMM")</f>
        <v>August</v>
      </c>
      <c r="E147">
        <v>500</v>
      </c>
      <c r="F147" t="s">
        <v>589</v>
      </c>
      <c r="G147" t="s">
        <v>835</v>
      </c>
      <c r="H147" s="38">
        <v>46235</v>
      </c>
      <c r="I147" cm="1">
        <f t="array" ref="I147">IFERROR(INDEX('ALL STUDENTS'!$A:$A, MATCH(1, ('ALL STUDENTS'!$B:$B = B147) * ('ALL STUDENTS'!$C:$C = C147), 0)), "NOT FOUND")</f>
        <v>1780</v>
      </c>
      <c r="J147" t="str">
        <f>IF(Table26[[#This Row],[Fee]]&gt;500,Table26[[#This Row],[Fee]],"")</f>
        <v/>
      </c>
    </row>
    <row r="148" spans="1:10" hidden="1">
      <c r="A148">
        <v>147</v>
      </c>
      <c r="B148" t="s">
        <v>93</v>
      </c>
      <c r="C148" t="s">
        <v>87</v>
      </c>
      <c r="D148" t="str">
        <f t="array" ref="D148">TEXT(Table26[[#This Row],[Date]],"MMMM")</f>
        <v>August</v>
      </c>
      <c r="E148">
        <v>500</v>
      </c>
      <c r="F148" t="s">
        <v>589</v>
      </c>
      <c r="G148" t="s">
        <v>836</v>
      </c>
      <c r="H148" s="38">
        <v>46235</v>
      </c>
      <c r="I148" cm="1">
        <f t="array" ref="I148">IFERROR(INDEX('ALL STUDENTS'!$A:$A, MATCH(1, ('ALL STUDENTS'!$B:$B = B148) * ('ALL STUDENTS'!$C:$C = C148), 0)), "NOT FOUND")</f>
        <v>1563</v>
      </c>
      <c r="J148" t="str">
        <f>IF(Table26[[#This Row],[Fee]]&gt;500,Table26[[#This Row],[Fee]],"")</f>
        <v/>
      </c>
    </row>
    <row r="149" spans="1:10" hidden="1">
      <c r="A149">
        <v>148</v>
      </c>
      <c r="B149" t="s">
        <v>93</v>
      </c>
      <c r="C149" t="s">
        <v>87</v>
      </c>
      <c r="D149" t="str">
        <f t="array" ref="D149">TEXT(Table26[[#This Row],[Date]],"MMMM")</f>
        <v>August</v>
      </c>
      <c r="E149">
        <v>500</v>
      </c>
      <c r="F149" t="s">
        <v>589</v>
      </c>
      <c r="G149" t="s">
        <v>837</v>
      </c>
      <c r="H149" s="38">
        <v>46235</v>
      </c>
      <c r="I149" cm="1">
        <f t="array" ref="I149">IFERROR(INDEX('ALL STUDENTS'!$A:$A, MATCH(1, ('ALL STUDENTS'!$B:$B = B149) * ('ALL STUDENTS'!$C:$C = C149), 0)), "NOT FOUND")</f>
        <v>1563</v>
      </c>
      <c r="J149" t="str">
        <f>IF(Table26[[#This Row],[Fee]]&gt;500,Table26[[#This Row],[Fee]],"")</f>
        <v/>
      </c>
    </row>
    <row r="150" spans="1:10" hidden="1">
      <c r="A150">
        <v>149</v>
      </c>
      <c r="B150" t="s">
        <v>93</v>
      </c>
      <c r="C150" t="s">
        <v>87</v>
      </c>
      <c r="D150" t="str">
        <f t="array" ref="D150">TEXT(Table26[[#This Row],[Date]],"MMMM")</f>
        <v>August</v>
      </c>
      <c r="E150">
        <v>500</v>
      </c>
      <c r="F150" t="s">
        <v>589</v>
      </c>
      <c r="G150" t="s">
        <v>838</v>
      </c>
      <c r="H150" s="38">
        <v>46235</v>
      </c>
      <c r="I150" cm="1">
        <f t="array" ref="I150">IFERROR(INDEX('ALL STUDENTS'!$A:$A, MATCH(1, ('ALL STUDENTS'!$B:$B = B150) * ('ALL STUDENTS'!$C:$C = C150), 0)), "NOT FOUND")</f>
        <v>1563</v>
      </c>
      <c r="J150" t="str">
        <f>IF(Table26[[#This Row],[Fee]]&gt;500,Table26[[#This Row],[Fee]],"")</f>
        <v/>
      </c>
    </row>
    <row r="151" spans="1:10" hidden="1">
      <c r="A151">
        <v>150</v>
      </c>
      <c r="B151" t="s">
        <v>188</v>
      </c>
      <c r="C151" t="s">
        <v>185</v>
      </c>
      <c r="D151" t="str">
        <f t="array" ref="D151">TEXT(Table26[[#This Row],[Date]],"MMMM")</f>
        <v>August</v>
      </c>
      <c r="E151">
        <v>500</v>
      </c>
      <c r="F151" t="s">
        <v>589</v>
      </c>
      <c r="G151" t="s">
        <v>839</v>
      </c>
      <c r="H151" s="38">
        <v>46235</v>
      </c>
      <c r="I151" cm="1">
        <f t="array" ref="I151">IFERROR(INDEX('ALL STUDENTS'!$A:$A, MATCH(1, ('ALL STUDENTS'!$B:$B = B151) * ('ALL STUDENTS'!$C:$C = C151), 0)), "NOT FOUND")</f>
        <v>1806</v>
      </c>
      <c r="J151" t="str">
        <f>IF(Table26[[#This Row],[Fee]]&gt;500,Table26[[#This Row],[Fee]],"")</f>
        <v/>
      </c>
    </row>
    <row r="152" spans="1:10" hidden="1">
      <c r="A152">
        <v>151</v>
      </c>
      <c r="B152" t="s">
        <v>188</v>
      </c>
      <c r="C152" t="s">
        <v>185</v>
      </c>
      <c r="D152" t="str">
        <f t="array" ref="D152">TEXT(Table26[[#This Row],[Date]],"MMMM")</f>
        <v>August</v>
      </c>
      <c r="E152">
        <v>500</v>
      </c>
      <c r="F152" t="s">
        <v>589</v>
      </c>
      <c r="G152" t="s">
        <v>840</v>
      </c>
      <c r="H152" s="38">
        <v>46235</v>
      </c>
      <c r="I152" cm="1">
        <f t="array" ref="I152">IFERROR(INDEX('ALL STUDENTS'!$A:$A, MATCH(1, ('ALL STUDENTS'!$B:$B = B152) * ('ALL STUDENTS'!$C:$C = C152), 0)), "NOT FOUND")</f>
        <v>1806</v>
      </c>
      <c r="J152" t="str">
        <f>IF(Table26[[#This Row],[Fee]]&gt;500,Table26[[#This Row],[Fee]],"")</f>
        <v/>
      </c>
    </row>
    <row r="153" spans="1:10" hidden="1">
      <c r="A153">
        <v>152</v>
      </c>
      <c r="B153" t="s">
        <v>188</v>
      </c>
      <c r="C153" t="s">
        <v>185</v>
      </c>
      <c r="D153" t="str">
        <f t="array" ref="D153">TEXT(Table26[[#This Row],[Date]],"MMMM")</f>
        <v>August</v>
      </c>
      <c r="E153">
        <v>500</v>
      </c>
      <c r="F153" t="s">
        <v>589</v>
      </c>
      <c r="G153" t="s">
        <v>841</v>
      </c>
      <c r="H153" s="38">
        <v>46235</v>
      </c>
      <c r="I153" cm="1">
        <f t="array" ref="I153">IFERROR(INDEX('ALL STUDENTS'!$A:$A, MATCH(1, ('ALL STUDENTS'!$B:$B = B153) * ('ALL STUDENTS'!$C:$C = C153), 0)), "NOT FOUND")</f>
        <v>1806</v>
      </c>
      <c r="J153" t="str">
        <f>IF(Table26[[#This Row],[Fee]]&gt;500,Table26[[#This Row],[Fee]],"")</f>
        <v/>
      </c>
    </row>
    <row r="154" spans="1:10" hidden="1">
      <c r="A154">
        <v>153</v>
      </c>
      <c r="B154" t="s">
        <v>114</v>
      </c>
      <c r="C154" t="s">
        <v>113</v>
      </c>
      <c r="D154" t="str">
        <f t="array" ref="D154">TEXT(Table26[[#This Row],[Date]],"MMMM")</f>
        <v>August</v>
      </c>
      <c r="E154">
        <v>500</v>
      </c>
      <c r="F154" t="s">
        <v>589</v>
      </c>
      <c r="G154" t="s">
        <v>842</v>
      </c>
      <c r="H154" s="38">
        <v>46235</v>
      </c>
      <c r="I154" cm="1">
        <f t="array" ref="I154">IFERROR(INDEX('ALL STUDENTS'!$A:$A, MATCH(1, ('ALL STUDENTS'!$B:$B = B154) * ('ALL STUDENTS'!$C:$C = C154), 0)), "NOT FOUND")</f>
        <v>1636</v>
      </c>
      <c r="J154" t="str">
        <f>IF(Table26[[#This Row],[Fee]]&gt;500,Table26[[#This Row],[Fee]],"")</f>
        <v/>
      </c>
    </row>
    <row r="155" spans="1:10" hidden="1">
      <c r="A155">
        <v>154</v>
      </c>
      <c r="B155" t="s">
        <v>114</v>
      </c>
      <c r="C155" t="s">
        <v>113</v>
      </c>
      <c r="D155" t="str">
        <f t="array" ref="D155">TEXT(Table26[[#This Row],[Date]],"MMMM")</f>
        <v>August</v>
      </c>
      <c r="E155">
        <v>500</v>
      </c>
      <c r="F155" t="s">
        <v>589</v>
      </c>
      <c r="G155" t="s">
        <v>843</v>
      </c>
      <c r="H155" s="38">
        <v>46235</v>
      </c>
      <c r="I155" cm="1">
        <f t="array" ref="I155">IFERROR(INDEX('ALL STUDENTS'!$A:$A, MATCH(1, ('ALL STUDENTS'!$B:$B = B155) * ('ALL STUDENTS'!$C:$C = C155), 0)), "NOT FOUND")</f>
        <v>1636</v>
      </c>
      <c r="J155" t="str">
        <f>IF(Table26[[#This Row],[Fee]]&gt;500,Table26[[#This Row],[Fee]],"")</f>
        <v/>
      </c>
    </row>
    <row r="156" spans="1:10" hidden="1">
      <c r="A156">
        <v>155</v>
      </c>
      <c r="B156" t="s">
        <v>114</v>
      </c>
      <c r="C156" t="s">
        <v>113</v>
      </c>
      <c r="D156" t="str">
        <f t="array" ref="D156">TEXT(Table26[[#This Row],[Date]],"MMMM")</f>
        <v>August</v>
      </c>
      <c r="E156">
        <v>500</v>
      </c>
      <c r="F156" t="s">
        <v>589</v>
      </c>
      <c r="G156" t="s">
        <v>844</v>
      </c>
      <c r="H156" s="38">
        <v>46235</v>
      </c>
      <c r="I156" cm="1">
        <f t="array" ref="I156">IFERROR(INDEX('ALL STUDENTS'!$A:$A, MATCH(1, ('ALL STUDENTS'!$B:$B = B156) * ('ALL STUDENTS'!$C:$C = C156), 0)), "NOT FOUND")</f>
        <v>1636</v>
      </c>
      <c r="J156" t="str">
        <f>IF(Table26[[#This Row],[Fee]]&gt;500,Table26[[#This Row],[Fee]],"")</f>
        <v/>
      </c>
    </row>
    <row r="157" spans="1:10" hidden="1">
      <c r="A157">
        <v>156</v>
      </c>
      <c r="B157" t="s">
        <v>549</v>
      </c>
      <c r="C157" t="s">
        <v>548</v>
      </c>
      <c r="D157" t="str">
        <f t="array" ref="D157">TEXT(Table26[[#This Row],[Date]],"MMMM")</f>
        <v>August</v>
      </c>
      <c r="E157">
        <v>500</v>
      </c>
      <c r="F157" t="s">
        <v>589</v>
      </c>
      <c r="G157" t="s">
        <v>845</v>
      </c>
      <c r="H157" s="38">
        <v>46235</v>
      </c>
      <c r="I157" cm="1">
        <f t="array" ref="I157">IFERROR(INDEX('ALL STUDENTS'!$A:$A, MATCH(1, ('ALL STUDENTS'!$B:$B = B157) * ('ALL STUDENTS'!$C:$C = C157), 0)), "NOT FOUND")</f>
        <v>164</v>
      </c>
      <c r="J157" t="str">
        <f>IF(Table26[[#This Row],[Fee]]&gt;500,Table26[[#This Row],[Fee]],"")</f>
        <v/>
      </c>
    </row>
    <row r="158" spans="1:10" hidden="1">
      <c r="A158">
        <v>157</v>
      </c>
      <c r="B158" t="s">
        <v>390</v>
      </c>
      <c r="C158" t="s">
        <v>386</v>
      </c>
      <c r="D158" t="str">
        <f t="array" ref="D158">TEXT(Table26[[#This Row],[Date]],"MMMM")</f>
        <v>August</v>
      </c>
      <c r="E158">
        <v>500</v>
      </c>
      <c r="F158" t="s">
        <v>589</v>
      </c>
      <c r="G158" t="s">
        <v>846</v>
      </c>
      <c r="H158" s="38">
        <v>46235</v>
      </c>
      <c r="I158" cm="1">
        <f t="array" ref="I158">IFERROR(INDEX('ALL STUDENTS'!$A:$A, MATCH(1, ('ALL STUDENTS'!$B:$B = B158) * ('ALL STUDENTS'!$C:$C = C158), 0)), "NOT FOUND")</f>
        <v>897</v>
      </c>
      <c r="J158" t="str">
        <f>IF(Table26[[#This Row],[Fee]]&gt;500,Table26[[#This Row],[Fee]],"")</f>
        <v/>
      </c>
    </row>
    <row r="159" spans="1:10" hidden="1">
      <c r="A159">
        <v>158</v>
      </c>
      <c r="B159" t="s">
        <v>506</v>
      </c>
      <c r="C159" t="s">
        <v>504</v>
      </c>
      <c r="D159" t="str">
        <f t="array" ref="D159">TEXT(Table26[[#This Row],[Date]],"MMMM")</f>
        <v>August</v>
      </c>
      <c r="E159">
        <v>500</v>
      </c>
      <c r="F159" t="s">
        <v>589</v>
      </c>
      <c r="G159" t="s">
        <v>847</v>
      </c>
      <c r="H159" s="38">
        <v>46235</v>
      </c>
      <c r="I159" cm="1">
        <f t="array" ref="I159">IFERROR(INDEX('ALL STUDENTS'!$A:$A, MATCH(1, ('ALL STUDENTS'!$B:$B = B159) * ('ALL STUDENTS'!$C:$C = C159), 0)), "NOT FOUND")</f>
        <v>439</v>
      </c>
      <c r="J159" t="str">
        <f>IF(Table26[[#This Row],[Fee]]&gt;500,Table26[[#This Row],[Fee]],"")</f>
        <v/>
      </c>
    </row>
    <row r="160" spans="1:10" hidden="1">
      <c r="A160">
        <v>159</v>
      </c>
      <c r="B160" t="s">
        <v>506</v>
      </c>
      <c r="C160" t="s">
        <v>504</v>
      </c>
      <c r="D160" t="str">
        <f t="array" ref="D160">TEXT(Table26[[#This Row],[Date]],"MMMM")</f>
        <v>August</v>
      </c>
      <c r="E160">
        <v>500</v>
      </c>
      <c r="F160" t="s">
        <v>589</v>
      </c>
      <c r="G160" t="s">
        <v>848</v>
      </c>
      <c r="H160" s="38">
        <v>46235</v>
      </c>
      <c r="I160" cm="1">
        <f t="array" ref="I160">IFERROR(INDEX('ALL STUDENTS'!$A:$A, MATCH(1, ('ALL STUDENTS'!$B:$B = B160) * ('ALL STUDENTS'!$C:$C = C160), 0)), "NOT FOUND")</f>
        <v>439</v>
      </c>
      <c r="J160" t="str">
        <f>IF(Table26[[#This Row],[Fee]]&gt;500,Table26[[#This Row],[Fee]],"")</f>
        <v/>
      </c>
    </row>
    <row r="161" spans="1:10" hidden="1">
      <c r="A161">
        <v>160</v>
      </c>
      <c r="B161" t="s">
        <v>506</v>
      </c>
      <c r="C161" t="s">
        <v>504</v>
      </c>
      <c r="D161" t="str">
        <f t="array" ref="D161">TEXT(Table26[[#This Row],[Date]],"MMMM")</f>
        <v>August</v>
      </c>
      <c r="E161">
        <v>500</v>
      </c>
      <c r="F161" t="s">
        <v>589</v>
      </c>
      <c r="G161" t="s">
        <v>849</v>
      </c>
      <c r="H161" s="38">
        <v>46235</v>
      </c>
      <c r="I161" cm="1">
        <f t="array" ref="I161">IFERROR(INDEX('ALL STUDENTS'!$A:$A, MATCH(1, ('ALL STUDENTS'!$B:$B = B161) * ('ALL STUDENTS'!$C:$C = C161), 0)), "NOT FOUND")</f>
        <v>439</v>
      </c>
      <c r="J161" t="str">
        <f>IF(Table26[[#This Row],[Fee]]&gt;500,Table26[[#This Row],[Fee]],"")</f>
        <v/>
      </c>
    </row>
    <row r="162" spans="1:10" hidden="1">
      <c r="A162">
        <v>161</v>
      </c>
      <c r="B162" t="s">
        <v>458</v>
      </c>
      <c r="C162" t="s">
        <v>453</v>
      </c>
      <c r="D162" t="str">
        <f t="array" ref="D162">TEXT(Table26[[#This Row],[Date]],"MMMM")</f>
        <v>August</v>
      </c>
      <c r="E162">
        <v>500</v>
      </c>
      <c r="F162" t="s">
        <v>589</v>
      </c>
      <c r="G162" t="s">
        <v>850</v>
      </c>
      <c r="H162" s="38">
        <v>46235</v>
      </c>
      <c r="I162" cm="1">
        <f t="array" ref="I162">IFERROR(INDEX('ALL STUDENTS'!$A:$A, MATCH(1, ('ALL STUDENTS'!$B:$B = B162) * ('ALL STUDENTS'!$C:$C = C162), 0)), "NOT FOUND")</f>
        <v>705</v>
      </c>
      <c r="J162" t="str">
        <f>IF(Table26[[#This Row],[Fee]]&gt;500,Table26[[#This Row],[Fee]],"")</f>
        <v/>
      </c>
    </row>
    <row r="163" spans="1:10" hidden="1">
      <c r="A163">
        <v>162</v>
      </c>
      <c r="B163" t="s">
        <v>458</v>
      </c>
      <c r="C163" t="s">
        <v>453</v>
      </c>
      <c r="D163" t="str">
        <f t="array" ref="D163">TEXT(Table26[[#This Row],[Date]],"MMMM")</f>
        <v>August</v>
      </c>
      <c r="E163">
        <v>500</v>
      </c>
      <c r="F163" t="s">
        <v>589</v>
      </c>
      <c r="G163" t="s">
        <v>851</v>
      </c>
      <c r="H163" s="38">
        <v>46235</v>
      </c>
      <c r="I163" cm="1">
        <f t="array" ref="I163">IFERROR(INDEX('ALL STUDENTS'!$A:$A, MATCH(1, ('ALL STUDENTS'!$B:$B = B163) * ('ALL STUDENTS'!$C:$C = C163), 0)), "NOT FOUND")</f>
        <v>705</v>
      </c>
      <c r="J163" t="str">
        <f>IF(Table26[[#This Row],[Fee]]&gt;500,Table26[[#This Row],[Fee]],"")</f>
        <v/>
      </c>
    </row>
    <row r="164" spans="1:10" hidden="1">
      <c r="A164">
        <v>163</v>
      </c>
      <c r="B164" t="s">
        <v>458</v>
      </c>
      <c r="C164" t="s">
        <v>453</v>
      </c>
      <c r="D164" t="str">
        <f t="array" ref="D164">TEXT(Table26[[#This Row],[Date]],"MMMM")</f>
        <v>August</v>
      </c>
      <c r="E164">
        <v>500</v>
      </c>
      <c r="F164" t="s">
        <v>589</v>
      </c>
      <c r="G164" t="s">
        <v>852</v>
      </c>
      <c r="H164" s="38">
        <v>46235</v>
      </c>
      <c r="I164" cm="1">
        <f t="array" ref="I164">IFERROR(INDEX('ALL STUDENTS'!$A:$A, MATCH(1, ('ALL STUDENTS'!$B:$B = B164) * ('ALL STUDENTS'!$C:$C = C164), 0)), "NOT FOUND")</f>
        <v>705</v>
      </c>
      <c r="J164" t="str">
        <f>IF(Table26[[#This Row],[Fee]]&gt;500,Table26[[#This Row],[Fee]],"")</f>
        <v/>
      </c>
    </row>
    <row r="165" spans="1:10" hidden="1">
      <c r="A165">
        <v>164</v>
      </c>
      <c r="B165" t="s">
        <v>104</v>
      </c>
      <c r="C165" t="s">
        <v>102</v>
      </c>
      <c r="D165" t="str">
        <f t="array" ref="D165">TEXT(Table26[[#This Row],[Date]],"MMMM")</f>
        <v>August</v>
      </c>
      <c r="E165">
        <v>500</v>
      </c>
      <c r="F165" t="s">
        <v>589</v>
      </c>
      <c r="G165" t="s">
        <v>853</v>
      </c>
      <c r="H165" s="38">
        <v>46235</v>
      </c>
      <c r="I165" cm="1">
        <f t="array" ref="I165">IFERROR(INDEX('ALL STUDENTS'!$A:$A, MATCH(1, ('ALL STUDENTS'!$B:$B = B165) * ('ALL STUDENTS'!$C:$C = C165), 0)), "NOT FOUND")</f>
        <v>1621</v>
      </c>
      <c r="J165" t="str">
        <f>IF(Table26[[#This Row],[Fee]]&gt;500,Table26[[#This Row],[Fee]],"")</f>
        <v/>
      </c>
    </row>
    <row r="166" spans="1:10" hidden="1">
      <c r="A166">
        <v>165</v>
      </c>
      <c r="B166" t="s">
        <v>104</v>
      </c>
      <c r="C166" t="s">
        <v>102</v>
      </c>
      <c r="D166" t="str">
        <f t="array" ref="D166">TEXT(Table26[[#This Row],[Date]],"MMMM")</f>
        <v>August</v>
      </c>
      <c r="E166">
        <v>500</v>
      </c>
      <c r="F166" t="s">
        <v>589</v>
      </c>
      <c r="G166" t="s">
        <v>854</v>
      </c>
      <c r="H166" s="38">
        <v>46235</v>
      </c>
      <c r="I166" cm="1">
        <f t="array" ref="I166">IFERROR(INDEX('ALL STUDENTS'!$A:$A, MATCH(1, ('ALL STUDENTS'!$B:$B = B166) * ('ALL STUDENTS'!$C:$C = C166), 0)), "NOT FOUND")</f>
        <v>1621</v>
      </c>
      <c r="J166" t="str">
        <f>IF(Table26[[#This Row],[Fee]]&gt;500,Table26[[#This Row],[Fee]],"")</f>
        <v/>
      </c>
    </row>
    <row r="167" spans="1:10" hidden="1">
      <c r="A167">
        <v>166</v>
      </c>
      <c r="B167" t="s">
        <v>104</v>
      </c>
      <c r="C167" t="s">
        <v>102</v>
      </c>
      <c r="D167" t="str">
        <f t="array" ref="D167">TEXT(Table26[[#This Row],[Date]],"MMMM")</f>
        <v>August</v>
      </c>
      <c r="E167">
        <v>500</v>
      </c>
      <c r="F167" t="s">
        <v>589</v>
      </c>
      <c r="G167" t="s">
        <v>855</v>
      </c>
      <c r="H167" s="38">
        <v>46235</v>
      </c>
      <c r="I167" cm="1">
        <f t="array" ref="I167">IFERROR(INDEX('ALL STUDENTS'!$A:$A, MATCH(1, ('ALL STUDENTS'!$B:$B = B167) * ('ALL STUDENTS'!$C:$C = C167), 0)), "NOT FOUND")</f>
        <v>1621</v>
      </c>
      <c r="J167" t="str">
        <f>IF(Table26[[#This Row],[Fee]]&gt;500,Table26[[#This Row],[Fee]],"")</f>
        <v/>
      </c>
    </row>
    <row r="168" spans="1:10" hidden="1">
      <c r="A168">
        <v>167</v>
      </c>
      <c r="B168" t="s">
        <v>33</v>
      </c>
      <c r="C168" t="s">
        <v>32</v>
      </c>
      <c r="D168" t="str">
        <f t="array" ref="D168">TEXT(Table26[[#This Row],[Date]],"MMMM")</f>
        <v>August</v>
      </c>
      <c r="E168">
        <v>500</v>
      </c>
      <c r="F168" t="s">
        <v>589</v>
      </c>
      <c r="G168" t="s">
        <v>856</v>
      </c>
      <c r="H168" s="38">
        <v>46237</v>
      </c>
      <c r="I168" cm="1">
        <f t="array" ref="I168">IFERROR(INDEX('ALL STUDENTS'!$A:$A, MATCH(1, ('ALL STUDENTS'!$B:$B = B168) * ('ALL STUDENTS'!$C:$C = C168), 0)), "NOT FOUND")</f>
        <v>3074</v>
      </c>
      <c r="J168" t="str">
        <f>IF(Table26[[#This Row],[Fee]]&gt;500,Table26[[#This Row],[Fee]],"")</f>
        <v/>
      </c>
    </row>
    <row r="169" spans="1:10" hidden="1">
      <c r="A169">
        <v>168</v>
      </c>
      <c r="B169" t="s">
        <v>33</v>
      </c>
      <c r="C169" t="s">
        <v>32</v>
      </c>
      <c r="D169" t="str">
        <f t="array" ref="D169">TEXT(Table26[[#This Row],[Date]],"MMMM")</f>
        <v>August</v>
      </c>
      <c r="E169">
        <v>500</v>
      </c>
      <c r="F169" t="s">
        <v>589</v>
      </c>
      <c r="G169" t="s">
        <v>857</v>
      </c>
      <c r="H169" s="38">
        <v>46237</v>
      </c>
      <c r="I169" cm="1">
        <f t="array" ref="I169">IFERROR(INDEX('ALL STUDENTS'!$A:$A, MATCH(1, ('ALL STUDENTS'!$B:$B = B169) * ('ALL STUDENTS'!$C:$C = C169), 0)), "NOT FOUND")</f>
        <v>3074</v>
      </c>
      <c r="J169" t="str">
        <f>IF(Table26[[#This Row],[Fee]]&gt;500,Table26[[#This Row],[Fee]],"")</f>
        <v/>
      </c>
    </row>
    <row r="170" spans="1:10" hidden="1">
      <c r="A170">
        <v>169</v>
      </c>
      <c r="B170" t="s">
        <v>33</v>
      </c>
      <c r="C170" t="s">
        <v>32</v>
      </c>
      <c r="D170" t="str">
        <f t="array" ref="D170">TEXT(Table26[[#This Row],[Date]],"MMMM")</f>
        <v>August</v>
      </c>
      <c r="E170">
        <v>500</v>
      </c>
      <c r="F170" t="s">
        <v>589</v>
      </c>
      <c r="G170" t="s">
        <v>858</v>
      </c>
      <c r="H170" s="38">
        <v>46237</v>
      </c>
      <c r="I170" cm="1">
        <f t="array" ref="I170">IFERROR(INDEX('ALL STUDENTS'!$A:$A, MATCH(1, ('ALL STUDENTS'!$B:$B = B170) * ('ALL STUDENTS'!$C:$C = C170), 0)), "NOT FOUND")</f>
        <v>3074</v>
      </c>
      <c r="J170" t="str">
        <f>IF(Table26[[#This Row],[Fee]]&gt;500,Table26[[#This Row],[Fee]],"")</f>
        <v/>
      </c>
    </row>
    <row r="171" spans="1:10" hidden="1">
      <c r="A171">
        <v>170</v>
      </c>
      <c r="B171" t="s">
        <v>439</v>
      </c>
      <c r="C171" t="s">
        <v>436</v>
      </c>
      <c r="D171" t="str">
        <f t="array" ref="D171">TEXT(Table26[[#This Row],[Date]],"MMMM")</f>
        <v>August</v>
      </c>
      <c r="E171">
        <v>500</v>
      </c>
      <c r="F171" t="s">
        <v>589</v>
      </c>
      <c r="G171" t="s">
        <v>859</v>
      </c>
      <c r="H171" s="38">
        <v>46237</v>
      </c>
      <c r="I171" cm="1">
        <f t="array" ref="I171">IFERROR(INDEX('ALL STUDENTS'!$A:$A, MATCH(1, ('ALL STUDENTS'!$B:$B = B171) * ('ALL STUDENTS'!$C:$C = C171), 0)), "NOT FOUND")</f>
        <v>608</v>
      </c>
      <c r="J171" t="str">
        <f>IF(Table26[[#This Row],[Fee]]&gt;500,Table26[[#This Row],[Fee]],"")</f>
        <v/>
      </c>
    </row>
    <row r="172" spans="1:10" hidden="1">
      <c r="A172">
        <v>171</v>
      </c>
      <c r="B172" t="s">
        <v>439</v>
      </c>
      <c r="C172" t="s">
        <v>436</v>
      </c>
      <c r="D172" t="str">
        <f t="array" ref="D172">TEXT(Table26[[#This Row],[Date]],"MMMM")</f>
        <v>August</v>
      </c>
      <c r="E172">
        <v>500</v>
      </c>
      <c r="F172" t="s">
        <v>589</v>
      </c>
      <c r="G172" t="s">
        <v>860</v>
      </c>
      <c r="H172" s="38">
        <v>46237</v>
      </c>
      <c r="I172" cm="1">
        <f t="array" ref="I172">IFERROR(INDEX('ALL STUDENTS'!$A:$A, MATCH(1, ('ALL STUDENTS'!$B:$B = B172) * ('ALL STUDENTS'!$C:$C = C172), 0)), "NOT FOUND")</f>
        <v>608</v>
      </c>
      <c r="J172" t="str">
        <f>IF(Table26[[#This Row],[Fee]]&gt;500,Table26[[#This Row],[Fee]],"")</f>
        <v/>
      </c>
    </row>
    <row r="173" spans="1:10" hidden="1">
      <c r="A173">
        <v>172</v>
      </c>
      <c r="B173" t="s">
        <v>439</v>
      </c>
      <c r="C173" t="s">
        <v>436</v>
      </c>
      <c r="D173" t="str">
        <f t="array" ref="D173">TEXT(Table26[[#This Row],[Date]],"MMMM")</f>
        <v>August</v>
      </c>
      <c r="E173">
        <v>500</v>
      </c>
      <c r="F173" t="s">
        <v>589</v>
      </c>
      <c r="G173" t="s">
        <v>861</v>
      </c>
      <c r="H173" s="38">
        <v>46237</v>
      </c>
      <c r="I173" cm="1">
        <f t="array" ref="I173">IFERROR(INDEX('ALL STUDENTS'!$A:$A, MATCH(1, ('ALL STUDENTS'!$B:$B = B173) * ('ALL STUDENTS'!$C:$C = C173), 0)), "NOT FOUND")</f>
        <v>608</v>
      </c>
      <c r="J173" t="str">
        <f>IF(Table26[[#This Row],[Fee]]&gt;500,Table26[[#This Row],[Fee]],"")</f>
        <v/>
      </c>
    </row>
    <row r="174" spans="1:10" hidden="1">
      <c r="A174">
        <v>173</v>
      </c>
      <c r="B174" t="s">
        <v>94</v>
      </c>
      <c r="C174" t="s">
        <v>87</v>
      </c>
      <c r="D174" t="str">
        <f t="array" ref="D174">TEXT(Table26[[#This Row],[Date]],"MMMM")</f>
        <v>August</v>
      </c>
      <c r="E174">
        <v>500</v>
      </c>
      <c r="F174" t="s">
        <v>589</v>
      </c>
      <c r="G174" t="s">
        <v>862</v>
      </c>
      <c r="H174" s="38">
        <v>46237</v>
      </c>
      <c r="I174" cm="1">
        <f t="array" ref="I174">IFERROR(INDEX('ALL STUDENTS'!$A:$A, MATCH(1, ('ALL STUDENTS'!$B:$B = B174) * ('ALL STUDENTS'!$C:$C = C174), 0)), "NOT FOUND")</f>
        <v>1585</v>
      </c>
      <c r="J174" t="str">
        <f>IF(Table26[[#This Row],[Fee]]&gt;500,Table26[[#This Row],[Fee]],"")</f>
        <v/>
      </c>
    </row>
    <row r="175" spans="1:10" hidden="1">
      <c r="A175">
        <v>174</v>
      </c>
      <c r="B175" t="s">
        <v>94</v>
      </c>
      <c r="C175" t="s">
        <v>87</v>
      </c>
      <c r="D175" t="str">
        <f t="array" ref="D175">TEXT(Table26[[#This Row],[Date]],"MMMM")</f>
        <v>August</v>
      </c>
      <c r="E175">
        <v>500</v>
      </c>
      <c r="F175" t="s">
        <v>589</v>
      </c>
      <c r="G175" t="s">
        <v>863</v>
      </c>
      <c r="H175" s="38">
        <v>46237</v>
      </c>
      <c r="I175" cm="1">
        <f t="array" ref="I175">IFERROR(INDEX('ALL STUDENTS'!$A:$A, MATCH(1, ('ALL STUDENTS'!$B:$B = B175) * ('ALL STUDENTS'!$C:$C = C175), 0)), "NOT FOUND")</f>
        <v>1585</v>
      </c>
      <c r="J175" t="str">
        <f>IF(Table26[[#This Row],[Fee]]&gt;500,Table26[[#This Row],[Fee]],"")</f>
        <v/>
      </c>
    </row>
    <row r="176" spans="1:10" hidden="1">
      <c r="A176">
        <v>175</v>
      </c>
      <c r="B176" t="s">
        <v>94</v>
      </c>
      <c r="C176" t="s">
        <v>87</v>
      </c>
      <c r="D176" t="str">
        <f t="array" ref="D176">TEXT(Table26[[#This Row],[Date]],"MMMM")</f>
        <v>August</v>
      </c>
      <c r="E176">
        <v>500</v>
      </c>
      <c r="F176" t="s">
        <v>589</v>
      </c>
      <c r="G176" t="s">
        <v>864</v>
      </c>
      <c r="H176" s="38">
        <v>46237</v>
      </c>
      <c r="I176" cm="1">
        <f t="array" ref="I176">IFERROR(INDEX('ALL STUDENTS'!$A:$A, MATCH(1, ('ALL STUDENTS'!$B:$B = B176) * ('ALL STUDENTS'!$C:$C = C176), 0)), "NOT FOUND")</f>
        <v>1585</v>
      </c>
      <c r="J176" t="str">
        <f>IF(Table26[[#This Row],[Fee]]&gt;500,Table26[[#This Row],[Fee]],"")</f>
        <v/>
      </c>
    </row>
    <row r="177" spans="1:10" hidden="1">
      <c r="A177">
        <v>176</v>
      </c>
      <c r="B177" t="s">
        <v>95</v>
      </c>
      <c r="C177" t="s">
        <v>87</v>
      </c>
      <c r="D177" t="str">
        <f t="array" ref="D177">TEXT(Table26[[#This Row],[Date]],"MMMM")</f>
        <v>September</v>
      </c>
      <c r="E177">
        <v>500</v>
      </c>
      <c r="F177" t="s">
        <v>589</v>
      </c>
      <c r="G177" t="s">
        <v>865</v>
      </c>
      <c r="H177" s="38">
        <v>46268</v>
      </c>
      <c r="I177" cm="1">
        <f t="array" ref="I177">IFERROR(INDEX('ALL STUDENTS'!$A:$A, MATCH(1, ('ALL STUDENTS'!$B:$B = B177) * ('ALL STUDENTS'!$C:$C = C177), 0)), "NOT FOUND")</f>
        <v>1591</v>
      </c>
      <c r="J177" t="str">
        <f>IF(Table26[[#This Row],[Fee]]&gt;500,Table26[[#This Row],[Fee]],"")</f>
        <v/>
      </c>
    </row>
    <row r="178" spans="1:10" hidden="1">
      <c r="A178">
        <v>177</v>
      </c>
      <c r="B178" t="s">
        <v>95</v>
      </c>
      <c r="C178" t="s">
        <v>87</v>
      </c>
      <c r="D178" t="str">
        <f t="array" ref="D178">TEXT(Table26[[#This Row],[Date]],"MMMM")</f>
        <v>September</v>
      </c>
      <c r="E178">
        <v>500</v>
      </c>
      <c r="F178" t="s">
        <v>589</v>
      </c>
      <c r="G178" t="s">
        <v>866</v>
      </c>
      <c r="H178" s="38">
        <v>46268</v>
      </c>
      <c r="I178" cm="1">
        <f t="array" ref="I178">IFERROR(INDEX('ALL STUDENTS'!$A:$A, MATCH(1, ('ALL STUDENTS'!$B:$B = B178) * ('ALL STUDENTS'!$C:$C = C178), 0)), "NOT FOUND")</f>
        <v>1591</v>
      </c>
      <c r="J178" t="str">
        <f>IF(Table26[[#This Row],[Fee]]&gt;500,Table26[[#This Row],[Fee]],"")</f>
        <v/>
      </c>
    </row>
    <row r="179" spans="1:10" hidden="1">
      <c r="A179">
        <v>178</v>
      </c>
      <c r="B179" t="s">
        <v>95</v>
      </c>
      <c r="C179" t="s">
        <v>87</v>
      </c>
      <c r="D179" t="str">
        <f t="array" ref="D179">TEXT(Table26[[#This Row],[Date]],"MMMM")</f>
        <v>September</v>
      </c>
      <c r="E179">
        <v>500</v>
      </c>
      <c r="F179" t="s">
        <v>589</v>
      </c>
      <c r="G179" t="s">
        <v>867</v>
      </c>
      <c r="H179" s="38">
        <v>46268</v>
      </c>
      <c r="I179" cm="1">
        <f t="array" ref="I179">IFERROR(INDEX('ALL STUDENTS'!$A:$A, MATCH(1, ('ALL STUDENTS'!$B:$B = B179) * ('ALL STUDENTS'!$C:$C = C179), 0)), "NOT FOUND")</f>
        <v>1591</v>
      </c>
      <c r="J179" t="str">
        <f>IF(Table26[[#This Row],[Fee]]&gt;500,Table26[[#This Row],[Fee]],"")</f>
        <v/>
      </c>
    </row>
    <row r="180" spans="1:10" hidden="1">
      <c r="A180">
        <v>179</v>
      </c>
      <c r="B180" t="s">
        <v>484</v>
      </c>
      <c r="C180" t="s">
        <v>480</v>
      </c>
      <c r="D180" t="str">
        <f t="array" ref="D180">TEXT(Table26[[#This Row],[Date]],"MMMM")</f>
        <v>August</v>
      </c>
      <c r="E180">
        <v>500</v>
      </c>
      <c r="F180" t="s">
        <v>589</v>
      </c>
      <c r="G180" t="s">
        <v>868</v>
      </c>
      <c r="H180" s="38">
        <v>46237</v>
      </c>
      <c r="I180" cm="1">
        <f t="array" ref="I180">IFERROR(INDEX('ALL STUDENTS'!$A:$A, MATCH(1, ('ALL STUDENTS'!$B:$B = B180) * ('ALL STUDENTS'!$C:$C = C180), 0)), "NOT FOUND")</f>
        <v>276</v>
      </c>
      <c r="J180" t="str">
        <f>IF(Table26[[#This Row],[Fee]]&gt;500,Table26[[#This Row],[Fee]],"")</f>
        <v/>
      </c>
    </row>
    <row r="181" spans="1:10" hidden="1">
      <c r="A181">
        <v>180</v>
      </c>
      <c r="B181" t="s">
        <v>485</v>
      </c>
      <c r="C181" t="s">
        <v>480</v>
      </c>
      <c r="D181" t="str">
        <f t="array" ref="D181">TEXT(Table26[[#This Row],[Date]],"MMMM")</f>
        <v>August</v>
      </c>
      <c r="E181">
        <v>500</v>
      </c>
      <c r="F181" t="s">
        <v>589</v>
      </c>
      <c r="G181" t="s">
        <v>869</v>
      </c>
      <c r="H181" s="38">
        <v>46237</v>
      </c>
      <c r="I181" cm="1">
        <f t="array" ref="I181">IFERROR(INDEX('ALL STUDENTS'!$A:$A, MATCH(1, ('ALL STUDENTS'!$B:$B = B181) * ('ALL STUDENTS'!$C:$C = C181), 0)), "NOT FOUND")</f>
        <v>277</v>
      </c>
      <c r="J181" t="str">
        <f>IF(Table26[[#This Row],[Fee]]&gt;500,Table26[[#This Row],[Fee]],"")</f>
        <v/>
      </c>
    </row>
    <row r="182" spans="1:10" hidden="1">
      <c r="A182">
        <v>181</v>
      </c>
      <c r="B182" t="s">
        <v>266</v>
      </c>
      <c r="C182" t="s">
        <v>265</v>
      </c>
      <c r="D182" t="str">
        <f t="array" ref="D182">TEXT(Table26[[#This Row],[Date]],"MMMM")</f>
        <v>August</v>
      </c>
      <c r="E182">
        <v>500</v>
      </c>
      <c r="F182" t="s">
        <v>592</v>
      </c>
      <c r="G182" t="s">
        <v>870</v>
      </c>
      <c r="H182" s="38">
        <v>46235</v>
      </c>
      <c r="I182" cm="1">
        <f t="array" ref="I182">IFERROR(INDEX('ALL STUDENTS'!$A:$A, MATCH(1, ('ALL STUDENTS'!$B:$B = B182) * ('ALL STUDENTS'!$C:$C = C182), 0)), "NOT FOUND")</f>
        <v>2184</v>
      </c>
      <c r="J182" t="str">
        <f>IF(Table26[[#This Row],[Fee]]&gt;500,Table26[[#This Row],[Fee]],"")</f>
        <v/>
      </c>
    </row>
    <row r="183" spans="1:10" hidden="1">
      <c r="A183">
        <v>182</v>
      </c>
      <c r="B183" t="s">
        <v>266</v>
      </c>
      <c r="C183" t="s">
        <v>265</v>
      </c>
      <c r="D183" t="str">
        <f t="array" ref="D183">TEXT(Table26[[#This Row],[Date]],"MMMM")</f>
        <v>August</v>
      </c>
      <c r="E183">
        <v>500</v>
      </c>
      <c r="F183" t="s">
        <v>592</v>
      </c>
      <c r="G183" t="s">
        <v>871</v>
      </c>
      <c r="H183" s="38">
        <v>46235</v>
      </c>
      <c r="I183" cm="1">
        <f t="array" ref="I183">IFERROR(INDEX('ALL STUDENTS'!$A:$A, MATCH(1, ('ALL STUDENTS'!$B:$B = B183) * ('ALL STUDENTS'!$C:$C = C183), 0)), "NOT FOUND")</f>
        <v>2184</v>
      </c>
      <c r="J183" t="str">
        <f>IF(Table26[[#This Row],[Fee]]&gt;500,Table26[[#This Row],[Fee]],"")</f>
        <v/>
      </c>
    </row>
    <row r="184" spans="1:10" hidden="1">
      <c r="A184">
        <v>183</v>
      </c>
      <c r="B184" t="s">
        <v>266</v>
      </c>
      <c r="C184" t="s">
        <v>265</v>
      </c>
      <c r="D184" t="str">
        <f t="array" ref="D184">TEXT(Table26[[#This Row],[Date]],"MMMM")</f>
        <v>August</v>
      </c>
      <c r="E184">
        <v>500</v>
      </c>
      <c r="F184" t="s">
        <v>592</v>
      </c>
      <c r="G184" t="s">
        <v>872</v>
      </c>
      <c r="H184" s="38">
        <v>46235</v>
      </c>
      <c r="I184" cm="1">
        <f t="array" ref="I184">IFERROR(INDEX('ALL STUDENTS'!$A:$A, MATCH(1, ('ALL STUDENTS'!$B:$B = B184) * ('ALL STUDENTS'!$C:$C = C184), 0)), "NOT FOUND")</f>
        <v>2184</v>
      </c>
      <c r="J184" t="str">
        <f>IF(Table26[[#This Row],[Fee]]&gt;500,Table26[[#This Row],[Fee]],"")</f>
        <v/>
      </c>
    </row>
    <row r="185" spans="1:10" hidden="1">
      <c r="A185">
        <v>184</v>
      </c>
      <c r="B185" t="s">
        <v>34</v>
      </c>
      <c r="C185" t="s">
        <v>32</v>
      </c>
      <c r="D185" t="str">
        <f t="array" ref="D185">TEXT(Table26[[#This Row],[Date]],"MMMM")</f>
        <v>August</v>
      </c>
      <c r="E185">
        <v>500</v>
      </c>
      <c r="F185" t="s">
        <v>592</v>
      </c>
      <c r="G185" t="s">
        <v>873</v>
      </c>
      <c r="H185" s="38">
        <v>46235</v>
      </c>
      <c r="I185" cm="1">
        <f t="array" ref="I185">IFERROR(INDEX('ALL STUDENTS'!$A:$A, MATCH(1, ('ALL STUDENTS'!$B:$B = B185) * ('ALL STUDENTS'!$C:$C = C185), 0)), "NOT FOUND")</f>
        <v>3076</v>
      </c>
      <c r="J185" t="str">
        <f>IF(Table26[[#This Row],[Fee]]&gt;500,Table26[[#This Row],[Fee]],"")</f>
        <v/>
      </c>
    </row>
    <row r="186" spans="1:10" hidden="1">
      <c r="A186">
        <v>185</v>
      </c>
      <c r="B186" t="s">
        <v>34</v>
      </c>
      <c r="C186" t="s">
        <v>32</v>
      </c>
      <c r="D186" t="str">
        <f t="array" ref="D186">TEXT(Table26[[#This Row],[Date]],"MMMM")</f>
        <v>August</v>
      </c>
      <c r="E186">
        <v>500</v>
      </c>
      <c r="F186" t="s">
        <v>592</v>
      </c>
      <c r="G186" t="s">
        <v>874</v>
      </c>
      <c r="H186" s="38">
        <v>46235</v>
      </c>
      <c r="I186" cm="1">
        <f t="array" ref="I186">IFERROR(INDEX('ALL STUDENTS'!$A:$A, MATCH(1, ('ALL STUDENTS'!$B:$B = B186) * ('ALL STUDENTS'!$C:$C = C186), 0)), "NOT FOUND")</f>
        <v>3076</v>
      </c>
      <c r="J186" t="str">
        <f>IF(Table26[[#This Row],[Fee]]&gt;500,Table26[[#This Row],[Fee]],"")</f>
        <v/>
      </c>
    </row>
    <row r="187" spans="1:10" hidden="1">
      <c r="A187">
        <v>186</v>
      </c>
      <c r="B187" t="s">
        <v>34</v>
      </c>
      <c r="C187" t="s">
        <v>32</v>
      </c>
      <c r="D187" t="str">
        <f t="array" ref="D187">TEXT(Table26[[#This Row],[Date]],"MMMM")</f>
        <v>August</v>
      </c>
      <c r="E187">
        <v>500</v>
      </c>
      <c r="F187" t="s">
        <v>592</v>
      </c>
      <c r="G187" t="s">
        <v>875</v>
      </c>
      <c r="H187" s="38">
        <v>46235</v>
      </c>
      <c r="I187" cm="1">
        <f t="array" ref="I187">IFERROR(INDEX('ALL STUDENTS'!$A:$A, MATCH(1, ('ALL STUDENTS'!$B:$B = B187) * ('ALL STUDENTS'!$C:$C = C187), 0)), "NOT FOUND")</f>
        <v>3076</v>
      </c>
      <c r="J187" t="str">
        <f>IF(Table26[[#This Row],[Fee]]&gt;500,Table26[[#This Row],[Fee]],"")</f>
        <v/>
      </c>
    </row>
    <row r="188" spans="1:10" hidden="1">
      <c r="A188">
        <v>187</v>
      </c>
      <c r="B188" t="s">
        <v>352</v>
      </c>
      <c r="C188" t="s">
        <v>351</v>
      </c>
      <c r="D188" t="str">
        <f t="array" ref="D188">TEXT(Table26[[#This Row],[Date]],"MMMM")</f>
        <v>August</v>
      </c>
      <c r="E188">
        <v>500</v>
      </c>
      <c r="F188" t="s">
        <v>592</v>
      </c>
      <c r="G188" t="s">
        <v>876</v>
      </c>
      <c r="H188" s="38">
        <v>46235</v>
      </c>
      <c r="I188" cm="1">
        <f t="array" ref="I188">IFERROR(INDEX('ALL STUDENTS'!$A:$A, MATCH(1, ('ALL STUDENTS'!$B:$B = B188) * ('ALL STUDENTS'!$C:$C = C188), 0)), "NOT FOUND")</f>
        <v>2528</v>
      </c>
      <c r="J188" t="str">
        <f>IF(Table26[[#This Row],[Fee]]&gt;500,Table26[[#This Row],[Fee]],"")</f>
        <v/>
      </c>
    </row>
    <row r="189" spans="1:10" hidden="1">
      <c r="A189">
        <v>188</v>
      </c>
      <c r="B189" t="s">
        <v>35</v>
      </c>
      <c r="C189" t="s">
        <v>32</v>
      </c>
      <c r="D189" t="str">
        <f t="array" ref="D189">TEXT(Table26[[#This Row],[Date]],"MMMM")</f>
        <v>August</v>
      </c>
      <c r="E189">
        <v>500</v>
      </c>
      <c r="F189" t="s">
        <v>592</v>
      </c>
      <c r="G189" t="s">
        <v>877</v>
      </c>
      <c r="H189" s="38">
        <v>46235</v>
      </c>
      <c r="I189" cm="1">
        <f t="array" ref="I189">IFERROR(INDEX('ALL STUDENTS'!$A:$A, MATCH(1, ('ALL STUDENTS'!$B:$B = B189) * ('ALL STUDENTS'!$C:$C = C189), 0)), "NOT FOUND")</f>
        <v>3092</v>
      </c>
      <c r="J189" t="str">
        <f>IF(Table26[[#This Row],[Fee]]&gt;500,Table26[[#This Row],[Fee]],"")</f>
        <v/>
      </c>
    </row>
    <row r="190" spans="1:10">
      <c r="A190">
        <v>189</v>
      </c>
      <c r="B190" t="s">
        <v>3609</v>
      </c>
      <c r="C190" t="s">
        <v>304</v>
      </c>
      <c r="D190" t="str">
        <f t="array" ref="D190">TEXT(Table26[[#This Row],[Date]],"MMMM")</f>
        <v>August</v>
      </c>
      <c r="E190">
        <v>500</v>
      </c>
      <c r="F190" t="s">
        <v>589</v>
      </c>
      <c r="G190" t="s">
        <v>878</v>
      </c>
      <c r="H190" s="38">
        <v>46235</v>
      </c>
      <c r="I190" t="str" cm="1">
        <f t="array" ref="I190">IFERROR(INDEX('ALL STUDENTS'!$A:$A, MATCH(1, ('ALL STUDENTS'!$B:$B = B190) * ('ALL STUDENTS'!$C:$C = C190), 0)), "NOT FOUND")</f>
        <v>NOT FOUND</v>
      </c>
      <c r="J190" t="str">
        <f>IF(Table26[[#This Row],[Fee]]&gt;500,Table26[[#This Row],[Fee]],"")</f>
        <v/>
      </c>
    </row>
    <row r="191" spans="1:10">
      <c r="A191">
        <v>190</v>
      </c>
      <c r="B191" t="s">
        <v>3610</v>
      </c>
      <c r="C191" t="s">
        <v>304</v>
      </c>
      <c r="D191" t="str">
        <f t="array" ref="D191">TEXT(Table26[[#This Row],[Date]],"MMMM")</f>
        <v>August</v>
      </c>
      <c r="E191">
        <v>500</v>
      </c>
      <c r="F191" t="s">
        <v>589</v>
      </c>
      <c r="G191" t="s">
        <v>879</v>
      </c>
      <c r="H191" s="38">
        <v>46235</v>
      </c>
      <c r="I191" t="str" cm="1">
        <f t="array" ref="I191">IFERROR(INDEX('ALL STUDENTS'!$A:$A, MATCH(1, ('ALL STUDENTS'!$B:$B = B191) * ('ALL STUDENTS'!$C:$C = C191), 0)), "NOT FOUND")</f>
        <v>NOT FOUND</v>
      </c>
      <c r="J191" t="str">
        <f>IF(Table26[[#This Row],[Fee]]&gt;500,Table26[[#This Row],[Fee]],"")</f>
        <v/>
      </c>
    </row>
    <row r="192" spans="1:10">
      <c r="A192">
        <v>191</v>
      </c>
      <c r="B192" t="s">
        <v>3610</v>
      </c>
      <c r="C192" t="s">
        <v>304</v>
      </c>
      <c r="D192" t="str">
        <f t="array" ref="D192">TEXT(Table26[[#This Row],[Date]],"MMMM")</f>
        <v>August</v>
      </c>
      <c r="E192">
        <v>500</v>
      </c>
      <c r="F192" t="s">
        <v>589</v>
      </c>
      <c r="G192" t="s">
        <v>880</v>
      </c>
      <c r="H192" s="38">
        <v>46235</v>
      </c>
      <c r="I192" t="str" cm="1">
        <f t="array" ref="I192">IFERROR(INDEX('ALL STUDENTS'!$A:$A, MATCH(1, ('ALL STUDENTS'!$B:$B = B192) * ('ALL STUDENTS'!$C:$C = C192), 0)), "NOT FOUND")</f>
        <v>NOT FOUND</v>
      </c>
      <c r="J192" t="str">
        <f>IF(Table26[[#This Row],[Fee]]&gt;500,Table26[[#This Row],[Fee]],"")</f>
        <v/>
      </c>
    </row>
    <row r="193" spans="1:10">
      <c r="A193">
        <v>192</v>
      </c>
      <c r="B193" t="s">
        <v>3610</v>
      </c>
      <c r="C193" t="s">
        <v>304</v>
      </c>
      <c r="D193" t="str">
        <f t="array" ref="D193">TEXT(Table26[[#This Row],[Date]],"MMMM")</f>
        <v>August</v>
      </c>
      <c r="E193">
        <v>500</v>
      </c>
      <c r="F193" t="s">
        <v>589</v>
      </c>
      <c r="G193" t="s">
        <v>881</v>
      </c>
      <c r="H193" s="38">
        <v>46235</v>
      </c>
      <c r="I193" t="str" cm="1">
        <f t="array" ref="I193">IFERROR(INDEX('ALL STUDENTS'!$A:$A, MATCH(1, ('ALL STUDENTS'!$B:$B = B193) * ('ALL STUDENTS'!$C:$C = C193), 0)), "NOT FOUND")</f>
        <v>NOT FOUND</v>
      </c>
      <c r="J193" t="str">
        <f>IF(Table26[[#This Row],[Fee]]&gt;500,Table26[[#This Row],[Fee]],"")</f>
        <v/>
      </c>
    </row>
    <row r="194" spans="1:10">
      <c r="A194">
        <v>193</v>
      </c>
      <c r="B194" t="s">
        <v>3609</v>
      </c>
      <c r="C194" t="s">
        <v>304</v>
      </c>
      <c r="D194" t="str">
        <f t="array" ref="D194">TEXT(Table26[[#This Row],[Date]],"MMMM")</f>
        <v>August</v>
      </c>
      <c r="E194">
        <v>500</v>
      </c>
      <c r="F194" t="s">
        <v>589</v>
      </c>
      <c r="G194" t="s">
        <v>882</v>
      </c>
      <c r="H194" s="38">
        <v>46235</v>
      </c>
      <c r="I194" t="str" cm="1">
        <f t="array" ref="I194">IFERROR(INDEX('ALL STUDENTS'!$A:$A, MATCH(1, ('ALL STUDENTS'!$B:$B = B194) * ('ALL STUDENTS'!$C:$C = C194), 0)), "NOT FOUND")</f>
        <v>NOT FOUND</v>
      </c>
      <c r="J194" t="str">
        <f>IF(Table26[[#This Row],[Fee]]&gt;500,Table26[[#This Row],[Fee]],"")</f>
        <v/>
      </c>
    </row>
    <row r="195" spans="1:10">
      <c r="A195">
        <v>194</v>
      </c>
      <c r="B195" t="s">
        <v>3609</v>
      </c>
      <c r="C195" t="s">
        <v>304</v>
      </c>
      <c r="D195" t="str">
        <f t="array" ref="D195">TEXT(Table26[[#This Row],[Date]],"MMMM")</f>
        <v>August</v>
      </c>
      <c r="E195">
        <v>500</v>
      </c>
      <c r="F195" t="s">
        <v>589</v>
      </c>
      <c r="G195" t="s">
        <v>883</v>
      </c>
      <c r="H195" s="38">
        <v>46235</v>
      </c>
      <c r="I195" t="str" cm="1">
        <f t="array" ref="I195">IFERROR(INDEX('ALL STUDENTS'!$A:$A, MATCH(1, ('ALL STUDENTS'!$B:$B = B195) * ('ALL STUDENTS'!$C:$C = C195), 0)), "NOT FOUND")</f>
        <v>NOT FOUND</v>
      </c>
      <c r="J195" t="str">
        <f>IF(Table26[[#This Row],[Fee]]&gt;500,Table26[[#This Row],[Fee]],"")</f>
        <v/>
      </c>
    </row>
    <row r="196" spans="1:10" hidden="1">
      <c r="A196">
        <v>195</v>
      </c>
      <c r="B196" t="s">
        <v>21</v>
      </c>
      <c r="C196" t="s">
        <v>20</v>
      </c>
      <c r="D196" t="str">
        <f t="array" ref="D196">TEXT(Table26[[#This Row],[Date]],"MMMM")</f>
        <v>August</v>
      </c>
      <c r="E196">
        <v>500</v>
      </c>
      <c r="F196" t="s">
        <v>589</v>
      </c>
      <c r="G196" t="s">
        <v>884</v>
      </c>
      <c r="H196" s="38">
        <v>46235</v>
      </c>
      <c r="I196" cm="1">
        <f t="array" ref="I196">IFERROR(INDEX('ALL STUDENTS'!$A:$A, MATCH(1, ('ALL STUDENTS'!$B:$B = B196) * ('ALL STUDENTS'!$C:$C = C196), 0)), "NOT FOUND")</f>
        <v>3040</v>
      </c>
      <c r="J196" t="str">
        <f>IF(Table26[[#This Row],[Fee]]&gt;500,Table26[[#This Row],[Fee]],"")</f>
        <v/>
      </c>
    </row>
    <row r="197" spans="1:10" hidden="1">
      <c r="A197">
        <v>196</v>
      </c>
      <c r="B197" t="s">
        <v>21</v>
      </c>
      <c r="C197" t="s">
        <v>20</v>
      </c>
      <c r="D197" t="str">
        <f t="array" ref="D197">TEXT(Table26[[#This Row],[Date]],"MMMM")</f>
        <v>August</v>
      </c>
      <c r="E197">
        <v>500</v>
      </c>
      <c r="F197" t="s">
        <v>589</v>
      </c>
      <c r="G197" t="s">
        <v>885</v>
      </c>
      <c r="H197" s="38">
        <v>46235</v>
      </c>
      <c r="I197" cm="1">
        <f t="array" ref="I197">IFERROR(INDEX('ALL STUDENTS'!$A:$A, MATCH(1, ('ALL STUDENTS'!$B:$B = B197) * ('ALL STUDENTS'!$C:$C = C197), 0)), "NOT FOUND")</f>
        <v>3040</v>
      </c>
      <c r="J197" t="str">
        <f>IF(Table26[[#This Row],[Fee]]&gt;500,Table26[[#This Row],[Fee]],"")</f>
        <v/>
      </c>
    </row>
    <row r="198" spans="1:10" hidden="1">
      <c r="A198">
        <v>197</v>
      </c>
      <c r="B198" t="s">
        <v>21</v>
      </c>
      <c r="C198" t="s">
        <v>20</v>
      </c>
      <c r="D198" t="str">
        <f t="array" ref="D198">TEXT(Table26[[#This Row],[Date]],"MMMM")</f>
        <v>August</v>
      </c>
      <c r="E198">
        <v>500</v>
      </c>
      <c r="F198" t="s">
        <v>589</v>
      </c>
      <c r="G198" t="s">
        <v>886</v>
      </c>
      <c r="H198" s="38">
        <v>46235</v>
      </c>
      <c r="I198" cm="1">
        <f t="array" ref="I198">IFERROR(INDEX('ALL STUDENTS'!$A:$A, MATCH(1, ('ALL STUDENTS'!$B:$B = B198) * ('ALL STUDENTS'!$C:$C = C198), 0)), "NOT FOUND")</f>
        <v>3040</v>
      </c>
      <c r="J198" t="str">
        <f>IF(Table26[[#This Row],[Fee]]&gt;500,Table26[[#This Row],[Fee]],"")</f>
        <v/>
      </c>
    </row>
    <row r="199" spans="1:10" hidden="1">
      <c r="A199">
        <v>198</v>
      </c>
      <c r="B199" t="s">
        <v>5</v>
      </c>
      <c r="C199" t="s">
        <v>4</v>
      </c>
      <c r="D199" t="str">
        <f t="array" ref="D199">TEXT(Table26[[#This Row],[Date]],"MMMM")</f>
        <v>August</v>
      </c>
      <c r="E199">
        <v>500</v>
      </c>
      <c r="F199" t="s">
        <v>589</v>
      </c>
      <c r="G199" t="s">
        <v>887</v>
      </c>
      <c r="H199" s="38">
        <v>46235</v>
      </c>
      <c r="I199" cm="1">
        <f t="array" ref="I199">IFERROR(INDEX('ALL STUDENTS'!$A:$A, MATCH(1, ('ALL STUDENTS'!$B:$B = B199) * ('ALL STUDENTS'!$C:$C = C199), 0)), "NOT FOUND")</f>
        <v>3004</v>
      </c>
      <c r="J199" t="str">
        <f>IF(Table26[[#This Row],[Fee]]&gt;500,Table26[[#This Row],[Fee]],"")</f>
        <v/>
      </c>
    </row>
    <row r="200" spans="1:10">
      <c r="A200">
        <v>199</v>
      </c>
      <c r="B200" t="s">
        <v>233</v>
      </c>
      <c r="C200" t="s">
        <v>232</v>
      </c>
      <c r="D200" t="str">
        <f t="array" ref="D200">TEXT(Table26[[#This Row],[Date]],"MMMM")</f>
        <v>August</v>
      </c>
      <c r="E200">
        <v>500</v>
      </c>
      <c r="F200" t="s">
        <v>589</v>
      </c>
      <c r="G200" t="s">
        <v>888</v>
      </c>
      <c r="H200" s="38">
        <v>46235</v>
      </c>
      <c r="I200" t="str" cm="1">
        <f t="array" ref="I200">IFERROR(INDEX('ALL STUDENTS'!$A:$A, MATCH(1, ('ALL STUDENTS'!$B:$B = B200) * ('ALL STUDENTS'!$C:$C = C200), 0)), "NOT FOUND")</f>
        <v>NOT FOUND</v>
      </c>
      <c r="J200" t="str">
        <f>IF(Table26[[#This Row],[Fee]]&gt;500,Table26[[#This Row],[Fee]],"")</f>
        <v/>
      </c>
    </row>
    <row r="201" spans="1:10">
      <c r="A201">
        <v>200</v>
      </c>
      <c r="B201" t="s">
        <v>233</v>
      </c>
      <c r="C201" t="s">
        <v>232</v>
      </c>
      <c r="D201" t="str">
        <f t="array" ref="D201">TEXT(Table26[[#This Row],[Date]],"MMMM")</f>
        <v>August</v>
      </c>
      <c r="E201">
        <v>500</v>
      </c>
      <c r="F201" t="s">
        <v>589</v>
      </c>
      <c r="G201" t="s">
        <v>889</v>
      </c>
      <c r="H201" s="38">
        <v>46235</v>
      </c>
      <c r="I201" t="str" cm="1">
        <f t="array" ref="I201">IFERROR(INDEX('ALL STUDENTS'!$A:$A, MATCH(1, ('ALL STUDENTS'!$B:$B = B201) * ('ALL STUDENTS'!$C:$C = C201), 0)), "NOT FOUND")</f>
        <v>NOT FOUND</v>
      </c>
      <c r="J201" t="str">
        <f>IF(Table26[[#This Row],[Fee]]&gt;500,Table26[[#This Row],[Fee]],"")</f>
        <v/>
      </c>
    </row>
    <row r="202" spans="1:10">
      <c r="A202">
        <v>201</v>
      </c>
      <c r="B202" t="s">
        <v>233</v>
      </c>
      <c r="C202" t="s">
        <v>232</v>
      </c>
      <c r="D202" t="str">
        <f t="array" ref="D202">TEXT(Table26[[#This Row],[Date]],"MMMM")</f>
        <v>August</v>
      </c>
      <c r="E202">
        <v>500</v>
      </c>
      <c r="F202" t="s">
        <v>589</v>
      </c>
      <c r="G202" t="s">
        <v>890</v>
      </c>
      <c r="H202" s="38">
        <v>46235</v>
      </c>
      <c r="I202" t="str" cm="1">
        <f t="array" ref="I202">IFERROR(INDEX('ALL STUDENTS'!$A:$A, MATCH(1, ('ALL STUDENTS'!$B:$B = B202) * ('ALL STUDENTS'!$C:$C = C202), 0)), "NOT FOUND")</f>
        <v>NOT FOUND</v>
      </c>
      <c r="J202" t="str">
        <f>IF(Table26[[#This Row],[Fee]]&gt;500,Table26[[#This Row],[Fee]],"")</f>
        <v/>
      </c>
    </row>
    <row r="203" spans="1:10" hidden="1">
      <c r="A203">
        <v>202</v>
      </c>
      <c r="B203" t="s">
        <v>6</v>
      </c>
      <c r="C203" t="s">
        <v>4</v>
      </c>
      <c r="D203" t="str">
        <f t="array" ref="D203">TEXT(Table26[[#This Row],[Date]],"MMMM")</f>
        <v>August</v>
      </c>
      <c r="E203">
        <v>500</v>
      </c>
      <c r="F203" t="s">
        <v>589</v>
      </c>
      <c r="G203" t="s">
        <v>891</v>
      </c>
      <c r="H203" s="38">
        <v>46235</v>
      </c>
      <c r="I203" cm="1">
        <f t="array" ref="I203">IFERROR(INDEX('ALL STUDENTS'!$A:$A, MATCH(1, ('ALL STUDENTS'!$B:$B = B203) * ('ALL STUDENTS'!$C:$C = C203), 0)), "NOT FOUND")</f>
        <v>3006</v>
      </c>
      <c r="J203" t="str">
        <f>IF(Table26[[#This Row],[Fee]]&gt;500,Table26[[#This Row],[Fee]],"")</f>
        <v/>
      </c>
    </row>
    <row r="204" spans="1:10" hidden="1">
      <c r="A204">
        <v>203</v>
      </c>
      <c r="B204" t="s">
        <v>326</v>
      </c>
      <c r="C204" t="s">
        <v>324</v>
      </c>
      <c r="D204" t="str">
        <f t="array" ref="D204">TEXT(Table26[[#This Row],[Date]],"MMMM")</f>
        <v>August</v>
      </c>
      <c r="E204">
        <v>500</v>
      </c>
      <c r="F204" t="s">
        <v>589</v>
      </c>
      <c r="G204" t="s">
        <v>892</v>
      </c>
      <c r="H204" s="38">
        <v>46235</v>
      </c>
      <c r="I204" cm="1">
        <f t="array" ref="I204">IFERROR(INDEX('ALL STUDENTS'!$A:$A, MATCH(1, ('ALL STUDENTS'!$B:$B = B204) * ('ALL STUDENTS'!$C:$C = C204), 0)), "NOT FOUND")</f>
        <v>2438</v>
      </c>
      <c r="J204" t="str">
        <f>IF(Table26[[#This Row],[Fee]]&gt;500,Table26[[#This Row],[Fee]],"")</f>
        <v/>
      </c>
    </row>
    <row r="205" spans="1:10" hidden="1">
      <c r="A205">
        <v>204</v>
      </c>
      <c r="B205" t="s">
        <v>326</v>
      </c>
      <c r="C205" t="s">
        <v>324</v>
      </c>
      <c r="D205" t="str">
        <f t="array" ref="D205">TEXT(Table26[[#This Row],[Date]],"MMMM")</f>
        <v>August</v>
      </c>
      <c r="E205">
        <v>500</v>
      </c>
      <c r="F205" t="s">
        <v>589</v>
      </c>
      <c r="G205" t="s">
        <v>893</v>
      </c>
      <c r="H205" s="38">
        <v>46235</v>
      </c>
      <c r="I205" cm="1">
        <f t="array" ref="I205">IFERROR(INDEX('ALL STUDENTS'!$A:$A, MATCH(1, ('ALL STUDENTS'!$B:$B = B205) * ('ALL STUDENTS'!$C:$C = C205), 0)), "NOT FOUND")</f>
        <v>2438</v>
      </c>
      <c r="J205" t="str">
        <f>IF(Table26[[#This Row],[Fee]]&gt;500,Table26[[#This Row],[Fee]],"")</f>
        <v/>
      </c>
    </row>
    <row r="206" spans="1:10" hidden="1">
      <c r="A206">
        <v>205</v>
      </c>
      <c r="B206" t="s">
        <v>326</v>
      </c>
      <c r="C206" t="s">
        <v>324</v>
      </c>
      <c r="D206" t="str">
        <f t="array" ref="D206">TEXT(Table26[[#This Row],[Date]],"MMMM")</f>
        <v>August</v>
      </c>
      <c r="E206">
        <v>500</v>
      </c>
      <c r="F206" t="s">
        <v>589</v>
      </c>
      <c r="G206" t="s">
        <v>894</v>
      </c>
      <c r="H206" s="38">
        <v>46235</v>
      </c>
      <c r="I206" cm="1">
        <f t="array" ref="I206">IFERROR(INDEX('ALL STUDENTS'!$A:$A, MATCH(1, ('ALL STUDENTS'!$B:$B = B206) * ('ALL STUDENTS'!$C:$C = C206), 0)), "NOT FOUND")</f>
        <v>2438</v>
      </c>
      <c r="J206" t="str">
        <f>IF(Table26[[#This Row],[Fee]]&gt;500,Table26[[#This Row],[Fee]],"")</f>
        <v/>
      </c>
    </row>
    <row r="207" spans="1:10">
      <c r="A207">
        <v>206</v>
      </c>
      <c r="B207" t="s">
        <v>257</v>
      </c>
      <c r="C207" t="s">
        <v>252</v>
      </c>
      <c r="D207" t="str">
        <f t="array" ref="D207">TEXT(Table26[[#This Row],[Date]],"MMMM")</f>
        <v>August</v>
      </c>
      <c r="E207">
        <v>500</v>
      </c>
      <c r="F207" t="s">
        <v>589</v>
      </c>
      <c r="G207" t="s">
        <v>895</v>
      </c>
      <c r="H207" s="38">
        <v>46235</v>
      </c>
      <c r="I207" t="str" cm="1">
        <f t="array" ref="I207">IFERROR(INDEX('ALL STUDENTS'!$A:$A, MATCH(1, ('ALL STUDENTS'!$B:$B = B207) * ('ALL STUDENTS'!$C:$C = C207), 0)), "NOT FOUND")</f>
        <v>NOT FOUND</v>
      </c>
      <c r="J207" t="str">
        <f>IF(Table26[[#This Row],[Fee]]&gt;500,Table26[[#This Row],[Fee]],"")</f>
        <v/>
      </c>
    </row>
    <row r="208" spans="1:10" hidden="1">
      <c r="A208">
        <v>207</v>
      </c>
      <c r="B208" t="s">
        <v>275</v>
      </c>
      <c r="C208" t="s">
        <v>273</v>
      </c>
      <c r="D208" t="str">
        <f t="array" ref="D208">TEXT(Table26[[#This Row],[Date]],"MMMM")</f>
        <v>August</v>
      </c>
      <c r="E208">
        <v>500</v>
      </c>
      <c r="F208" t="s">
        <v>589</v>
      </c>
      <c r="G208" t="s">
        <v>896</v>
      </c>
      <c r="H208" s="38">
        <v>46235</v>
      </c>
      <c r="I208" cm="1">
        <f t="array" ref="I208">IFERROR(INDEX('ALL STUDENTS'!$A:$A, MATCH(1, ('ALL STUDENTS'!$B:$B = B208) * ('ALL STUDENTS'!$C:$C = C208), 0)), "NOT FOUND")</f>
        <v>2208</v>
      </c>
      <c r="J208" t="str">
        <f>IF(Table26[[#This Row],[Fee]]&gt;500,Table26[[#This Row],[Fee]],"")</f>
        <v/>
      </c>
    </row>
    <row r="209" spans="1:10" hidden="1">
      <c r="A209">
        <v>208</v>
      </c>
      <c r="B209" t="s">
        <v>353</v>
      </c>
      <c r="C209" t="s">
        <v>351</v>
      </c>
      <c r="D209" t="str">
        <f t="array" ref="D209">TEXT(Table26[[#This Row],[Date]],"MMMM")</f>
        <v>July</v>
      </c>
      <c r="E209">
        <v>500</v>
      </c>
      <c r="F209" t="s">
        <v>589</v>
      </c>
      <c r="G209" t="s">
        <v>897</v>
      </c>
      <c r="H209" s="38">
        <v>46234</v>
      </c>
      <c r="I209" cm="1">
        <f t="array" ref="I209">IFERROR(INDEX('ALL STUDENTS'!$A:$A, MATCH(1, ('ALL STUDENTS'!$B:$B = B209) * ('ALL STUDENTS'!$C:$C = C209), 0)), "NOT FOUND")</f>
        <v>2553</v>
      </c>
      <c r="J209" t="str">
        <f>IF(Table26[[#This Row],[Fee]]&gt;500,Table26[[#This Row],[Fee]],"")</f>
        <v/>
      </c>
    </row>
    <row r="210" spans="1:10" hidden="1">
      <c r="A210">
        <v>209</v>
      </c>
      <c r="B210" t="s">
        <v>258</v>
      </c>
      <c r="C210" t="s">
        <v>252</v>
      </c>
      <c r="D210" t="str">
        <f t="array" ref="D210">TEXT(Table26[[#This Row],[Date]],"MMMM")</f>
        <v>July</v>
      </c>
      <c r="E210">
        <v>500</v>
      </c>
      <c r="F210" t="s">
        <v>589</v>
      </c>
      <c r="G210" t="s">
        <v>898</v>
      </c>
      <c r="H210" s="38">
        <v>46234</v>
      </c>
      <c r="I210" cm="1">
        <f t="array" ref="I210">IFERROR(INDEX('ALL STUDENTS'!$A:$A, MATCH(1, ('ALL STUDENTS'!$B:$B = B210) * ('ALL STUDENTS'!$C:$C = C210), 0)), "NOT FOUND")</f>
        <v>2128</v>
      </c>
      <c r="J210" t="str">
        <f>IF(Table26[[#This Row],[Fee]]&gt;500,Table26[[#This Row],[Fee]],"")</f>
        <v/>
      </c>
    </row>
    <row r="211" spans="1:10" hidden="1">
      <c r="A211">
        <v>210</v>
      </c>
      <c r="B211" t="s">
        <v>377</v>
      </c>
      <c r="C211" t="s">
        <v>374</v>
      </c>
      <c r="D211" t="str">
        <f t="array" ref="D211">TEXT(Table26[[#This Row],[Date]],"MMMM")</f>
        <v>August</v>
      </c>
      <c r="E211">
        <v>500</v>
      </c>
      <c r="F211" t="s">
        <v>589</v>
      </c>
      <c r="G211" t="s">
        <v>899</v>
      </c>
      <c r="H211" s="38">
        <v>46237</v>
      </c>
      <c r="I211" cm="1">
        <f t="array" ref="I211">IFERROR(INDEX('ALL STUDENTS'!$A:$A, MATCH(1, ('ALL STUDENTS'!$B:$B = B211) * ('ALL STUDENTS'!$C:$C = C211), 0)), "NOT FOUND")</f>
        <v>856</v>
      </c>
      <c r="J211" t="str">
        <f>IF(Table26[[#This Row],[Fee]]&gt;500,Table26[[#This Row],[Fee]],"")</f>
        <v/>
      </c>
    </row>
    <row r="212" spans="1:10" hidden="1">
      <c r="A212">
        <v>211</v>
      </c>
      <c r="B212" t="s">
        <v>122</v>
      </c>
      <c r="C212" t="s">
        <v>119</v>
      </c>
      <c r="D212" t="str">
        <f t="array" ref="D212">TEXT(Table26[[#This Row],[Date]],"MMMM")</f>
        <v>August</v>
      </c>
      <c r="E212">
        <v>500</v>
      </c>
      <c r="F212" t="s">
        <v>589</v>
      </c>
      <c r="G212" t="s">
        <v>900</v>
      </c>
      <c r="H212" s="38">
        <v>46237</v>
      </c>
      <c r="I212" cm="1">
        <f t="array" ref="I212">IFERROR(INDEX('ALL STUDENTS'!$A:$A, MATCH(1, ('ALL STUDENTS'!$B:$B = B212) * ('ALL STUDENTS'!$C:$C = C212), 0)), "NOT FOUND")</f>
        <v>1691</v>
      </c>
      <c r="J212" t="str">
        <f>IF(Table26[[#This Row],[Fee]]&gt;500,Table26[[#This Row],[Fee]],"")</f>
        <v/>
      </c>
    </row>
    <row r="213" spans="1:10" hidden="1">
      <c r="A213">
        <v>212</v>
      </c>
      <c r="B213" t="s">
        <v>105</v>
      </c>
      <c r="C213" t="s">
        <v>102</v>
      </c>
      <c r="D213" t="str">
        <f t="array" ref="D213">TEXT(Table26[[#This Row],[Date]],"MMMM")</f>
        <v>August</v>
      </c>
      <c r="E213">
        <v>500</v>
      </c>
      <c r="F213" t="s">
        <v>589</v>
      </c>
      <c r="G213" t="s">
        <v>901</v>
      </c>
      <c r="H213" s="38">
        <v>46237</v>
      </c>
      <c r="I213" cm="1">
        <f t="array" ref="I213">IFERROR(INDEX('ALL STUDENTS'!$A:$A, MATCH(1, ('ALL STUDENTS'!$B:$B = B213) * ('ALL STUDENTS'!$C:$C = C213), 0)), "NOT FOUND")</f>
        <v>1613</v>
      </c>
      <c r="J213" t="str">
        <f>IF(Table26[[#This Row],[Fee]]&gt;500,Table26[[#This Row],[Fee]],"")</f>
        <v/>
      </c>
    </row>
    <row r="214" spans="1:10" hidden="1">
      <c r="A214">
        <v>213</v>
      </c>
      <c r="B214" t="s">
        <v>358</v>
      </c>
      <c r="C214" t="s">
        <v>356</v>
      </c>
      <c r="D214" t="str">
        <f t="array" ref="D214">TEXT(Table26[[#This Row],[Date]],"MMMM")</f>
        <v>August</v>
      </c>
      <c r="E214">
        <v>500</v>
      </c>
      <c r="F214" t="s">
        <v>592</v>
      </c>
      <c r="G214" t="s">
        <v>902</v>
      </c>
      <c r="H214" s="38">
        <v>46237</v>
      </c>
      <c r="I214" cm="1">
        <f t="array" ref="I214">IFERROR(INDEX('ALL STUDENTS'!$A:$A, MATCH(1, ('ALL STUDENTS'!$B:$B = B214) * ('ALL STUDENTS'!$C:$C = C214), 0)), "NOT FOUND")</f>
        <v>752</v>
      </c>
      <c r="J214" t="str">
        <f>IF(Table26[[#This Row],[Fee]]&gt;500,Table26[[#This Row],[Fee]],"")</f>
        <v/>
      </c>
    </row>
    <row r="215" spans="1:10" hidden="1">
      <c r="A215">
        <v>214</v>
      </c>
      <c r="B215" t="s">
        <v>176</v>
      </c>
      <c r="C215" s="3" t="s">
        <v>175</v>
      </c>
      <c r="D215" t="str">
        <f t="array" ref="D215">TEXT(Table26[[#This Row],[Date]],"MMMM")</f>
        <v>August</v>
      </c>
      <c r="E215">
        <v>500</v>
      </c>
      <c r="F215" t="s">
        <v>592</v>
      </c>
      <c r="G215" t="s">
        <v>903</v>
      </c>
      <c r="H215" s="38">
        <v>46237</v>
      </c>
      <c r="I215" cm="1">
        <f t="array" ref="I215">IFERROR(INDEX('ALL STUDENTS'!$A:$A, MATCH(1, ('ALL STUDENTS'!$B:$B = B215) * ('ALL STUDENTS'!$C:$C = C215), 0)), "NOT FOUND")</f>
        <v>1887</v>
      </c>
      <c r="J215" t="str">
        <f>IF(Table26[[#This Row],[Fee]]&gt;500,Table26[[#This Row],[Fee]],"")</f>
        <v/>
      </c>
    </row>
    <row r="216" spans="1:10" hidden="1">
      <c r="A216">
        <v>215</v>
      </c>
      <c r="B216" t="s">
        <v>176</v>
      </c>
      <c r="C216" s="3" t="s">
        <v>175</v>
      </c>
      <c r="D216" t="str">
        <f t="array" ref="D216">TEXT(Table26[[#This Row],[Date]],"MMMM")</f>
        <v>August</v>
      </c>
      <c r="E216">
        <v>500</v>
      </c>
      <c r="F216" t="s">
        <v>592</v>
      </c>
      <c r="G216" t="s">
        <v>904</v>
      </c>
      <c r="H216" s="38">
        <v>46237</v>
      </c>
      <c r="I216" cm="1">
        <f t="array" ref="I216">IFERROR(INDEX('ALL STUDENTS'!$A:$A, MATCH(1, ('ALL STUDENTS'!$B:$B = B216) * ('ALL STUDENTS'!$C:$C = C216), 0)), "NOT FOUND")</f>
        <v>1887</v>
      </c>
      <c r="J216" t="str">
        <f>IF(Table26[[#This Row],[Fee]]&gt;500,Table26[[#This Row],[Fee]],"")</f>
        <v/>
      </c>
    </row>
    <row r="217" spans="1:10" hidden="1">
      <c r="A217">
        <v>216</v>
      </c>
      <c r="B217" t="s">
        <v>176</v>
      </c>
      <c r="C217" s="3" t="s">
        <v>175</v>
      </c>
      <c r="D217" t="str">
        <f t="array" ref="D217">TEXT(Table26[[#This Row],[Date]],"MMMM")</f>
        <v>August</v>
      </c>
      <c r="E217">
        <v>500</v>
      </c>
      <c r="F217" t="s">
        <v>592</v>
      </c>
      <c r="G217" t="s">
        <v>905</v>
      </c>
      <c r="H217" s="38">
        <v>46237</v>
      </c>
      <c r="I217" cm="1">
        <f t="array" ref="I217">IFERROR(INDEX('ALL STUDENTS'!$A:$A, MATCH(1, ('ALL STUDENTS'!$B:$B = B217) * ('ALL STUDENTS'!$C:$C = C217), 0)), "NOT FOUND")</f>
        <v>1887</v>
      </c>
      <c r="J217" t="str">
        <f>IF(Table26[[#This Row],[Fee]]&gt;500,Table26[[#This Row],[Fee]],"")</f>
        <v/>
      </c>
    </row>
    <row r="218" spans="1:10" hidden="1">
      <c r="A218">
        <v>217</v>
      </c>
      <c r="B218" t="s">
        <v>151</v>
      </c>
      <c r="C218" t="s">
        <v>149</v>
      </c>
      <c r="D218" t="str">
        <f t="array" ref="D218">TEXT(Table26[[#This Row],[Date]],"MMMM")</f>
        <v>August</v>
      </c>
      <c r="E218">
        <v>500</v>
      </c>
      <c r="F218" t="s">
        <v>589</v>
      </c>
      <c r="G218" t="s">
        <v>906</v>
      </c>
      <c r="H218" s="38">
        <v>46235</v>
      </c>
      <c r="I218" cm="1">
        <f t="array" ref="I218">IFERROR(INDEX('ALL STUDENTS'!$A:$A, MATCH(1, ('ALL STUDENTS'!$B:$B = B218) * ('ALL STUDENTS'!$C:$C = C218), 0)), "NOT FOUND")</f>
        <v>1793</v>
      </c>
      <c r="J218" t="str">
        <f>IF(Table26[[#This Row],[Fee]]&gt;500,Table26[[#This Row],[Fee]],"")</f>
        <v/>
      </c>
    </row>
    <row r="219" spans="1:10" hidden="1">
      <c r="A219">
        <v>218</v>
      </c>
      <c r="B219" t="s">
        <v>151</v>
      </c>
      <c r="C219" t="s">
        <v>149</v>
      </c>
      <c r="D219" t="str">
        <f t="array" ref="D219">TEXT(Table26[[#This Row],[Date]],"MMMM")</f>
        <v>August</v>
      </c>
      <c r="E219">
        <v>500</v>
      </c>
      <c r="F219" t="s">
        <v>589</v>
      </c>
      <c r="G219" t="s">
        <v>907</v>
      </c>
      <c r="H219" s="38">
        <v>46235</v>
      </c>
      <c r="I219" cm="1">
        <f t="array" ref="I219">IFERROR(INDEX('ALL STUDENTS'!$A:$A, MATCH(1, ('ALL STUDENTS'!$B:$B = B219) * ('ALL STUDENTS'!$C:$C = C219), 0)), "NOT FOUND")</f>
        <v>1793</v>
      </c>
      <c r="J219" t="str">
        <f>IF(Table26[[#This Row],[Fee]]&gt;500,Table26[[#This Row],[Fee]],"")</f>
        <v/>
      </c>
    </row>
    <row r="220" spans="1:10" hidden="1">
      <c r="A220">
        <v>219</v>
      </c>
      <c r="B220" t="s">
        <v>151</v>
      </c>
      <c r="C220" t="s">
        <v>149</v>
      </c>
      <c r="D220" t="str">
        <f t="array" ref="D220">TEXT(Table26[[#This Row],[Date]],"MMMM")</f>
        <v>August</v>
      </c>
      <c r="E220">
        <v>500</v>
      </c>
      <c r="F220" t="s">
        <v>589</v>
      </c>
      <c r="G220" t="s">
        <v>908</v>
      </c>
      <c r="H220" s="38">
        <v>46235</v>
      </c>
      <c r="I220" cm="1">
        <f t="array" ref="I220">IFERROR(INDEX('ALL STUDENTS'!$A:$A, MATCH(1, ('ALL STUDENTS'!$B:$B = B220) * ('ALL STUDENTS'!$C:$C = C220), 0)), "NOT FOUND")</f>
        <v>1793</v>
      </c>
      <c r="J220" t="str">
        <f>IF(Table26[[#This Row],[Fee]]&gt;500,Table26[[#This Row],[Fee]],"")</f>
        <v/>
      </c>
    </row>
    <row r="221" spans="1:10" hidden="1">
      <c r="A221">
        <v>220</v>
      </c>
      <c r="B221" t="s">
        <v>3229</v>
      </c>
      <c r="C221" t="s">
        <v>232</v>
      </c>
      <c r="D221" t="str">
        <f t="array" ref="D221">TEXT(Table26[[#This Row],[Date]],"MMMM")</f>
        <v>August</v>
      </c>
      <c r="E221">
        <v>500</v>
      </c>
      <c r="F221" t="s">
        <v>589</v>
      </c>
      <c r="G221" t="s">
        <v>909</v>
      </c>
      <c r="H221" s="38">
        <v>46237</v>
      </c>
      <c r="I221" cm="1">
        <f t="array" ref="I221">IFERROR(INDEX('ALL STUDENTS'!$A:$A, MATCH(1, ('ALL STUDENTS'!$B:$B = B221) * ('ALL STUDENTS'!$C:$C = C221), 0)), "NOT FOUND")</f>
        <v>2081</v>
      </c>
      <c r="J221" t="str">
        <f>IF(Table26[[#This Row],[Fee]]&gt;500,Table26[[#This Row],[Fee]],"")</f>
        <v/>
      </c>
    </row>
    <row r="222" spans="1:10" hidden="1">
      <c r="A222">
        <v>221</v>
      </c>
      <c r="B222" t="s">
        <v>403</v>
      </c>
      <c r="C222" t="s">
        <v>397</v>
      </c>
      <c r="D222" t="str">
        <f t="array" ref="D222">TEXT(Table26[[#This Row],[Date]],"MMMM")</f>
        <v>August</v>
      </c>
      <c r="E222">
        <v>500</v>
      </c>
      <c r="F222" t="s">
        <v>592</v>
      </c>
      <c r="G222" t="s">
        <v>910</v>
      </c>
      <c r="H222" s="38">
        <v>46236</v>
      </c>
      <c r="I222" cm="1">
        <f t="array" ref="I222">IFERROR(INDEX('ALL STUDENTS'!$A:$A, MATCH(1, ('ALL STUDENTS'!$B:$B = B222) * ('ALL STUDENTS'!$C:$C = C222), 0)), "NOT FOUND")</f>
        <v>940</v>
      </c>
      <c r="J222" t="str">
        <f>IF(Table26[[#This Row],[Fee]]&gt;500,Table26[[#This Row],[Fee]],"")</f>
        <v/>
      </c>
    </row>
    <row r="223" spans="1:10" hidden="1">
      <c r="A223">
        <v>222</v>
      </c>
      <c r="B223" t="s">
        <v>359</v>
      </c>
      <c r="C223" t="s">
        <v>356</v>
      </c>
      <c r="D223" t="str">
        <f t="array" ref="D223">TEXT(Table26[[#This Row],[Date]],"MMMM")</f>
        <v>August</v>
      </c>
      <c r="E223">
        <v>500</v>
      </c>
      <c r="F223" t="s">
        <v>592</v>
      </c>
      <c r="G223" t="s">
        <v>911</v>
      </c>
      <c r="H223" s="38">
        <v>46235</v>
      </c>
      <c r="I223" cm="1">
        <f t="array" ref="I223">IFERROR(INDEX('ALL STUDENTS'!$A:$A, MATCH(1, ('ALL STUDENTS'!$B:$B = B223) * ('ALL STUDENTS'!$C:$C = C223), 0)), "NOT FOUND")</f>
        <v>757</v>
      </c>
      <c r="J223" t="str">
        <f>IF(Table26[[#This Row],[Fee]]&gt;500,Table26[[#This Row],[Fee]],"")</f>
        <v/>
      </c>
    </row>
    <row r="224" spans="1:10" hidden="1">
      <c r="A224">
        <v>223</v>
      </c>
      <c r="B224" t="s">
        <v>545</v>
      </c>
      <c r="C224" t="s">
        <v>543</v>
      </c>
      <c r="D224" t="str">
        <f t="array" ref="D224">TEXT(Table26[[#This Row],[Date]],"MMMM")</f>
        <v>August</v>
      </c>
      <c r="E224">
        <v>500</v>
      </c>
      <c r="F224" t="s">
        <v>591</v>
      </c>
      <c r="G224" t="s">
        <v>912</v>
      </c>
      <c r="H224" s="38">
        <v>46235</v>
      </c>
      <c r="I224" cm="1">
        <f t="array" ref="I224">IFERROR(INDEX('ALL STUDENTS'!$A:$A, MATCH(1, ('ALL STUDENTS'!$B:$B = B224) * ('ALL STUDENTS'!$C:$C = C224), 0)), "NOT FOUND")</f>
        <v>142</v>
      </c>
      <c r="J224" t="str">
        <f>IF(Table26[[#This Row],[Fee]]&gt;500,Table26[[#This Row],[Fee]],"")</f>
        <v/>
      </c>
    </row>
    <row r="225" spans="1:10" hidden="1">
      <c r="A225">
        <v>224</v>
      </c>
      <c r="B225" t="s">
        <v>545</v>
      </c>
      <c r="C225" t="s">
        <v>543</v>
      </c>
      <c r="D225" t="str">
        <f t="array" ref="D225">TEXT(Table26[[#This Row],[Date]],"MMMM")</f>
        <v>August</v>
      </c>
      <c r="E225">
        <v>500</v>
      </c>
      <c r="F225" t="s">
        <v>591</v>
      </c>
      <c r="G225" t="s">
        <v>913</v>
      </c>
      <c r="H225" s="38">
        <v>46235</v>
      </c>
      <c r="I225" cm="1">
        <f t="array" ref="I225">IFERROR(INDEX('ALL STUDENTS'!$A:$A, MATCH(1, ('ALL STUDENTS'!$B:$B = B225) * ('ALL STUDENTS'!$C:$C = C225), 0)), "NOT FOUND")</f>
        <v>142</v>
      </c>
      <c r="J225" t="str">
        <f>IF(Table26[[#This Row],[Fee]]&gt;500,Table26[[#This Row],[Fee]],"")</f>
        <v/>
      </c>
    </row>
    <row r="226" spans="1:10" hidden="1">
      <c r="A226">
        <v>225</v>
      </c>
      <c r="B226" t="s">
        <v>545</v>
      </c>
      <c r="C226" t="s">
        <v>543</v>
      </c>
      <c r="D226" t="str">
        <f t="array" ref="D226">TEXT(Table26[[#This Row],[Date]],"MMMM")</f>
        <v>August</v>
      </c>
      <c r="E226">
        <v>500</v>
      </c>
      <c r="F226" t="s">
        <v>591</v>
      </c>
      <c r="G226" t="s">
        <v>914</v>
      </c>
      <c r="H226" s="38">
        <v>46235</v>
      </c>
      <c r="I226" cm="1">
        <f t="array" ref="I226">IFERROR(INDEX('ALL STUDENTS'!$A:$A, MATCH(1, ('ALL STUDENTS'!$B:$B = B226) * ('ALL STUDENTS'!$C:$C = C226), 0)), "NOT FOUND")</f>
        <v>142</v>
      </c>
      <c r="J226" t="str">
        <f>IF(Table26[[#This Row],[Fee]]&gt;500,Table26[[#This Row],[Fee]],"")</f>
        <v/>
      </c>
    </row>
    <row r="227" spans="1:10" hidden="1">
      <c r="A227">
        <v>226</v>
      </c>
      <c r="B227" t="s">
        <v>177</v>
      </c>
      <c r="C227" s="3" t="s">
        <v>175</v>
      </c>
      <c r="D227" t="str">
        <f t="array" ref="D227">TEXT(Table26[[#This Row],[Date]],"MMMM")</f>
        <v>August</v>
      </c>
      <c r="E227">
        <v>500</v>
      </c>
      <c r="F227" t="s">
        <v>591</v>
      </c>
      <c r="G227" t="s">
        <v>915</v>
      </c>
      <c r="H227" s="38">
        <v>46235</v>
      </c>
      <c r="I227" cm="1">
        <f t="array" ref="I227">IFERROR(INDEX('ALL STUDENTS'!$A:$A, MATCH(1, ('ALL STUDENTS'!$B:$B = B227) * ('ALL STUDENTS'!$C:$C = C227), 0)), "NOT FOUND")</f>
        <v>1881</v>
      </c>
      <c r="J227" t="str">
        <f>IF(Table26[[#This Row],[Fee]]&gt;500,Table26[[#This Row],[Fee]],"")</f>
        <v/>
      </c>
    </row>
    <row r="228" spans="1:10" hidden="1">
      <c r="A228">
        <v>227</v>
      </c>
      <c r="B228" t="s">
        <v>212</v>
      </c>
      <c r="C228" t="s">
        <v>211</v>
      </c>
      <c r="D228" t="str">
        <f t="array" ref="D228">TEXT(Table26[[#This Row],[Date]],"MMMM")</f>
        <v>August</v>
      </c>
      <c r="E228">
        <v>500</v>
      </c>
      <c r="F228" t="s">
        <v>589</v>
      </c>
      <c r="G228" t="s">
        <v>916</v>
      </c>
      <c r="H228" s="38">
        <v>46238</v>
      </c>
      <c r="I228" cm="1">
        <f t="array" ref="I228">IFERROR(INDEX('ALL STUDENTS'!$A:$A, MATCH(1, ('ALL STUDENTS'!$B:$B = B228) * ('ALL STUDENTS'!$C:$C = C228), 0)), "NOT FOUND")</f>
        <v>2011</v>
      </c>
      <c r="J228" t="str">
        <f>IF(Table26[[#This Row],[Fee]]&gt;500,Table26[[#This Row],[Fee]],"")</f>
        <v/>
      </c>
    </row>
    <row r="229" spans="1:10" hidden="1">
      <c r="A229">
        <v>228</v>
      </c>
      <c r="B229" t="s">
        <v>212</v>
      </c>
      <c r="C229" t="s">
        <v>211</v>
      </c>
      <c r="D229" t="str">
        <f t="array" ref="D229">TEXT(Table26[[#This Row],[Date]],"MMMM")</f>
        <v>August</v>
      </c>
      <c r="E229">
        <v>500</v>
      </c>
      <c r="F229" t="s">
        <v>589</v>
      </c>
      <c r="G229" t="s">
        <v>917</v>
      </c>
      <c r="H229" s="38">
        <v>46238</v>
      </c>
      <c r="I229" cm="1">
        <f t="array" ref="I229">IFERROR(INDEX('ALL STUDENTS'!$A:$A, MATCH(1, ('ALL STUDENTS'!$B:$B = B229) * ('ALL STUDENTS'!$C:$C = C229), 0)), "NOT FOUND")</f>
        <v>2011</v>
      </c>
      <c r="J229" t="str">
        <f>IF(Table26[[#This Row],[Fee]]&gt;500,Table26[[#This Row],[Fee]],"")</f>
        <v/>
      </c>
    </row>
    <row r="230" spans="1:10" hidden="1">
      <c r="A230">
        <v>229</v>
      </c>
      <c r="B230" t="s">
        <v>212</v>
      </c>
      <c r="C230" t="s">
        <v>211</v>
      </c>
      <c r="D230" t="str">
        <f t="array" ref="D230">TEXT(Table26[[#This Row],[Date]],"MMMM")</f>
        <v>August</v>
      </c>
      <c r="E230">
        <v>500</v>
      </c>
      <c r="F230" t="s">
        <v>589</v>
      </c>
      <c r="G230" t="s">
        <v>918</v>
      </c>
      <c r="H230" s="38">
        <v>46238</v>
      </c>
      <c r="I230" cm="1">
        <f t="array" ref="I230">IFERROR(INDEX('ALL STUDENTS'!$A:$A, MATCH(1, ('ALL STUDENTS'!$B:$B = B230) * ('ALL STUDENTS'!$C:$C = C230), 0)), "NOT FOUND")</f>
        <v>2011</v>
      </c>
      <c r="J230" t="str">
        <f>IF(Table26[[#This Row],[Fee]]&gt;500,Table26[[#This Row],[Fee]],"")</f>
        <v/>
      </c>
    </row>
    <row r="231" spans="1:10" hidden="1">
      <c r="A231">
        <v>230</v>
      </c>
      <c r="B231" t="s">
        <v>7</v>
      </c>
      <c r="C231" t="s">
        <v>4</v>
      </c>
      <c r="D231" t="str">
        <f t="array" ref="D231">TEXT(Table26[[#This Row],[Date]],"MMMM")</f>
        <v>August</v>
      </c>
      <c r="E231">
        <v>500</v>
      </c>
      <c r="F231" t="s">
        <v>589</v>
      </c>
      <c r="G231" t="s">
        <v>919</v>
      </c>
      <c r="H231" s="38">
        <v>46235</v>
      </c>
      <c r="I231" cm="1">
        <f t="array" ref="I231">IFERROR(INDEX('ALL STUDENTS'!$A:$A, MATCH(1, ('ALL STUDENTS'!$B:$B = B231) * ('ALL STUDENTS'!$C:$C = C231), 0)), "NOT FOUND")</f>
        <v>3025</v>
      </c>
      <c r="J231" t="str">
        <f>IF(Table26[[#This Row],[Fee]]&gt;500,Table26[[#This Row],[Fee]],"")</f>
        <v/>
      </c>
    </row>
    <row r="232" spans="1:10" hidden="1">
      <c r="A232">
        <v>231</v>
      </c>
      <c r="B232" t="s">
        <v>7</v>
      </c>
      <c r="C232" t="s">
        <v>4</v>
      </c>
      <c r="D232" t="str">
        <f t="array" ref="D232">TEXT(Table26[[#This Row],[Date]],"MMMM")</f>
        <v>August</v>
      </c>
      <c r="E232">
        <v>500</v>
      </c>
      <c r="F232" t="s">
        <v>589</v>
      </c>
      <c r="G232" t="s">
        <v>920</v>
      </c>
      <c r="H232" s="38">
        <v>46235</v>
      </c>
      <c r="I232" cm="1">
        <f t="array" ref="I232">IFERROR(INDEX('ALL STUDENTS'!$A:$A, MATCH(1, ('ALL STUDENTS'!$B:$B = B232) * ('ALL STUDENTS'!$C:$C = C232), 0)), "NOT FOUND")</f>
        <v>3025</v>
      </c>
      <c r="J232" t="str">
        <f>IF(Table26[[#This Row],[Fee]]&gt;500,Table26[[#This Row],[Fee]],"")</f>
        <v/>
      </c>
    </row>
    <row r="233" spans="1:10" hidden="1">
      <c r="A233">
        <v>232</v>
      </c>
      <c r="B233" t="s">
        <v>7</v>
      </c>
      <c r="C233" t="s">
        <v>4</v>
      </c>
      <c r="D233" t="str">
        <f t="array" ref="D233">TEXT(Table26[[#This Row],[Date]],"MMMM")</f>
        <v>August</v>
      </c>
      <c r="E233">
        <v>500</v>
      </c>
      <c r="F233" t="s">
        <v>589</v>
      </c>
      <c r="G233" t="s">
        <v>921</v>
      </c>
      <c r="H233" s="38">
        <v>46235</v>
      </c>
      <c r="I233" cm="1">
        <f t="array" ref="I233">IFERROR(INDEX('ALL STUDENTS'!$A:$A, MATCH(1, ('ALL STUDENTS'!$B:$B = B233) * ('ALL STUDENTS'!$C:$C = C233), 0)), "NOT FOUND")</f>
        <v>3025</v>
      </c>
      <c r="J233" t="str">
        <f>IF(Table26[[#This Row],[Fee]]&gt;500,Table26[[#This Row],[Fee]],"")</f>
        <v/>
      </c>
    </row>
    <row r="234" spans="1:10" hidden="1">
      <c r="A234">
        <v>233</v>
      </c>
      <c r="B234" t="s">
        <v>8</v>
      </c>
      <c r="C234" t="s">
        <v>4</v>
      </c>
      <c r="D234" t="str">
        <f t="array" ref="D234">TEXT(Table26[[#This Row],[Date]],"MMMM")</f>
        <v>August</v>
      </c>
      <c r="E234">
        <v>500</v>
      </c>
      <c r="F234" t="s">
        <v>589</v>
      </c>
      <c r="G234" t="s">
        <v>922</v>
      </c>
      <c r="H234" s="38">
        <v>46237</v>
      </c>
      <c r="I234" cm="1">
        <f t="array" ref="I234">IFERROR(INDEX('ALL STUDENTS'!$A:$A, MATCH(1, ('ALL STUDENTS'!$B:$B = B234) * ('ALL STUDENTS'!$C:$C = C234), 0)), "NOT FOUND")</f>
        <v>3009</v>
      </c>
      <c r="J234" t="str">
        <f>IF(Table26[[#This Row],[Fee]]&gt;500,Table26[[#This Row],[Fee]],"")</f>
        <v/>
      </c>
    </row>
    <row r="235" spans="1:10" hidden="1">
      <c r="A235">
        <v>234</v>
      </c>
      <c r="B235" t="s">
        <v>276</v>
      </c>
      <c r="C235" t="s">
        <v>273</v>
      </c>
      <c r="D235" t="str">
        <f t="array" ref="D235">TEXT(Table26[[#This Row],[Date]],"MMMM")</f>
        <v>August</v>
      </c>
      <c r="E235">
        <v>500</v>
      </c>
      <c r="F235" t="s">
        <v>589</v>
      </c>
      <c r="G235" t="s">
        <v>923</v>
      </c>
      <c r="H235" s="38">
        <v>46237</v>
      </c>
      <c r="I235" cm="1">
        <f t="array" ref="I235">IFERROR(INDEX('ALL STUDENTS'!$A:$A, MATCH(1, ('ALL STUDENTS'!$B:$B = B235) * ('ALL STUDENTS'!$C:$C = C235), 0)), "NOT FOUND")</f>
        <v>2202</v>
      </c>
      <c r="J235" t="str">
        <f>IF(Table26[[#This Row],[Fee]]&gt;500,Table26[[#This Row],[Fee]],"")</f>
        <v/>
      </c>
    </row>
    <row r="236" spans="1:10" hidden="1">
      <c r="A236">
        <v>235</v>
      </c>
      <c r="B236" t="s">
        <v>276</v>
      </c>
      <c r="C236" t="s">
        <v>273</v>
      </c>
      <c r="D236" t="str">
        <f t="array" ref="D236">TEXT(Table26[[#This Row],[Date]],"MMMM")</f>
        <v>August</v>
      </c>
      <c r="E236">
        <v>500</v>
      </c>
      <c r="F236" t="s">
        <v>589</v>
      </c>
      <c r="G236" t="s">
        <v>924</v>
      </c>
      <c r="H236" s="38">
        <v>46237</v>
      </c>
      <c r="I236" cm="1">
        <f t="array" ref="I236">IFERROR(INDEX('ALL STUDENTS'!$A:$A, MATCH(1, ('ALL STUDENTS'!$B:$B = B236) * ('ALL STUDENTS'!$C:$C = C236), 0)), "NOT FOUND")</f>
        <v>2202</v>
      </c>
      <c r="J236" t="str">
        <f>IF(Table26[[#This Row],[Fee]]&gt;500,Table26[[#This Row],[Fee]],"")</f>
        <v/>
      </c>
    </row>
    <row r="237" spans="1:10" hidden="1">
      <c r="A237">
        <v>236</v>
      </c>
      <c r="B237" t="s">
        <v>276</v>
      </c>
      <c r="C237" t="s">
        <v>273</v>
      </c>
      <c r="D237" t="str">
        <f t="array" ref="D237">TEXT(Table26[[#This Row],[Date]],"MMMM")</f>
        <v>August</v>
      </c>
      <c r="E237">
        <v>500</v>
      </c>
      <c r="F237" t="s">
        <v>589</v>
      </c>
      <c r="G237" t="s">
        <v>925</v>
      </c>
      <c r="H237" s="38">
        <v>46237</v>
      </c>
      <c r="I237" cm="1">
        <f t="array" ref="I237">IFERROR(INDEX('ALL STUDENTS'!$A:$A, MATCH(1, ('ALL STUDENTS'!$B:$B = B237) * ('ALL STUDENTS'!$C:$C = C237), 0)), "NOT FOUND")</f>
        <v>2202</v>
      </c>
      <c r="J237" t="str">
        <f>IF(Table26[[#This Row],[Fee]]&gt;500,Table26[[#This Row],[Fee]],"")</f>
        <v/>
      </c>
    </row>
    <row r="238" spans="1:10" hidden="1">
      <c r="A238">
        <v>237</v>
      </c>
      <c r="B238" t="s">
        <v>189</v>
      </c>
      <c r="C238" t="s">
        <v>185</v>
      </c>
      <c r="D238" t="str">
        <f t="array" ref="D238">TEXT(Table26[[#This Row],[Date]],"MMMM")</f>
        <v>August</v>
      </c>
      <c r="E238">
        <v>500</v>
      </c>
      <c r="F238" t="s">
        <v>589</v>
      </c>
      <c r="G238" t="s">
        <v>926</v>
      </c>
      <c r="H238" s="38">
        <v>46237</v>
      </c>
      <c r="I238" cm="1">
        <f t="array" ref="I238">IFERROR(INDEX('ALL STUDENTS'!$A:$A, MATCH(1, ('ALL STUDENTS'!$B:$B = B238) * ('ALL STUDENTS'!$C:$C = C238), 0)), "NOT FOUND")</f>
        <v>1809</v>
      </c>
      <c r="J238" t="str">
        <f>IF(Table26[[#This Row],[Fee]]&gt;500,Table26[[#This Row],[Fee]],"")</f>
        <v/>
      </c>
    </row>
    <row r="239" spans="1:10" hidden="1">
      <c r="A239">
        <v>238</v>
      </c>
      <c r="B239" t="s">
        <v>327</v>
      </c>
      <c r="C239" t="s">
        <v>324</v>
      </c>
      <c r="D239" t="str">
        <f t="array" ref="D239">TEXT(Table26[[#This Row],[Date]],"MMMM")</f>
        <v>August</v>
      </c>
      <c r="E239">
        <v>500</v>
      </c>
      <c r="F239" t="s">
        <v>589</v>
      </c>
      <c r="G239" t="s">
        <v>927</v>
      </c>
      <c r="H239" s="38">
        <v>46237</v>
      </c>
      <c r="I239" cm="1">
        <f t="array" ref="I239">IFERROR(INDEX('ALL STUDENTS'!$A:$A, MATCH(1, ('ALL STUDENTS'!$B:$B = B239) * ('ALL STUDENTS'!$C:$C = C239), 0)), "NOT FOUND")</f>
        <v>2452</v>
      </c>
      <c r="J239" t="str">
        <f>IF(Table26[[#This Row],[Fee]]&gt;500,Table26[[#This Row],[Fee]],"")</f>
        <v/>
      </c>
    </row>
    <row r="240" spans="1:10" hidden="1">
      <c r="A240">
        <v>239</v>
      </c>
      <c r="B240" t="s">
        <v>490</v>
      </c>
      <c r="C240" t="s">
        <v>488</v>
      </c>
      <c r="D240" t="str">
        <f t="array" ref="D240">TEXT(Table26[[#This Row],[Date]],"MMMM")</f>
        <v>August</v>
      </c>
      <c r="E240">
        <v>500</v>
      </c>
      <c r="F240" t="s">
        <v>589</v>
      </c>
      <c r="G240" t="s">
        <v>928</v>
      </c>
      <c r="H240" s="38">
        <v>46235</v>
      </c>
      <c r="I240" cm="1">
        <f t="array" ref="I240">IFERROR(INDEX('ALL STUDENTS'!$A:$A, MATCH(1, ('ALL STUDENTS'!$B:$B = B240) * ('ALL STUDENTS'!$C:$C = C240), 0)), "NOT FOUND")</f>
        <v>334</v>
      </c>
      <c r="J240" t="str">
        <f>IF(Table26[[#This Row],[Fee]]&gt;500,Table26[[#This Row],[Fee]],"")</f>
        <v/>
      </c>
    </row>
    <row r="241" spans="1:10" hidden="1">
      <c r="A241">
        <v>240</v>
      </c>
      <c r="B241" t="s">
        <v>422</v>
      </c>
      <c r="C241" t="s">
        <v>421</v>
      </c>
      <c r="D241" t="str">
        <f t="array" ref="D241">TEXT(Table26[[#This Row],[Date]],"MMMM")</f>
        <v>August</v>
      </c>
      <c r="E241">
        <v>500</v>
      </c>
      <c r="F241" t="s">
        <v>589</v>
      </c>
      <c r="G241" t="s">
        <v>929</v>
      </c>
      <c r="H241" s="38">
        <v>46235</v>
      </c>
      <c r="I241" cm="1">
        <f t="array" ref="I241">IFERROR(INDEX('ALL STUDENTS'!$A:$A, MATCH(1, ('ALL STUDENTS'!$B:$B = B241) * ('ALL STUDENTS'!$C:$C = C241), 0)), "NOT FOUND")</f>
        <v>559</v>
      </c>
      <c r="J241" t="str">
        <f>IF(Table26[[#This Row],[Fee]]&gt;500,Table26[[#This Row],[Fee]],"")</f>
        <v/>
      </c>
    </row>
    <row r="242" spans="1:10" hidden="1">
      <c r="A242">
        <v>241</v>
      </c>
      <c r="B242" t="s">
        <v>391</v>
      </c>
      <c r="C242" t="s">
        <v>386</v>
      </c>
      <c r="D242" t="str">
        <f t="array" ref="D242">TEXT(Table26[[#This Row],[Date]],"MMMM")</f>
        <v>August</v>
      </c>
      <c r="E242">
        <v>500</v>
      </c>
      <c r="F242" t="s">
        <v>589</v>
      </c>
      <c r="G242" t="s">
        <v>930</v>
      </c>
      <c r="H242" s="38">
        <v>46238</v>
      </c>
      <c r="I242" cm="1">
        <f t="array" ref="I242">IFERROR(INDEX('ALL STUDENTS'!$A:$A, MATCH(1, ('ALL STUDENTS'!$B:$B = B242) * ('ALL STUDENTS'!$C:$C = C242), 0)), "NOT FOUND")</f>
        <v>896</v>
      </c>
      <c r="J242" t="str">
        <f>IF(Table26[[#This Row],[Fee]]&gt;500,Table26[[#This Row],[Fee]],"")</f>
        <v/>
      </c>
    </row>
    <row r="243" spans="1:10" hidden="1">
      <c r="A243">
        <v>242</v>
      </c>
      <c r="B243" t="s">
        <v>391</v>
      </c>
      <c r="C243" t="s">
        <v>386</v>
      </c>
      <c r="D243" t="str">
        <f t="array" ref="D243">TEXT(Table26[[#This Row],[Date]],"MMMM")</f>
        <v>August</v>
      </c>
      <c r="E243">
        <v>500</v>
      </c>
      <c r="F243" t="s">
        <v>589</v>
      </c>
      <c r="G243" t="s">
        <v>931</v>
      </c>
      <c r="H243" s="38">
        <v>46238</v>
      </c>
      <c r="I243" cm="1">
        <f t="array" ref="I243">IFERROR(INDEX('ALL STUDENTS'!$A:$A, MATCH(1, ('ALL STUDENTS'!$B:$B = B243) * ('ALL STUDENTS'!$C:$C = C243), 0)), "NOT FOUND")</f>
        <v>896</v>
      </c>
      <c r="J243" t="str">
        <f>IF(Table26[[#This Row],[Fee]]&gt;500,Table26[[#This Row],[Fee]],"")</f>
        <v/>
      </c>
    </row>
    <row r="244" spans="1:10" hidden="1">
      <c r="A244">
        <v>243</v>
      </c>
      <c r="B244" t="s">
        <v>391</v>
      </c>
      <c r="C244" t="s">
        <v>386</v>
      </c>
      <c r="D244" t="str">
        <f t="array" ref="D244">TEXT(Table26[[#This Row],[Date]],"MMMM")</f>
        <v>August</v>
      </c>
      <c r="E244">
        <v>500</v>
      </c>
      <c r="F244" t="s">
        <v>589</v>
      </c>
      <c r="G244" t="s">
        <v>932</v>
      </c>
      <c r="H244" s="38">
        <v>46238</v>
      </c>
      <c r="I244" cm="1">
        <f t="array" ref="I244">IFERROR(INDEX('ALL STUDENTS'!$A:$A, MATCH(1, ('ALL STUDENTS'!$B:$B = B244) * ('ALL STUDENTS'!$C:$C = C244), 0)), "NOT FOUND")</f>
        <v>896</v>
      </c>
      <c r="J244" t="str">
        <f>IF(Table26[[#This Row],[Fee]]&gt;500,Table26[[#This Row],[Fee]],"")</f>
        <v/>
      </c>
    </row>
    <row r="245" spans="1:10" hidden="1">
      <c r="A245">
        <v>244</v>
      </c>
      <c r="B245" t="s">
        <v>472</v>
      </c>
      <c r="C245" t="s">
        <v>467</v>
      </c>
      <c r="D245" t="str">
        <f t="array" ref="D245">TEXT(Table26[[#This Row],[Date]],"MMMM")</f>
        <v>August</v>
      </c>
      <c r="E245">
        <v>500</v>
      </c>
      <c r="F245" t="s">
        <v>589</v>
      </c>
      <c r="G245" t="s">
        <v>933</v>
      </c>
      <c r="H245" s="38">
        <v>46238</v>
      </c>
      <c r="I245" cm="1">
        <f t="array" ref="I245">IFERROR(INDEX('ALL STUDENTS'!$A:$A, MATCH(1, ('ALL STUDENTS'!$B:$B = B245) * ('ALL STUDENTS'!$C:$C = C245), 0)), "NOT FOUND")</f>
        <v>243</v>
      </c>
      <c r="J245" t="str">
        <f>IF(Table26[[#This Row],[Fee]]&gt;500,Table26[[#This Row],[Fee]],"")</f>
        <v/>
      </c>
    </row>
    <row r="246" spans="1:10" hidden="1">
      <c r="A246">
        <v>245</v>
      </c>
      <c r="B246" t="s">
        <v>472</v>
      </c>
      <c r="C246" t="s">
        <v>467</v>
      </c>
      <c r="D246" t="str">
        <f t="array" ref="D246">TEXT(Table26[[#This Row],[Date]],"MMMM")</f>
        <v>August</v>
      </c>
      <c r="E246">
        <v>500</v>
      </c>
      <c r="F246" t="s">
        <v>589</v>
      </c>
      <c r="G246" t="s">
        <v>934</v>
      </c>
      <c r="H246" s="38">
        <v>46238</v>
      </c>
      <c r="I246" cm="1">
        <f t="array" ref="I246">IFERROR(INDEX('ALL STUDENTS'!$A:$A, MATCH(1, ('ALL STUDENTS'!$B:$B = B246) * ('ALL STUDENTS'!$C:$C = C246), 0)), "NOT FOUND")</f>
        <v>243</v>
      </c>
      <c r="J246" t="str">
        <f>IF(Table26[[#This Row],[Fee]]&gt;500,Table26[[#This Row],[Fee]],"")</f>
        <v/>
      </c>
    </row>
    <row r="247" spans="1:10" hidden="1">
      <c r="A247">
        <v>246</v>
      </c>
      <c r="B247" t="s">
        <v>472</v>
      </c>
      <c r="C247" t="s">
        <v>467</v>
      </c>
      <c r="D247" t="str">
        <f t="array" ref="D247">TEXT(Table26[[#This Row],[Date]],"MMMM")</f>
        <v>August</v>
      </c>
      <c r="E247">
        <v>500</v>
      </c>
      <c r="F247" t="s">
        <v>589</v>
      </c>
      <c r="G247" t="s">
        <v>935</v>
      </c>
      <c r="H247" s="38">
        <v>46238</v>
      </c>
      <c r="I247" cm="1">
        <f t="array" ref="I247">IFERROR(INDEX('ALL STUDENTS'!$A:$A, MATCH(1, ('ALL STUDENTS'!$B:$B = B247) * ('ALL STUDENTS'!$C:$C = C247), 0)), "NOT FOUND")</f>
        <v>243</v>
      </c>
      <c r="J247" t="str">
        <f>IF(Table26[[#This Row],[Fee]]&gt;500,Table26[[#This Row],[Fee]],"")</f>
        <v/>
      </c>
    </row>
    <row r="248" spans="1:10" hidden="1">
      <c r="A248">
        <v>247</v>
      </c>
      <c r="B248" t="s">
        <v>9</v>
      </c>
      <c r="C248" t="s">
        <v>4</v>
      </c>
      <c r="D248" t="str">
        <f t="array" ref="D248">TEXT(Table26[[#This Row],[Date]],"MMMM")</f>
        <v>August</v>
      </c>
      <c r="E248">
        <v>500</v>
      </c>
      <c r="F248" t="s">
        <v>589</v>
      </c>
      <c r="G248" t="s">
        <v>936</v>
      </c>
      <c r="H248" s="38">
        <v>46238</v>
      </c>
      <c r="I248" cm="1">
        <f t="array" ref="I248">IFERROR(INDEX('ALL STUDENTS'!$A:$A, MATCH(1, ('ALL STUDENTS'!$B:$B = B248) * ('ALL STUDENTS'!$C:$C = C248), 0)), "NOT FOUND")</f>
        <v>3010</v>
      </c>
      <c r="J248" t="str">
        <f>IF(Table26[[#This Row],[Fee]]&gt;500,Table26[[#This Row],[Fee]],"")</f>
        <v/>
      </c>
    </row>
    <row r="249" spans="1:10" hidden="1">
      <c r="A249">
        <v>248</v>
      </c>
      <c r="B249" t="s">
        <v>9</v>
      </c>
      <c r="C249" t="s">
        <v>4</v>
      </c>
      <c r="D249" t="str">
        <f t="array" ref="D249">TEXT(Table26[[#This Row],[Date]],"MMMM")</f>
        <v>August</v>
      </c>
      <c r="E249">
        <v>500</v>
      </c>
      <c r="F249" t="s">
        <v>589</v>
      </c>
      <c r="G249" t="s">
        <v>937</v>
      </c>
      <c r="H249" s="38">
        <v>46238</v>
      </c>
      <c r="I249" cm="1">
        <f t="array" ref="I249">IFERROR(INDEX('ALL STUDENTS'!$A:$A, MATCH(1, ('ALL STUDENTS'!$B:$B = B249) * ('ALL STUDENTS'!$C:$C = C249), 0)), "NOT FOUND")</f>
        <v>3010</v>
      </c>
      <c r="J249" t="str">
        <f>IF(Table26[[#This Row],[Fee]]&gt;500,Table26[[#This Row],[Fee]],"")</f>
        <v/>
      </c>
    </row>
    <row r="250" spans="1:10" hidden="1">
      <c r="A250">
        <v>249</v>
      </c>
      <c r="B250" t="s">
        <v>9</v>
      </c>
      <c r="C250" t="s">
        <v>4</v>
      </c>
      <c r="D250" t="str">
        <f t="array" ref="D250">TEXT(Table26[[#This Row],[Date]],"MMMM")</f>
        <v>August</v>
      </c>
      <c r="E250">
        <v>500</v>
      </c>
      <c r="F250" t="s">
        <v>589</v>
      </c>
      <c r="G250" t="s">
        <v>938</v>
      </c>
      <c r="H250" s="38">
        <v>46238</v>
      </c>
      <c r="I250" cm="1">
        <f t="array" ref="I250">IFERROR(INDEX('ALL STUDENTS'!$A:$A, MATCH(1, ('ALL STUDENTS'!$B:$B = B250) * ('ALL STUDENTS'!$C:$C = C250), 0)), "NOT FOUND")</f>
        <v>3010</v>
      </c>
      <c r="J250" t="str">
        <f>IF(Table26[[#This Row],[Fee]]&gt;500,Table26[[#This Row],[Fee]],"")</f>
        <v/>
      </c>
    </row>
    <row r="251" spans="1:10" hidden="1">
      <c r="A251">
        <v>250</v>
      </c>
      <c r="B251" t="s">
        <v>3645</v>
      </c>
      <c r="C251" t="s">
        <v>68</v>
      </c>
      <c r="D251" t="str">
        <f t="array" ref="D251">TEXT(Table26[[#This Row],[Date]],"MMMM")</f>
        <v>August</v>
      </c>
      <c r="E251">
        <v>500</v>
      </c>
      <c r="F251" t="s">
        <v>589</v>
      </c>
      <c r="G251" t="s">
        <v>939</v>
      </c>
      <c r="H251" s="38">
        <v>46238</v>
      </c>
      <c r="I251" cm="1">
        <f t="array" ref="I251">IFERROR(INDEX('ALL STUDENTS'!$A:$A, MATCH(1, ('ALL STUDENTS'!$B:$B = B251) * ('ALL STUDENTS'!$C:$C = C251), 0)), "NOT FOUND")</f>
        <v>2662</v>
      </c>
      <c r="J251" t="str">
        <f>IF(Table26[[#This Row],[Fee]]&gt;500,Table26[[#This Row],[Fee]],"")</f>
        <v/>
      </c>
    </row>
    <row r="252" spans="1:10" hidden="1">
      <c r="A252">
        <v>251</v>
      </c>
      <c r="B252" t="s">
        <v>3645</v>
      </c>
      <c r="C252" t="s">
        <v>68</v>
      </c>
      <c r="D252" t="str">
        <f t="array" ref="D252">TEXT(Table26[[#This Row],[Date]],"MMMM")</f>
        <v>August</v>
      </c>
      <c r="E252">
        <v>500</v>
      </c>
      <c r="F252" t="s">
        <v>589</v>
      </c>
      <c r="G252" t="s">
        <v>940</v>
      </c>
      <c r="H252" s="38">
        <v>46238</v>
      </c>
      <c r="I252" cm="1">
        <f t="array" ref="I252">IFERROR(INDEX('ALL STUDENTS'!$A:$A, MATCH(1, ('ALL STUDENTS'!$B:$B = B252) * ('ALL STUDENTS'!$C:$C = C252), 0)), "NOT FOUND")</f>
        <v>2662</v>
      </c>
      <c r="J252" t="str">
        <f>IF(Table26[[#This Row],[Fee]]&gt;500,Table26[[#This Row],[Fee]],"")</f>
        <v/>
      </c>
    </row>
    <row r="253" spans="1:10" hidden="1">
      <c r="A253">
        <v>252</v>
      </c>
      <c r="B253" t="s">
        <v>3645</v>
      </c>
      <c r="C253" t="s">
        <v>68</v>
      </c>
      <c r="D253" t="str">
        <f t="array" ref="D253">TEXT(Table26[[#This Row],[Date]],"MMMM")</f>
        <v>August</v>
      </c>
      <c r="E253">
        <v>500</v>
      </c>
      <c r="F253" t="s">
        <v>589</v>
      </c>
      <c r="G253" t="s">
        <v>941</v>
      </c>
      <c r="H253" s="38">
        <v>46238</v>
      </c>
      <c r="I253" cm="1">
        <f t="array" ref="I253">IFERROR(INDEX('ALL STUDENTS'!$A:$A, MATCH(1, ('ALL STUDENTS'!$B:$B = B253) * ('ALL STUDENTS'!$C:$C = C253), 0)), "NOT FOUND")</f>
        <v>2662</v>
      </c>
      <c r="J253" t="str">
        <f>IF(Table26[[#This Row],[Fee]]&gt;500,Table26[[#This Row],[Fee]],"")</f>
        <v/>
      </c>
    </row>
    <row r="254" spans="1:10" hidden="1">
      <c r="A254">
        <v>253</v>
      </c>
      <c r="B254" t="s">
        <v>559</v>
      </c>
      <c r="C254" t="s">
        <v>556</v>
      </c>
      <c r="D254" t="str">
        <f t="array" ref="D254">TEXT(Table26[[#This Row],[Date]],"MMMM")</f>
        <v>August</v>
      </c>
      <c r="E254">
        <v>500</v>
      </c>
      <c r="F254" t="s">
        <v>589</v>
      </c>
      <c r="G254" t="s">
        <v>942</v>
      </c>
      <c r="H254" s="38">
        <v>46238</v>
      </c>
      <c r="I254" cm="1">
        <f t="array" ref="I254">IFERROR(INDEX('ALL STUDENTS'!$A:$A, MATCH(1, ('ALL STUDENTS'!$B:$B = B254) * ('ALL STUDENTS'!$C:$C = C254), 0)), "NOT FOUND")</f>
        <v>204</v>
      </c>
      <c r="J254" t="str">
        <f>IF(Table26[[#This Row],[Fee]]&gt;500,Table26[[#This Row],[Fee]],"")</f>
        <v/>
      </c>
    </row>
    <row r="255" spans="1:10" hidden="1">
      <c r="A255">
        <v>254</v>
      </c>
      <c r="B255" t="s">
        <v>559</v>
      </c>
      <c r="C255" t="s">
        <v>556</v>
      </c>
      <c r="D255" t="str">
        <f t="array" ref="D255">TEXT(Table26[[#This Row],[Date]],"MMMM")</f>
        <v>August</v>
      </c>
      <c r="E255">
        <v>500</v>
      </c>
      <c r="F255" t="s">
        <v>589</v>
      </c>
      <c r="G255" t="s">
        <v>943</v>
      </c>
      <c r="H255" s="38">
        <v>46238</v>
      </c>
      <c r="I255" cm="1">
        <f t="array" ref="I255">IFERROR(INDEX('ALL STUDENTS'!$A:$A, MATCH(1, ('ALL STUDENTS'!$B:$B = B255) * ('ALL STUDENTS'!$C:$C = C255), 0)), "NOT FOUND")</f>
        <v>204</v>
      </c>
      <c r="J255" t="str">
        <f>IF(Table26[[#This Row],[Fee]]&gt;500,Table26[[#This Row],[Fee]],"")</f>
        <v/>
      </c>
    </row>
    <row r="256" spans="1:10" hidden="1">
      <c r="A256">
        <v>255</v>
      </c>
      <c r="B256" t="s">
        <v>559</v>
      </c>
      <c r="C256" t="s">
        <v>556</v>
      </c>
      <c r="D256" t="str">
        <f t="array" ref="D256">TEXT(Table26[[#This Row],[Date]],"MMMM")</f>
        <v>August</v>
      </c>
      <c r="E256">
        <v>500</v>
      </c>
      <c r="F256" t="s">
        <v>589</v>
      </c>
      <c r="G256" t="s">
        <v>944</v>
      </c>
      <c r="H256" s="38">
        <v>46238</v>
      </c>
      <c r="I256" cm="1">
        <f t="array" ref="I256">IFERROR(INDEX('ALL STUDENTS'!$A:$A, MATCH(1, ('ALL STUDENTS'!$B:$B = B256) * ('ALL STUDENTS'!$C:$C = C256), 0)), "NOT FOUND")</f>
        <v>204</v>
      </c>
      <c r="J256" t="str">
        <f>IF(Table26[[#This Row],[Fee]]&gt;500,Table26[[#This Row],[Fee]],"")</f>
        <v/>
      </c>
    </row>
    <row r="257" spans="1:10" hidden="1">
      <c r="A257">
        <v>256</v>
      </c>
      <c r="B257" t="s">
        <v>442</v>
      </c>
      <c r="C257" t="s">
        <v>440</v>
      </c>
      <c r="D257" t="str">
        <f t="array" ref="D257">TEXT(Table26[[#This Row],[Date]],"MMMM")</f>
        <v>August</v>
      </c>
      <c r="E257">
        <v>500</v>
      </c>
      <c r="F257" t="s">
        <v>589</v>
      </c>
      <c r="G257" t="s">
        <v>945</v>
      </c>
      <c r="H257" s="38">
        <v>46237</v>
      </c>
      <c r="I257" cm="1">
        <f t="array" ref="I257">IFERROR(INDEX('ALL STUDENTS'!$A:$A, MATCH(1, ('ALL STUDENTS'!$B:$B = B257) * ('ALL STUDENTS'!$C:$C = C257), 0)), "NOT FOUND")</f>
        <v>635</v>
      </c>
      <c r="J257" t="str">
        <f>IF(Table26[[#This Row],[Fee]]&gt;500,Table26[[#This Row],[Fee]],"")</f>
        <v/>
      </c>
    </row>
    <row r="258" spans="1:10" hidden="1">
      <c r="A258">
        <v>257</v>
      </c>
      <c r="B258" t="s">
        <v>417</v>
      </c>
      <c r="C258" t="s">
        <v>415</v>
      </c>
      <c r="D258" t="str">
        <f t="array" ref="D258">TEXT(Table26[[#This Row],[Date]],"MMMM")</f>
        <v>August</v>
      </c>
      <c r="E258">
        <v>500</v>
      </c>
      <c r="F258" t="s">
        <v>589</v>
      </c>
      <c r="G258" t="s">
        <v>946</v>
      </c>
      <c r="H258" s="38">
        <v>46238</v>
      </c>
      <c r="I258" cm="1">
        <f t="array" ref="I258">IFERROR(INDEX('ALL STUDENTS'!$A:$A, MATCH(1, ('ALL STUDENTS'!$B:$B = B258) * ('ALL STUDENTS'!$C:$C = C258), 0)), "NOT FOUND")</f>
        <v>1012</v>
      </c>
      <c r="J258" t="str">
        <f>IF(Table26[[#This Row],[Fee]]&gt;500,Table26[[#This Row],[Fee]],"")</f>
        <v/>
      </c>
    </row>
    <row r="259" spans="1:10" hidden="1">
      <c r="A259">
        <v>258</v>
      </c>
      <c r="B259" t="s">
        <v>206</v>
      </c>
      <c r="C259" t="s">
        <v>205</v>
      </c>
      <c r="D259" t="str">
        <f t="array" ref="D259">TEXT(Table26[[#This Row],[Date]],"MMMM")</f>
        <v>August</v>
      </c>
      <c r="E259">
        <v>500</v>
      </c>
      <c r="F259" t="s">
        <v>589</v>
      </c>
      <c r="G259" t="s">
        <v>947</v>
      </c>
      <c r="H259" s="38">
        <v>46237</v>
      </c>
      <c r="I259" cm="1">
        <f t="array" ref="I259">IFERROR(INDEX('ALL STUDENTS'!$A:$A, MATCH(1, ('ALL STUDENTS'!$B:$B = B259) * ('ALL STUDENTS'!$C:$C = C259), 0)), "NOT FOUND")</f>
        <v>1966</v>
      </c>
      <c r="J259" t="str">
        <f>IF(Table26[[#This Row],[Fee]]&gt;500,Table26[[#This Row],[Fee]],"")</f>
        <v/>
      </c>
    </row>
    <row r="260" spans="1:10" hidden="1">
      <c r="A260">
        <v>259</v>
      </c>
      <c r="B260" t="s">
        <v>206</v>
      </c>
      <c r="C260" t="s">
        <v>205</v>
      </c>
      <c r="D260" t="str">
        <f t="array" ref="D260">TEXT(Table26[[#This Row],[Date]],"MMMM")</f>
        <v>August</v>
      </c>
      <c r="E260">
        <v>500</v>
      </c>
      <c r="F260" t="s">
        <v>589</v>
      </c>
      <c r="G260" t="s">
        <v>948</v>
      </c>
      <c r="H260" s="38">
        <v>46237</v>
      </c>
      <c r="I260" cm="1">
        <f t="array" ref="I260">IFERROR(INDEX('ALL STUDENTS'!$A:$A, MATCH(1, ('ALL STUDENTS'!$B:$B = B260) * ('ALL STUDENTS'!$C:$C = C260), 0)), "NOT FOUND")</f>
        <v>1966</v>
      </c>
      <c r="J260" t="str">
        <f>IF(Table26[[#This Row],[Fee]]&gt;500,Table26[[#This Row],[Fee]],"")</f>
        <v/>
      </c>
    </row>
    <row r="261" spans="1:10" hidden="1">
      <c r="A261">
        <v>260</v>
      </c>
      <c r="B261" t="s">
        <v>206</v>
      </c>
      <c r="C261" t="s">
        <v>205</v>
      </c>
      <c r="D261" t="str">
        <f t="array" ref="D261">TEXT(Table26[[#This Row],[Date]],"MMMM")</f>
        <v>August</v>
      </c>
      <c r="E261">
        <v>500</v>
      </c>
      <c r="F261" t="s">
        <v>589</v>
      </c>
      <c r="G261" t="s">
        <v>949</v>
      </c>
      <c r="H261" s="38">
        <v>46237</v>
      </c>
      <c r="I261" cm="1">
        <f t="array" ref="I261">IFERROR(INDEX('ALL STUDENTS'!$A:$A, MATCH(1, ('ALL STUDENTS'!$B:$B = B261) * ('ALL STUDENTS'!$C:$C = C261), 0)), "NOT FOUND")</f>
        <v>1966</v>
      </c>
      <c r="J261" t="str">
        <f>IF(Table26[[#This Row],[Fee]]&gt;500,Table26[[#This Row],[Fee]],"")</f>
        <v/>
      </c>
    </row>
    <row r="262" spans="1:10" hidden="1">
      <c r="A262">
        <v>261</v>
      </c>
      <c r="B262" t="s">
        <v>448</v>
      </c>
      <c r="C262" t="s">
        <v>447</v>
      </c>
      <c r="D262" t="str">
        <f t="array" ref="D262">TEXT(Table26[[#This Row],[Date]],"MMMM")</f>
        <v>August</v>
      </c>
      <c r="E262">
        <v>500</v>
      </c>
      <c r="F262" t="s">
        <v>589</v>
      </c>
      <c r="G262" t="s">
        <v>950</v>
      </c>
      <c r="H262" s="38">
        <v>46238</v>
      </c>
      <c r="I262" cm="1">
        <f t="array" ref="I262">IFERROR(INDEX('ALL STUDENTS'!$A:$A, MATCH(1, ('ALL STUDENTS'!$B:$B = B262) * ('ALL STUDENTS'!$C:$C = C262), 0)), "NOT FOUND")</f>
        <v>687</v>
      </c>
      <c r="J262" t="str">
        <f>IF(Table26[[#This Row],[Fee]]&gt;500,Table26[[#This Row],[Fee]],"")</f>
        <v/>
      </c>
    </row>
    <row r="263" spans="1:10" hidden="1">
      <c r="A263">
        <v>262</v>
      </c>
      <c r="B263" t="s">
        <v>3955</v>
      </c>
      <c r="C263" t="s">
        <v>286</v>
      </c>
      <c r="D263" t="str">
        <f t="array" ref="D263">TEXT(Table26[[#This Row],[Date]],"MMMM")</f>
        <v>August</v>
      </c>
      <c r="E263">
        <v>500</v>
      </c>
      <c r="F263" t="s">
        <v>589</v>
      </c>
      <c r="G263" t="s">
        <v>951</v>
      </c>
      <c r="H263" s="38">
        <v>46238</v>
      </c>
      <c r="I263" cm="1">
        <f t="array" ref="I263">IFERROR(INDEX('ALL STUDENTS'!$A:$A, MATCH(1, ('ALL STUDENTS'!$B:$B = B263) * ('ALL STUDENTS'!$C:$C = C263), 0)), "NOT FOUND")</f>
        <v>2237</v>
      </c>
      <c r="J263" t="str">
        <f>IF(Table26[[#This Row],[Fee]]&gt;500,Table26[[#This Row],[Fee]],"")</f>
        <v/>
      </c>
    </row>
    <row r="264" spans="1:10" hidden="1">
      <c r="A264">
        <v>263</v>
      </c>
      <c r="B264" t="s">
        <v>228</v>
      </c>
      <c r="C264" t="s">
        <v>227</v>
      </c>
      <c r="D264" t="str">
        <f t="array" ref="D264">TEXT(Table26[[#This Row],[Date]],"MMMM")</f>
        <v>August</v>
      </c>
      <c r="E264">
        <v>500</v>
      </c>
      <c r="F264" t="s">
        <v>589</v>
      </c>
      <c r="G264" t="s">
        <v>952</v>
      </c>
      <c r="H264" s="38">
        <v>46237</v>
      </c>
      <c r="I264" cm="1">
        <f t="array" ref="I264">IFERROR(INDEX('ALL STUDENTS'!$A:$A, MATCH(1, ('ALL STUDENTS'!$B:$B = B264) * ('ALL STUDENTS'!$C:$C = C264), 0)), "NOT FOUND")</f>
        <v>2059</v>
      </c>
      <c r="J264" t="str">
        <f>IF(Table26[[#This Row],[Fee]]&gt;500,Table26[[#This Row],[Fee]],"")</f>
        <v/>
      </c>
    </row>
    <row r="265" spans="1:10" hidden="1">
      <c r="A265">
        <v>264</v>
      </c>
      <c r="B265" t="s">
        <v>213</v>
      </c>
      <c r="C265" t="s">
        <v>211</v>
      </c>
      <c r="D265" t="str">
        <f t="array" ref="D265">TEXT(Table26[[#This Row],[Date]],"MMMM")</f>
        <v>August</v>
      </c>
      <c r="E265">
        <v>500</v>
      </c>
      <c r="F265" t="s">
        <v>589</v>
      </c>
      <c r="G265" t="s">
        <v>953</v>
      </c>
      <c r="H265" s="38">
        <v>46238</v>
      </c>
      <c r="I265" cm="1">
        <f t="array" ref="I265">IFERROR(INDEX('ALL STUDENTS'!$A:$A, MATCH(1, ('ALL STUDENTS'!$B:$B = B265) * ('ALL STUDENTS'!$C:$C = C265), 0)), "NOT FOUND")</f>
        <v>2002</v>
      </c>
      <c r="J265" t="str">
        <f>IF(Table26[[#This Row],[Fee]]&gt;500,Table26[[#This Row],[Fee]],"")</f>
        <v/>
      </c>
    </row>
    <row r="266" spans="1:10" hidden="1">
      <c r="A266">
        <v>265</v>
      </c>
      <c r="B266" t="s">
        <v>502</v>
      </c>
      <c r="C266" t="s">
        <v>499</v>
      </c>
      <c r="D266" t="str">
        <f t="array" ref="D266">TEXT(Table26[[#This Row],[Date]],"MMMM")</f>
        <v>July</v>
      </c>
      <c r="E266">
        <v>500</v>
      </c>
      <c r="F266" t="s">
        <v>591</v>
      </c>
      <c r="G266" t="s">
        <v>954</v>
      </c>
      <c r="H266" s="38">
        <v>46234</v>
      </c>
      <c r="I266" cm="1">
        <f t="array" ref="I266">IFERROR(INDEX('ALL STUDENTS'!$A:$A, MATCH(1, ('ALL STUDENTS'!$B:$B = B266) * ('ALL STUDENTS'!$C:$C = C266), 0)), "NOT FOUND")</f>
        <v>412</v>
      </c>
      <c r="J266" t="str">
        <f>IF(Table26[[#This Row],[Fee]]&gt;500,Table26[[#This Row],[Fee]],"")</f>
        <v/>
      </c>
    </row>
    <row r="267" spans="1:10" hidden="1">
      <c r="A267">
        <v>266</v>
      </c>
      <c r="B267" t="s">
        <v>423</v>
      </c>
      <c r="C267" t="s">
        <v>421</v>
      </c>
      <c r="D267" t="str">
        <f t="array" ref="D267">TEXT(Table26[[#This Row],[Date]],"MMMM")</f>
        <v>August</v>
      </c>
      <c r="E267">
        <v>500</v>
      </c>
      <c r="F267" t="s">
        <v>591</v>
      </c>
      <c r="G267" t="s">
        <v>955</v>
      </c>
      <c r="H267" s="38">
        <v>46237</v>
      </c>
      <c r="I267" cm="1">
        <f t="array" ref="I267">IFERROR(INDEX('ALL STUDENTS'!$A:$A, MATCH(1, ('ALL STUDENTS'!$B:$B = B267) * ('ALL STUDENTS'!$C:$C = C267), 0)), "NOT FOUND")</f>
        <v>540</v>
      </c>
      <c r="J267" t="str">
        <f>IF(Table26[[#This Row],[Fee]]&gt;500,Table26[[#This Row],[Fee]],"")</f>
        <v/>
      </c>
    </row>
    <row r="268" spans="1:10" hidden="1">
      <c r="A268">
        <v>267</v>
      </c>
      <c r="B268" t="s">
        <v>163</v>
      </c>
      <c r="C268" t="s">
        <v>159</v>
      </c>
      <c r="D268" t="str">
        <f t="array" ref="D268">TEXT(Table26[[#This Row],[Date]],"MMMM")</f>
        <v>August</v>
      </c>
      <c r="E268">
        <v>500</v>
      </c>
      <c r="F268" t="s">
        <v>591</v>
      </c>
      <c r="G268" t="s">
        <v>956</v>
      </c>
      <c r="H268" s="38">
        <v>46237</v>
      </c>
      <c r="I268" cm="1">
        <f t="array" ref="I268">IFERROR(INDEX('ALL STUDENTS'!$A:$A, MATCH(1, ('ALL STUDENTS'!$B:$B = B268) * ('ALL STUDENTS'!$C:$C = C268), 0)), "NOT FOUND")</f>
        <v>2635</v>
      </c>
      <c r="J268" t="str">
        <f>IF(Table26[[#This Row],[Fee]]&gt;500,Table26[[#This Row],[Fee]],"")</f>
        <v/>
      </c>
    </row>
    <row r="269" spans="1:10" hidden="1">
      <c r="A269">
        <v>268</v>
      </c>
      <c r="B269" t="s">
        <v>163</v>
      </c>
      <c r="C269" t="s">
        <v>159</v>
      </c>
      <c r="D269" t="str">
        <f t="array" ref="D269">TEXT(Table26[[#This Row],[Date]],"MMMM")</f>
        <v>August</v>
      </c>
      <c r="E269">
        <v>500</v>
      </c>
      <c r="F269" t="s">
        <v>591</v>
      </c>
      <c r="G269" t="s">
        <v>957</v>
      </c>
      <c r="H269" s="38">
        <v>46237</v>
      </c>
      <c r="I269" cm="1">
        <f t="array" ref="I269">IFERROR(INDEX('ALL STUDENTS'!$A:$A, MATCH(1, ('ALL STUDENTS'!$B:$B = B269) * ('ALL STUDENTS'!$C:$C = C269), 0)), "NOT FOUND")</f>
        <v>2635</v>
      </c>
      <c r="J269" t="str">
        <f>IF(Table26[[#This Row],[Fee]]&gt;500,Table26[[#This Row],[Fee]],"")</f>
        <v/>
      </c>
    </row>
    <row r="270" spans="1:10" hidden="1">
      <c r="A270">
        <v>269</v>
      </c>
      <c r="B270" t="s">
        <v>163</v>
      </c>
      <c r="C270" t="s">
        <v>159</v>
      </c>
      <c r="D270" t="str">
        <f t="array" ref="D270">TEXT(Table26[[#This Row],[Date]],"MMMM")</f>
        <v>August</v>
      </c>
      <c r="E270">
        <v>500</v>
      </c>
      <c r="F270" t="s">
        <v>591</v>
      </c>
      <c r="G270" t="s">
        <v>958</v>
      </c>
      <c r="H270" s="38">
        <v>46237</v>
      </c>
      <c r="I270" cm="1">
        <f t="array" ref="I270">IFERROR(INDEX('ALL STUDENTS'!$A:$A, MATCH(1, ('ALL STUDENTS'!$B:$B = B270) * ('ALL STUDENTS'!$C:$C = C270), 0)), "NOT FOUND")</f>
        <v>2635</v>
      </c>
      <c r="J270" t="str">
        <f>IF(Table26[[#This Row],[Fee]]&gt;500,Table26[[#This Row],[Fee]],"")</f>
        <v/>
      </c>
    </row>
    <row r="271" spans="1:10" hidden="1">
      <c r="A271">
        <v>270</v>
      </c>
      <c r="B271" t="s">
        <v>222</v>
      </c>
      <c r="C271" t="s">
        <v>221</v>
      </c>
      <c r="D271" t="str">
        <f t="array" ref="D271">TEXT(Table26[[#This Row],[Date]],"MMMM")</f>
        <v>August</v>
      </c>
      <c r="E271">
        <v>500</v>
      </c>
      <c r="F271" t="s">
        <v>589</v>
      </c>
      <c r="G271" t="s">
        <v>959</v>
      </c>
      <c r="H271" s="38">
        <v>46239</v>
      </c>
      <c r="I271" cm="1">
        <f t="array" ref="I271">IFERROR(INDEX('ALL STUDENTS'!$A:$A, MATCH(1, ('ALL STUDENTS'!$B:$B = B271) * ('ALL STUDENTS'!$C:$C = C271), 0)), "NOT FOUND")</f>
        <v>2730</v>
      </c>
      <c r="J271" t="str">
        <f>IF(Table26[[#This Row],[Fee]]&gt;500,Table26[[#This Row],[Fee]],"")</f>
        <v/>
      </c>
    </row>
    <row r="272" spans="1:10" hidden="1">
      <c r="A272">
        <v>271</v>
      </c>
      <c r="B272" t="s">
        <v>443</v>
      </c>
      <c r="C272" t="s">
        <v>440</v>
      </c>
      <c r="D272" t="str">
        <f t="array" ref="D272">TEXT(Table26[[#This Row],[Date]],"MMMM")</f>
        <v>August</v>
      </c>
      <c r="E272">
        <v>500</v>
      </c>
      <c r="F272" t="s">
        <v>591</v>
      </c>
      <c r="G272" t="s">
        <v>960</v>
      </c>
      <c r="H272" s="38">
        <v>46239</v>
      </c>
      <c r="I272" cm="1">
        <f t="array" ref="I272">IFERROR(INDEX('ALL STUDENTS'!$A:$A, MATCH(1, ('ALL STUDENTS'!$B:$B = B272) * ('ALL STUDENTS'!$C:$C = C272), 0)), "NOT FOUND")</f>
        <v>634</v>
      </c>
      <c r="J272" t="str">
        <f>IF(Table26[[#This Row],[Fee]]&gt;500,Table26[[#This Row],[Fee]],"")</f>
        <v/>
      </c>
    </row>
    <row r="273" spans="1:10">
      <c r="A273">
        <v>272</v>
      </c>
      <c r="B273" t="s">
        <v>305</v>
      </c>
      <c r="C273" t="s">
        <v>304</v>
      </c>
      <c r="D273" t="str">
        <f t="array" ref="D273">TEXT(Table26[[#This Row],[Date]],"MMMM")</f>
        <v>August</v>
      </c>
      <c r="E273">
        <v>500</v>
      </c>
      <c r="F273" t="s">
        <v>591</v>
      </c>
      <c r="G273" t="s">
        <v>961</v>
      </c>
      <c r="H273" s="38">
        <v>46239</v>
      </c>
      <c r="I273" t="str" cm="1">
        <f t="array" ref="I273">IFERROR(INDEX('ALL STUDENTS'!$A:$A, MATCH(1, ('ALL STUDENTS'!$B:$B = B273) * ('ALL STUDENTS'!$C:$C = C273), 0)), "NOT FOUND")</f>
        <v>NOT FOUND</v>
      </c>
      <c r="J273" t="str">
        <f>IF(Table26[[#This Row],[Fee]]&gt;500,Table26[[#This Row],[Fee]],"")</f>
        <v/>
      </c>
    </row>
    <row r="274" spans="1:10" hidden="1">
      <c r="A274">
        <v>273</v>
      </c>
      <c r="B274" t="s">
        <v>337</v>
      </c>
      <c r="C274" t="s">
        <v>334</v>
      </c>
      <c r="D274" t="str">
        <f t="array" ref="D274">TEXT(Table26[[#This Row],[Date]],"MMMM")</f>
        <v>August</v>
      </c>
      <c r="E274">
        <v>500</v>
      </c>
      <c r="F274" t="s">
        <v>591</v>
      </c>
      <c r="G274" t="s">
        <v>962</v>
      </c>
      <c r="H274" s="38">
        <v>46239</v>
      </c>
      <c r="I274" cm="1">
        <f t="array" ref="I274">IFERROR(INDEX('ALL STUDENTS'!$A:$A, MATCH(1, ('ALL STUDENTS'!$B:$B = B274) * ('ALL STUDENTS'!$C:$C = C274), 0)), "NOT FOUND")</f>
        <v>2491</v>
      </c>
      <c r="J274" t="str">
        <f>IF(Table26[[#This Row],[Fee]]&gt;500,Table26[[#This Row],[Fee]],"")</f>
        <v/>
      </c>
    </row>
    <row r="275" spans="1:10" hidden="1">
      <c r="A275">
        <v>274</v>
      </c>
      <c r="B275" t="s">
        <v>378</v>
      </c>
      <c r="C275" t="s">
        <v>374</v>
      </c>
      <c r="D275" t="str">
        <f t="array" ref="D275">TEXT(Table26[[#This Row],[Date]],"MMMM")</f>
        <v>August</v>
      </c>
      <c r="E275">
        <v>500</v>
      </c>
      <c r="F275" t="s">
        <v>591</v>
      </c>
      <c r="G275" t="s">
        <v>963</v>
      </c>
      <c r="H275" s="38">
        <v>46238</v>
      </c>
      <c r="I275" cm="1">
        <f t="array" ref="I275">IFERROR(INDEX('ALL STUDENTS'!$A:$A, MATCH(1, ('ALL STUDENTS'!$B:$B = B275) * ('ALL STUDENTS'!$C:$C = C275), 0)), "NOT FOUND")</f>
        <v>1018</v>
      </c>
      <c r="J275" t="str">
        <f>IF(Table26[[#This Row],[Fee]]&gt;500,Table26[[#This Row],[Fee]],"")</f>
        <v/>
      </c>
    </row>
    <row r="276" spans="1:10" hidden="1">
      <c r="A276">
        <v>275</v>
      </c>
      <c r="B276" t="s">
        <v>343</v>
      </c>
      <c r="C276" t="s">
        <v>340</v>
      </c>
      <c r="D276" t="str">
        <f t="array" ref="D276">TEXT(Table26[[#This Row],[Date]],"MMMM")</f>
        <v>August</v>
      </c>
      <c r="E276">
        <v>500</v>
      </c>
      <c r="F276" t="s">
        <v>589</v>
      </c>
      <c r="G276" t="s">
        <v>964</v>
      </c>
      <c r="H276" s="38">
        <v>46240</v>
      </c>
      <c r="I276" cm="1">
        <f t="array" ref="I276">IFERROR(INDEX('ALL STUDENTS'!$A:$A, MATCH(1, ('ALL STUDENTS'!$B:$B = B276) * ('ALL STUDENTS'!$C:$C = C276), 0)), "NOT FOUND")</f>
        <v>2501</v>
      </c>
      <c r="J276" t="str">
        <f>IF(Table26[[#This Row],[Fee]]&gt;500,Table26[[#This Row],[Fee]],"")</f>
        <v/>
      </c>
    </row>
    <row r="277" spans="1:10" hidden="1">
      <c r="A277">
        <v>276</v>
      </c>
      <c r="B277" t="s">
        <v>142</v>
      </c>
      <c r="C277" t="s">
        <v>138</v>
      </c>
      <c r="D277" t="str">
        <f t="array" ref="D277">TEXT(Table26[[#This Row],[Date]],"MMMM")</f>
        <v>August</v>
      </c>
      <c r="E277">
        <v>500</v>
      </c>
      <c r="F277" t="s">
        <v>589</v>
      </c>
      <c r="G277" t="s">
        <v>965</v>
      </c>
      <c r="H277" s="38">
        <v>46240</v>
      </c>
      <c r="I277" cm="1">
        <f t="array" ref="I277">IFERROR(INDEX('ALL STUDENTS'!$A:$A, MATCH(1, ('ALL STUDENTS'!$B:$B = B277) * ('ALL STUDENTS'!$C:$C = C277), 0)), "NOT FOUND")</f>
        <v>1762</v>
      </c>
      <c r="J277" t="str">
        <f>IF(Table26[[#This Row],[Fee]]&gt;500,Table26[[#This Row],[Fee]],"")</f>
        <v/>
      </c>
    </row>
    <row r="278" spans="1:10" hidden="1">
      <c r="A278">
        <v>277</v>
      </c>
      <c r="B278" t="s">
        <v>142</v>
      </c>
      <c r="C278" t="s">
        <v>138</v>
      </c>
      <c r="D278" t="str">
        <f t="array" ref="D278">TEXT(Table26[[#This Row],[Date]],"MMMM")</f>
        <v>August</v>
      </c>
      <c r="E278">
        <v>500</v>
      </c>
      <c r="F278" t="s">
        <v>589</v>
      </c>
      <c r="G278" t="s">
        <v>966</v>
      </c>
      <c r="H278" s="38">
        <v>46240</v>
      </c>
      <c r="I278" cm="1">
        <f t="array" ref="I278">IFERROR(INDEX('ALL STUDENTS'!$A:$A, MATCH(1, ('ALL STUDENTS'!$B:$B = B278) * ('ALL STUDENTS'!$C:$C = C278), 0)), "NOT FOUND")</f>
        <v>1762</v>
      </c>
      <c r="J278" t="str">
        <f>IF(Table26[[#This Row],[Fee]]&gt;500,Table26[[#This Row],[Fee]],"")</f>
        <v/>
      </c>
    </row>
    <row r="279" spans="1:10" hidden="1">
      <c r="A279">
        <v>278</v>
      </c>
      <c r="B279" t="s">
        <v>142</v>
      </c>
      <c r="C279" t="s">
        <v>138</v>
      </c>
      <c r="D279" t="str">
        <f t="array" ref="D279">TEXT(Table26[[#This Row],[Date]],"MMMM")</f>
        <v>August</v>
      </c>
      <c r="E279">
        <v>500</v>
      </c>
      <c r="F279" t="s">
        <v>589</v>
      </c>
      <c r="G279" t="s">
        <v>967</v>
      </c>
      <c r="H279" s="38">
        <v>46240</v>
      </c>
      <c r="I279" cm="1">
        <f t="array" ref="I279">IFERROR(INDEX('ALL STUDENTS'!$A:$A, MATCH(1, ('ALL STUDENTS'!$B:$B = B279) * ('ALL STUDENTS'!$C:$C = C279), 0)), "NOT FOUND")</f>
        <v>1762</v>
      </c>
      <c r="J279" t="str">
        <f>IF(Table26[[#This Row],[Fee]]&gt;500,Table26[[#This Row],[Fee]],"")</f>
        <v/>
      </c>
    </row>
    <row r="280" spans="1:10" hidden="1">
      <c r="A280">
        <v>279</v>
      </c>
      <c r="B280" t="s">
        <v>404</v>
      </c>
      <c r="C280" t="s">
        <v>397</v>
      </c>
      <c r="D280" t="str">
        <f t="array" ref="D280">TEXT(Table26[[#This Row],[Date]],"MMMM")</f>
        <v>August</v>
      </c>
      <c r="E280">
        <v>500</v>
      </c>
      <c r="F280" t="s">
        <v>589</v>
      </c>
      <c r="G280" t="s">
        <v>968</v>
      </c>
      <c r="H280" s="38">
        <v>46239</v>
      </c>
      <c r="I280" cm="1">
        <f t="array" ref="I280">IFERROR(INDEX('ALL STUDENTS'!$A:$A, MATCH(1, ('ALL STUDENTS'!$B:$B = B280) * ('ALL STUDENTS'!$C:$C = C280), 0)), "NOT FOUND")</f>
        <v>914</v>
      </c>
      <c r="J280" t="str">
        <f>IF(Table26[[#This Row],[Fee]]&gt;500,Table26[[#This Row],[Fee]],"")</f>
        <v/>
      </c>
    </row>
    <row r="281" spans="1:10" hidden="1">
      <c r="A281">
        <v>280</v>
      </c>
      <c r="B281" t="s">
        <v>223</v>
      </c>
      <c r="C281" t="s">
        <v>221</v>
      </c>
      <c r="D281" t="str">
        <f t="array" ref="D281">TEXT(Table26[[#This Row],[Date]],"MMMM")</f>
        <v>August</v>
      </c>
      <c r="E281">
        <v>500</v>
      </c>
      <c r="F281" t="s">
        <v>589</v>
      </c>
      <c r="G281" t="s">
        <v>969</v>
      </c>
      <c r="H281" s="38">
        <v>46237</v>
      </c>
      <c r="I281" cm="1">
        <f t="array" ref="I281">IFERROR(INDEX('ALL STUDENTS'!$A:$A, MATCH(1, ('ALL STUDENTS'!$B:$B = B281) * ('ALL STUDENTS'!$C:$C = C281), 0)), "NOT FOUND")</f>
        <v>2718</v>
      </c>
      <c r="J281" t="str">
        <f>IF(Table26[[#This Row],[Fee]]&gt;500,Table26[[#This Row],[Fee]],"")</f>
        <v/>
      </c>
    </row>
    <row r="282" spans="1:10" hidden="1">
      <c r="A282">
        <v>281</v>
      </c>
      <c r="B282" t="s">
        <v>223</v>
      </c>
      <c r="C282" t="s">
        <v>221</v>
      </c>
      <c r="D282" t="str">
        <f t="array" ref="D282">TEXT(Table26[[#This Row],[Date]],"MMMM")</f>
        <v>August</v>
      </c>
      <c r="E282">
        <v>500</v>
      </c>
      <c r="F282" t="s">
        <v>589</v>
      </c>
      <c r="G282" t="s">
        <v>970</v>
      </c>
      <c r="H282" s="38">
        <v>46237</v>
      </c>
      <c r="I282" cm="1">
        <f t="array" ref="I282">IFERROR(INDEX('ALL STUDENTS'!$A:$A, MATCH(1, ('ALL STUDENTS'!$B:$B = B282) * ('ALL STUDENTS'!$C:$C = C282), 0)), "NOT FOUND")</f>
        <v>2718</v>
      </c>
      <c r="J282" t="str">
        <f>IF(Table26[[#This Row],[Fee]]&gt;500,Table26[[#This Row],[Fee]],"")</f>
        <v/>
      </c>
    </row>
    <row r="283" spans="1:10" hidden="1">
      <c r="A283">
        <v>282</v>
      </c>
      <c r="B283" t="s">
        <v>223</v>
      </c>
      <c r="C283" t="s">
        <v>221</v>
      </c>
      <c r="D283" t="str">
        <f t="array" ref="D283">TEXT(Table26[[#This Row],[Date]],"MMMM")</f>
        <v>August</v>
      </c>
      <c r="E283">
        <v>500</v>
      </c>
      <c r="F283" t="s">
        <v>589</v>
      </c>
      <c r="G283" t="s">
        <v>971</v>
      </c>
      <c r="H283" s="38">
        <v>46237</v>
      </c>
      <c r="I283" cm="1">
        <f t="array" ref="I283">IFERROR(INDEX('ALL STUDENTS'!$A:$A, MATCH(1, ('ALL STUDENTS'!$B:$B = B283) * ('ALL STUDENTS'!$C:$C = C283), 0)), "NOT FOUND")</f>
        <v>2718</v>
      </c>
      <c r="J283" t="str">
        <f>IF(Table26[[#This Row],[Fee]]&gt;500,Table26[[#This Row],[Fee]],"")</f>
        <v/>
      </c>
    </row>
    <row r="284" spans="1:10" hidden="1">
      <c r="A284">
        <v>283</v>
      </c>
      <c r="B284" t="s">
        <v>178</v>
      </c>
      <c r="C284" s="3" t="s">
        <v>175</v>
      </c>
      <c r="D284" t="str">
        <f t="array" ref="D284">TEXT(Table26[[#This Row],[Date]],"MMMM")</f>
        <v>August</v>
      </c>
      <c r="E284">
        <v>500</v>
      </c>
      <c r="F284" t="s">
        <v>589</v>
      </c>
      <c r="G284" t="s">
        <v>972</v>
      </c>
      <c r="H284" s="38">
        <v>46237</v>
      </c>
      <c r="I284" cm="1">
        <f t="array" ref="I284">IFERROR(INDEX('ALL STUDENTS'!$A:$A, MATCH(1, ('ALL STUDENTS'!$B:$B = B284) * ('ALL STUDENTS'!$C:$C = C284), 0)), "NOT FOUND")</f>
        <v>1873</v>
      </c>
      <c r="J284" t="str">
        <f>IF(Table26[[#This Row],[Fee]]&gt;500,Table26[[#This Row],[Fee]],"")</f>
        <v/>
      </c>
    </row>
    <row r="285" spans="1:10" hidden="1">
      <c r="A285">
        <v>284</v>
      </c>
      <c r="B285" t="s">
        <v>178</v>
      </c>
      <c r="C285" s="3" t="s">
        <v>175</v>
      </c>
      <c r="D285" t="str">
        <f t="array" ref="D285">TEXT(Table26[[#This Row],[Date]],"MMMM")</f>
        <v>August</v>
      </c>
      <c r="E285">
        <v>500</v>
      </c>
      <c r="F285" t="s">
        <v>589</v>
      </c>
      <c r="G285" t="s">
        <v>973</v>
      </c>
      <c r="H285" s="38">
        <v>46237</v>
      </c>
      <c r="I285" cm="1">
        <f t="array" ref="I285">IFERROR(INDEX('ALL STUDENTS'!$A:$A, MATCH(1, ('ALL STUDENTS'!$B:$B = B285) * ('ALL STUDENTS'!$C:$C = C285), 0)), "NOT FOUND")</f>
        <v>1873</v>
      </c>
      <c r="J285" t="str">
        <f>IF(Table26[[#This Row],[Fee]]&gt;500,Table26[[#This Row],[Fee]],"")</f>
        <v/>
      </c>
    </row>
    <row r="286" spans="1:10" hidden="1">
      <c r="A286">
        <v>285</v>
      </c>
      <c r="B286" t="s">
        <v>178</v>
      </c>
      <c r="C286" s="3" t="s">
        <v>175</v>
      </c>
      <c r="D286" t="str">
        <f t="array" ref="D286">TEXT(Table26[[#This Row],[Date]],"MMMM")</f>
        <v>August</v>
      </c>
      <c r="E286">
        <v>500</v>
      </c>
      <c r="F286" t="s">
        <v>589</v>
      </c>
      <c r="G286" t="s">
        <v>974</v>
      </c>
      <c r="H286" s="38">
        <v>46237</v>
      </c>
      <c r="I286" cm="1">
        <f t="array" ref="I286">IFERROR(INDEX('ALL STUDENTS'!$A:$A, MATCH(1, ('ALL STUDENTS'!$B:$B = B286) * ('ALL STUDENTS'!$C:$C = C286), 0)), "NOT FOUND")</f>
        <v>1873</v>
      </c>
      <c r="J286" t="str">
        <f>IF(Table26[[#This Row],[Fee]]&gt;500,Table26[[#This Row],[Fee]],"")</f>
        <v/>
      </c>
    </row>
    <row r="287" spans="1:10" hidden="1">
      <c r="A287">
        <v>286</v>
      </c>
      <c r="B287" t="s">
        <v>179</v>
      </c>
      <c r="C287" s="3" t="s">
        <v>175</v>
      </c>
      <c r="D287" t="str">
        <f t="array" ref="D287">TEXT(Table26[[#This Row],[Date]],"MMMM")</f>
        <v>August</v>
      </c>
      <c r="E287">
        <v>500</v>
      </c>
      <c r="F287" t="s">
        <v>589</v>
      </c>
      <c r="G287" t="s">
        <v>975</v>
      </c>
      <c r="H287" s="38">
        <v>46239</v>
      </c>
      <c r="I287" cm="1">
        <f t="array" ref="I287">IFERROR(INDEX('ALL STUDENTS'!$A:$A, MATCH(1, ('ALL STUDENTS'!$B:$B = B287) * ('ALL STUDENTS'!$C:$C = C287), 0)), "NOT FOUND")</f>
        <v>1892</v>
      </c>
      <c r="J287" t="str">
        <f>IF(Table26[[#This Row],[Fee]]&gt;500,Table26[[#This Row],[Fee]],"")</f>
        <v/>
      </c>
    </row>
    <row r="288" spans="1:10" hidden="1">
      <c r="A288">
        <v>287</v>
      </c>
      <c r="B288" t="s">
        <v>344</v>
      </c>
      <c r="C288" t="s">
        <v>340</v>
      </c>
      <c r="D288" t="str">
        <f t="array" ref="D288">TEXT(Table26[[#This Row],[Date]],"MMMM")</f>
        <v>August</v>
      </c>
      <c r="E288">
        <v>500</v>
      </c>
      <c r="F288" t="s">
        <v>589</v>
      </c>
      <c r="G288" t="s">
        <v>976</v>
      </c>
      <c r="H288" s="38">
        <v>46238</v>
      </c>
      <c r="I288" cm="1">
        <f t="array" ref="I288">IFERROR(INDEX('ALL STUDENTS'!$A:$A, MATCH(1, ('ALL STUDENTS'!$B:$B = B288) * ('ALL STUDENTS'!$C:$C = C288), 0)), "NOT FOUND")</f>
        <v>2506</v>
      </c>
      <c r="J288" t="str">
        <f>IF(Table26[[#This Row],[Fee]]&gt;500,Table26[[#This Row],[Fee]],"")</f>
        <v/>
      </c>
    </row>
    <row r="289" spans="1:10" hidden="1">
      <c r="A289">
        <v>288</v>
      </c>
      <c r="B289" t="s">
        <v>375</v>
      </c>
      <c r="C289" t="s">
        <v>515</v>
      </c>
      <c r="D289" t="str">
        <f t="array" ref="D289">TEXT(Table26[[#This Row],[Date]],"MMMM")</f>
        <v>August</v>
      </c>
      <c r="E289">
        <v>500</v>
      </c>
      <c r="F289" t="s">
        <v>589</v>
      </c>
      <c r="G289" t="s">
        <v>977</v>
      </c>
      <c r="H289" s="38">
        <v>46238</v>
      </c>
      <c r="I289" cm="1">
        <f t="array" ref="I289">IFERROR(INDEX('ALL STUDENTS'!$A:$A, MATCH(1, ('ALL STUDENTS'!$B:$B = B289) * ('ALL STUDENTS'!$C:$C = C289), 0)), "NOT FOUND")</f>
        <v>43</v>
      </c>
      <c r="J289" t="str">
        <f>IF(Table26[[#This Row],[Fee]]&gt;500,Table26[[#This Row],[Fee]],"")</f>
        <v/>
      </c>
    </row>
    <row r="290" spans="1:10">
      <c r="A290">
        <v>289</v>
      </c>
      <c r="B290" t="s">
        <v>532</v>
      </c>
      <c r="C290" t="s">
        <v>526</v>
      </c>
      <c r="D290" t="str">
        <f t="array" ref="D290">TEXT(Table26[[#This Row],[Date]],"MMMM")</f>
        <v>August</v>
      </c>
      <c r="E290">
        <v>500</v>
      </c>
      <c r="F290" t="s">
        <v>589</v>
      </c>
      <c r="G290" t="s">
        <v>978</v>
      </c>
      <c r="H290" s="38">
        <v>46239</v>
      </c>
      <c r="I290" t="str" cm="1">
        <f t="array" ref="I290">IFERROR(INDEX('ALL STUDENTS'!$A:$A, MATCH(1, ('ALL STUDENTS'!$B:$B = B290) * ('ALL STUDENTS'!$C:$C = C290), 0)), "NOT FOUND")</f>
        <v>NOT FOUND</v>
      </c>
      <c r="J290" t="str">
        <f>IF(Table26[[#This Row],[Fee]]&gt;500,Table26[[#This Row],[Fee]],"")</f>
        <v/>
      </c>
    </row>
    <row r="291" spans="1:10" hidden="1">
      <c r="A291">
        <v>290</v>
      </c>
      <c r="B291" t="s">
        <v>164</v>
      </c>
      <c r="C291" t="s">
        <v>159</v>
      </c>
      <c r="D291" t="str">
        <f t="array" ref="D291">TEXT(Table26[[#This Row],[Date]],"MMMM")</f>
        <v>July</v>
      </c>
      <c r="E291">
        <v>500</v>
      </c>
      <c r="F291" t="s">
        <v>589</v>
      </c>
      <c r="G291" t="s">
        <v>979</v>
      </c>
      <c r="H291" s="38">
        <v>46234</v>
      </c>
      <c r="I291" cm="1">
        <f t="array" ref="I291">IFERROR(INDEX('ALL STUDENTS'!$A:$A, MATCH(1, ('ALL STUDENTS'!$B:$B = B291) * ('ALL STUDENTS'!$C:$C = C291), 0)), "NOT FOUND")</f>
        <v>2620</v>
      </c>
      <c r="J291" t="str">
        <f>IF(Table26[[#This Row],[Fee]]&gt;500,Table26[[#This Row],[Fee]],"")</f>
        <v/>
      </c>
    </row>
    <row r="292" spans="1:10" hidden="1">
      <c r="A292">
        <v>291</v>
      </c>
      <c r="B292" t="s">
        <v>196</v>
      </c>
      <c r="C292" t="s">
        <v>195</v>
      </c>
      <c r="D292" t="str">
        <f t="array" ref="D292">TEXT(Table26[[#This Row],[Date]],"MMMM")</f>
        <v>August</v>
      </c>
      <c r="E292">
        <v>500</v>
      </c>
      <c r="F292" t="s">
        <v>589</v>
      </c>
      <c r="G292" t="s">
        <v>980</v>
      </c>
      <c r="H292" s="38">
        <v>46239</v>
      </c>
      <c r="I292" cm="1">
        <f t="array" ref="I292">IFERROR(INDEX('ALL STUDENTS'!$A:$A, MATCH(1, ('ALL STUDENTS'!$B:$B = B292) * ('ALL STUDENTS'!$C:$C = C292), 0)), "NOT FOUND")</f>
        <v>1929</v>
      </c>
      <c r="J292" t="str">
        <f>IF(Table26[[#This Row],[Fee]]&gt;500,Table26[[#This Row],[Fee]],"")</f>
        <v/>
      </c>
    </row>
    <row r="293" spans="1:10" hidden="1">
      <c r="A293">
        <v>292</v>
      </c>
      <c r="B293" t="s">
        <v>196</v>
      </c>
      <c r="C293" t="s">
        <v>195</v>
      </c>
      <c r="D293" t="str">
        <f t="array" ref="D293">TEXT(Table26[[#This Row],[Date]],"MMMM")</f>
        <v>August</v>
      </c>
      <c r="E293">
        <v>500</v>
      </c>
      <c r="F293" t="s">
        <v>589</v>
      </c>
      <c r="G293" t="s">
        <v>981</v>
      </c>
      <c r="H293" s="38">
        <v>46239</v>
      </c>
      <c r="I293" cm="1">
        <f t="array" ref="I293">IFERROR(INDEX('ALL STUDENTS'!$A:$A, MATCH(1, ('ALL STUDENTS'!$B:$B = B293) * ('ALL STUDENTS'!$C:$C = C293), 0)), "NOT FOUND")</f>
        <v>1929</v>
      </c>
      <c r="J293" t="str">
        <f>IF(Table26[[#This Row],[Fee]]&gt;500,Table26[[#This Row],[Fee]],"")</f>
        <v/>
      </c>
    </row>
    <row r="294" spans="1:10" hidden="1">
      <c r="A294">
        <v>293</v>
      </c>
      <c r="B294" t="s">
        <v>196</v>
      </c>
      <c r="C294" t="s">
        <v>195</v>
      </c>
      <c r="D294" t="str">
        <f t="array" ref="D294">TEXT(Table26[[#This Row],[Date]],"MMMM")</f>
        <v>August</v>
      </c>
      <c r="E294">
        <v>500</v>
      </c>
      <c r="F294" t="s">
        <v>589</v>
      </c>
      <c r="G294" t="s">
        <v>982</v>
      </c>
      <c r="H294" s="38">
        <v>46239</v>
      </c>
      <c r="I294" cm="1">
        <f t="array" ref="I294">IFERROR(INDEX('ALL STUDENTS'!$A:$A, MATCH(1, ('ALL STUDENTS'!$B:$B = B294) * ('ALL STUDENTS'!$C:$C = C294), 0)), "NOT FOUND")</f>
        <v>1929</v>
      </c>
      <c r="J294" t="str">
        <f>IF(Table26[[#This Row],[Fee]]&gt;500,Table26[[#This Row],[Fee]],"")</f>
        <v/>
      </c>
    </row>
    <row r="295" spans="1:10" hidden="1">
      <c r="A295">
        <v>294</v>
      </c>
      <c r="B295" t="s">
        <v>3244</v>
      </c>
      <c r="C295" t="s">
        <v>232</v>
      </c>
      <c r="D295" t="str">
        <f t="array" ref="D295">TEXT(Table26[[#This Row],[Date]],"MMMM")</f>
        <v>August</v>
      </c>
      <c r="E295">
        <v>500</v>
      </c>
      <c r="F295" t="s">
        <v>589</v>
      </c>
      <c r="G295" t="s">
        <v>983</v>
      </c>
      <c r="H295" s="38">
        <v>46239</v>
      </c>
      <c r="I295" cm="1">
        <f t="array" ref="I295">IFERROR(INDEX('ALL STUDENTS'!$A:$A, MATCH(1, ('ALL STUDENTS'!$B:$B = B295) * ('ALL STUDENTS'!$C:$C = C295), 0)), "NOT FOUND")</f>
        <v>2105</v>
      </c>
      <c r="J295" t="str">
        <f>IF(Table26[[#This Row],[Fee]]&gt;500,Table26[[#This Row],[Fee]],"")</f>
        <v/>
      </c>
    </row>
    <row r="296" spans="1:10" hidden="1">
      <c r="A296">
        <v>295</v>
      </c>
      <c r="B296" t="s">
        <v>3244</v>
      </c>
      <c r="C296" t="s">
        <v>232</v>
      </c>
      <c r="D296" t="str">
        <f t="array" ref="D296">TEXT(Table26[[#This Row],[Date]],"MMMM")</f>
        <v>August</v>
      </c>
      <c r="E296">
        <v>500</v>
      </c>
      <c r="F296" t="s">
        <v>589</v>
      </c>
      <c r="G296" t="s">
        <v>984</v>
      </c>
      <c r="H296" s="38">
        <v>46239</v>
      </c>
      <c r="I296" cm="1">
        <f t="array" ref="I296">IFERROR(INDEX('ALL STUDENTS'!$A:$A, MATCH(1, ('ALL STUDENTS'!$B:$B = B296) * ('ALL STUDENTS'!$C:$C = C296), 0)), "NOT FOUND")</f>
        <v>2105</v>
      </c>
      <c r="J296" t="str">
        <f>IF(Table26[[#This Row],[Fee]]&gt;500,Table26[[#This Row],[Fee]],"")</f>
        <v/>
      </c>
    </row>
    <row r="297" spans="1:10" hidden="1">
      <c r="A297">
        <v>296</v>
      </c>
      <c r="B297" t="s">
        <v>3244</v>
      </c>
      <c r="C297" t="s">
        <v>232</v>
      </c>
      <c r="D297" t="str">
        <f t="array" ref="D297">TEXT(Table26[[#This Row],[Date]],"MMMM")</f>
        <v>August</v>
      </c>
      <c r="E297">
        <v>500</v>
      </c>
      <c r="F297" t="s">
        <v>589</v>
      </c>
      <c r="G297" t="s">
        <v>985</v>
      </c>
      <c r="H297" s="38">
        <v>46239</v>
      </c>
      <c r="I297" cm="1">
        <f t="array" ref="I297">IFERROR(INDEX('ALL STUDENTS'!$A:$A, MATCH(1, ('ALL STUDENTS'!$B:$B = B297) * ('ALL STUDENTS'!$C:$C = C297), 0)), "NOT FOUND")</f>
        <v>2105</v>
      </c>
      <c r="J297" t="str">
        <f>IF(Table26[[#This Row],[Fee]]&gt;500,Table26[[#This Row],[Fee]],"")</f>
        <v/>
      </c>
    </row>
    <row r="298" spans="1:10" hidden="1">
      <c r="A298">
        <v>297</v>
      </c>
      <c r="B298" t="s">
        <v>10</v>
      </c>
      <c r="C298" t="s">
        <v>4</v>
      </c>
      <c r="D298" t="str">
        <f t="array" ref="D298">TEXT(Table26[[#This Row],[Date]],"MMMM")</f>
        <v>August</v>
      </c>
      <c r="E298">
        <v>500</v>
      </c>
      <c r="F298" t="s">
        <v>589</v>
      </c>
      <c r="G298" t="s">
        <v>986</v>
      </c>
      <c r="H298" s="38">
        <v>46237</v>
      </c>
      <c r="I298" cm="1">
        <f t="array" ref="I298">IFERROR(INDEX('ALL STUDENTS'!$A:$A, MATCH(1, ('ALL STUDENTS'!$B:$B = B298) * ('ALL STUDENTS'!$C:$C = C298), 0)), "NOT FOUND")</f>
        <v>3016</v>
      </c>
      <c r="J298" t="str">
        <f>IF(Table26[[#This Row],[Fee]]&gt;500,Table26[[#This Row],[Fee]],"")</f>
        <v/>
      </c>
    </row>
    <row r="299" spans="1:10" hidden="1">
      <c r="A299">
        <v>298</v>
      </c>
      <c r="B299" t="s">
        <v>10</v>
      </c>
      <c r="C299" t="s">
        <v>4</v>
      </c>
      <c r="D299" t="str">
        <f t="array" ref="D299">TEXT(Table26[[#This Row],[Date]],"MMMM")</f>
        <v>August</v>
      </c>
      <c r="E299">
        <v>500</v>
      </c>
      <c r="F299" t="s">
        <v>589</v>
      </c>
      <c r="G299" t="s">
        <v>987</v>
      </c>
      <c r="H299" s="38">
        <v>46237</v>
      </c>
      <c r="I299" cm="1">
        <f t="array" ref="I299">IFERROR(INDEX('ALL STUDENTS'!$A:$A, MATCH(1, ('ALL STUDENTS'!$B:$B = B299) * ('ALL STUDENTS'!$C:$C = C299), 0)), "NOT FOUND")</f>
        <v>3016</v>
      </c>
      <c r="J299" t="str">
        <f>IF(Table26[[#This Row],[Fee]]&gt;500,Table26[[#This Row],[Fee]],"")</f>
        <v/>
      </c>
    </row>
    <row r="300" spans="1:10" hidden="1">
      <c r="A300">
        <v>299</v>
      </c>
      <c r="B300" t="s">
        <v>10</v>
      </c>
      <c r="C300" t="s">
        <v>4</v>
      </c>
      <c r="D300" t="str">
        <f t="array" ref="D300">TEXT(Table26[[#This Row],[Date]],"MMMM")</f>
        <v>August</v>
      </c>
      <c r="E300">
        <v>500</v>
      </c>
      <c r="F300" t="s">
        <v>589</v>
      </c>
      <c r="G300" t="s">
        <v>988</v>
      </c>
      <c r="H300" s="38">
        <v>46237</v>
      </c>
      <c r="I300" cm="1">
        <f t="array" ref="I300">IFERROR(INDEX('ALL STUDENTS'!$A:$A, MATCH(1, ('ALL STUDENTS'!$B:$B = B300) * ('ALL STUDENTS'!$C:$C = C300), 0)), "NOT FOUND")</f>
        <v>3016</v>
      </c>
      <c r="J300" t="str">
        <f>IF(Table26[[#This Row],[Fee]]&gt;500,Table26[[#This Row],[Fee]],"")</f>
        <v/>
      </c>
    </row>
    <row r="301" spans="1:10" hidden="1">
      <c r="A301">
        <v>300</v>
      </c>
      <c r="B301" t="s">
        <v>130</v>
      </c>
      <c r="C301" t="s">
        <v>128</v>
      </c>
      <c r="D301" t="str">
        <f t="array" ref="D301">TEXT(Table26[[#This Row],[Date]],"MMMM")</f>
        <v>August</v>
      </c>
      <c r="E301">
        <v>500</v>
      </c>
      <c r="F301" t="s">
        <v>589</v>
      </c>
      <c r="G301" t="s">
        <v>989</v>
      </c>
      <c r="H301" s="38">
        <v>46239</v>
      </c>
      <c r="I301" cm="1">
        <f t="array" ref="I301">IFERROR(INDEX('ALL STUDENTS'!$A:$A, MATCH(1, ('ALL STUDENTS'!$B:$B = B301) * ('ALL STUDENTS'!$C:$C = C301), 0)), "NOT FOUND")</f>
        <v>2684</v>
      </c>
      <c r="J301" t="str">
        <f>IF(Table26[[#This Row],[Fee]]&gt;500,Table26[[#This Row],[Fee]],"")</f>
        <v/>
      </c>
    </row>
    <row r="302" spans="1:10" hidden="1">
      <c r="A302">
        <v>301</v>
      </c>
      <c r="B302" t="s">
        <v>130</v>
      </c>
      <c r="C302" t="s">
        <v>128</v>
      </c>
      <c r="D302" t="str">
        <f t="array" ref="D302">TEXT(Table26[[#This Row],[Date]],"MMMM")</f>
        <v>August</v>
      </c>
      <c r="E302">
        <v>500</v>
      </c>
      <c r="F302" t="s">
        <v>589</v>
      </c>
      <c r="G302" t="s">
        <v>990</v>
      </c>
      <c r="H302" s="38">
        <v>46239</v>
      </c>
      <c r="I302" cm="1">
        <f t="array" ref="I302">IFERROR(INDEX('ALL STUDENTS'!$A:$A, MATCH(1, ('ALL STUDENTS'!$B:$B = B302) * ('ALL STUDENTS'!$C:$C = C302), 0)), "NOT FOUND")</f>
        <v>2684</v>
      </c>
      <c r="J302" t="str">
        <f>IF(Table26[[#This Row],[Fee]]&gt;500,Table26[[#This Row],[Fee]],"")</f>
        <v/>
      </c>
    </row>
    <row r="303" spans="1:10" hidden="1">
      <c r="A303">
        <v>302</v>
      </c>
      <c r="B303" t="s">
        <v>130</v>
      </c>
      <c r="C303" t="s">
        <v>128</v>
      </c>
      <c r="D303" t="str">
        <f t="array" ref="D303">TEXT(Table26[[#This Row],[Date]],"MMMM")</f>
        <v>August</v>
      </c>
      <c r="E303">
        <v>500</v>
      </c>
      <c r="F303" t="s">
        <v>589</v>
      </c>
      <c r="G303" t="s">
        <v>991</v>
      </c>
      <c r="H303" s="38">
        <v>46239</v>
      </c>
      <c r="I303" cm="1">
        <f t="array" ref="I303">IFERROR(INDEX('ALL STUDENTS'!$A:$A, MATCH(1, ('ALL STUDENTS'!$B:$B = B303) * ('ALL STUDENTS'!$C:$C = C303), 0)), "NOT FOUND")</f>
        <v>2684</v>
      </c>
      <c r="J303" t="str">
        <f>IF(Table26[[#This Row],[Fee]]&gt;500,Table26[[#This Row],[Fee]],"")</f>
        <v/>
      </c>
    </row>
    <row r="304" spans="1:10" hidden="1">
      <c r="A304">
        <v>303</v>
      </c>
      <c r="B304" t="s">
        <v>36</v>
      </c>
      <c r="C304" t="s">
        <v>32</v>
      </c>
      <c r="D304" t="str">
        <f t="array" ref="D304">TEXT(Table26[[#This Row],[Date]],"MMMM")</f>
        <v>August</v>
      </c>
      <c r="E304">
        <v>500</v>
      </c>
      <c r="F304" t="s">
        <v>589</v>
      </c>
      <c r="G304" t="s">
        <v>992</v>
      </c>
      <c r="H304" s="38">
        <v>46239</v>
      </c>
      <c r="I304" cm="1">
        <f t="array" ref="I304">IFERROR(INDEX('ALL STUDENTS'!$A:$A, MATCH(1, ('ALL STUDENTS'!$B:$B = B304) * ('ALL STUDENTS'!$C:$C = C304), 0)), "NOT FOUND")</f>
        <v>3081</v>
      </c>
      <c r="J304" t="str">
        <f>IF(Table26[[#This Row],[Fee]]&gt;500,Table26[[#This Row],[Fee]],"")</f>
        <v/>
      </c>
    </row>
    <row r="305" spans="1:10" hidden="1">
      <c r="A305">
        <v>304</v>
      </c>
      <c r="B305" t="s">
        <v>11</v>
      </c>
      <c r="C305" t="s">
        <v>4</v>
      </c>
      <c r="D305" t="str">
        <f t="array" ref="D305">TEXT(Table26[[#This Row],[Date]],"MMMM")</f>
        <v>August</v>
      </c>
      <c r="E305">
        <v>500</v>
      </c>
      <c r="F305" t="s">
        <v>589</v>
      </c>
      <c r="G305" t="s">
        <v>993</v>
      </c>
      <c r="H305" s="38">
        <v>46239</v>
      </c>
      <c r="I305" cm="1">
        <f t="array" ref="I305">IFERROR(INDEX('ALL STUDENTS'!$A:$A, MATCH(1, ('ALL STUDENTS'!$B:$B = B305) * ('ALL STUDENTS'!$C:$C = C305), 0)), "NOT FOUND")</f>
        <v>3030</v>
      </c>
      <c r="J305" t="str">
        <f>IF(Table26[[#This Row],[Fee]]&gt;500,Table26[[#This Row],[Fee]],"")</f>
        <v/>
      </c>
    </row>
    <row r="306" spans="1:10" hidden="1">
      <c r="A306">
        <v>305</v>
      </c>
      <c r="B306" t="s">
        <v>96</v>
      </c>
      <c r="C306" t="s">
        <v>87</v>
      </c>
      <c r="D306" t="str">
        <f t="array" ref="D306">TEXT(Table26[[#This Row],[Date]],"MMMM")</f>
        <v>August</v>
      </c>
      <c r="E306">
        <v>500</v>
      </c>
      <c r="F306" t="s">
        <v>589</v>
      </c>
      <c r="G306" t="s">
        <v>994</v>
      </c>
      <c r="H306" s="38">
        <v>46239</v>
      </c>
      <c r="I306" cm="1">
        <f t="array" ref="I306">IFERROR(INDEX('ALL STUDENTS'!$A:$A, MATCH(1, ('ALL STUDENTS'!$B:$B = B306) * ('ALL STUDENTS'!$C:$C = C306), 0)), "NOT FOUND")</f>
        <v>1565</v>
      </c>
      <c r="J306" t="str">
        <f>IF(Table26[[#This Row],[Fee]]&gt;500,Table26[[#This Row],[Fee]],"")</f>
        <v/>
      </c>
    </row>
    <row r="307" spans="1:10" hidden="1">
      <c r="A307">
        <v>306</v>
      </c>
      <c r="B307" t="s">
        <v>96</v>
      </c>
      <c r="C307" t="s">
        <v>87</v>
      </c>
      <c r="D307" t="str">
        <f t="array" ref="D307">TEXT(Table26[[#This Row],[Date]],"MMMM")</f>
        <v>August</v>
      </c>
      <c r="E307">
        <v>500</v>
      </c>
      <c r="F307" t="s">
        <v>589</v>
      </c>
      <c r="G307" t="s">
        <v>995</v>
      </c>
      <c r="H307" s="38">
        <v>46239</v>
      </c>
      <c r="I307" cm="1">
        <f t="array" ref="I307">IFERROR(INDEX('ALL STUDENTS'!$A:$A, MATCH(1, ('ALL STUDENTS'!$B:$B = B307) * ('ALL STUDENTS'!$C:$C = C307), 0)), "NOT FOUND")</f>
        <v>1565</v>
      </c>
      <c r="J307" t="str">
        <f>IF(Table26[[#This Row],[Fee]]&gt;500,Table26[[#This Row],[Fee]],"")</f>
        <v/>
      </c>
    </row>
    <row r="308" spans="1:10" hidden="1">
      <c r="A308">
        <v>307</v>
      </c>
      <c r="B308" t="s">
        <v>96</v>
      </c>
      <c r="C308" t="s">
        <v>87</v>
      </c>
      <c r="D308" t="str">
        <f t="array" ref="D308">TEXT(Table26[[#This Row],[Date]],"MMMM")</f>
        <v>August</v>
      </c>
      <c r="E308">
        <v>500</v>
      </c>
      <c r="F308" t="s">
        <v>589</v>
      </c>
      <c r="G308" t="s">
        <v>996</v>
      </c>
      <c r="H308" s="38">
        <v>46239</v>
      </c>
      <c r="I308" cm="1">
        <f t="array" ref="I308">IFERROR(INDEX('ALL STUDENTS'!$A:$A, MATCH(1, ('ALL STUDENTS'!$B:$B = B308) * ('ALL STUDENTS'!$C:$C = C308), 0)), "NOT FOUND")</f>
        <v>1565</v>
      </c>
      <c r="J308" t="str">
        <f>IF(Table26[[#This Row],[Fee]]&gt;500,Table26[[#This Row],[Fee]],"")</f>
        <v/>
      </c>
    </row>
    <row r="309" spans="1:10" hidden="1">
      <c r="A309">
        <v>308</v>
      </c>
      <c r="B309" t="s">
        <v>123</v>
      </c>
      <c r="C309" t="s">
        <v>119</v>
      </c>
      <c r="D309" t="str">
        <f t="array" ref="D309">TEXT(Table26[[#This Row],[Date]],"MMMM")</f>
        <v>August</v>
      </c>
      <c r="E309">
        <v>500</v>
      </c>
      <c r="F309" t="s">
        <v>589</v>
      </c>
      <c r="G309" t="s">
        <v>997</v>
      </c>
      <c r="H309" s="38">
        <v>46239</v>
      </c>
      <c r="I309" cm="1">
        <f t="array" ref="I309">IFERROR(INDEX('ALL STUDENTS'!$A:$A, MATCH(1, ('ALL STUDENTS'!$B:$B = B309) * ('ALL STUDENTS'!$C:$C = C309), 0)), "NOT FOUND")</f>
        <v>1671</v>
      </c>
      <c r="J309" t="str">
        <f>IF(Table26[[#This Row],[Fee]]&gt;500,Table26[[#This Row],[Fee]],"")</f>
        <v/>
      </c>
    </row>
    <row r="310" spans="1:10" hidden="1">
      <c r="A310">
        <v>309</v>
      </c>
      <c r="B310" t="s">
        <v>172</v>
      </c>
      <c r="C310" t="s">
        <v>171</v>
      </c>
      <c r="D310" t="str">
        <f t="array" ref="D310">TEXT(Table26[[#This Row],[Date]],"MMMM")</f>
        <v>August</v>
      </c>
      <c r="E310">
        <v>500</v>
      </c>
      <c r="F310" t="s">
        <v>589</v>
      </c>
      <c r="G310" t="s">
        <v>998</v>
      </c>
      <c r="H310" s="38">
        <v>46237</v>
      </c>
      <c r="I310" cm="1">
        <f t="array" ref="I310">IFERROR(INDEX('ALL STUDENTS'!$A:$A, MATCH(1, ('ALL STUDENTS'!$B:$B = B310) * ('ALL STUDENTS'!$C:$C = C310), 0)), "NOT FOUND")</f>
        <v>1847</v>
      </c>
      <c r="J310" t="str">
        <f>IF(Table26[[#This Row],[Fee]]&gt;500,Table26[[#This Row],[Fee]],"")</f>
        <v/>
      </c>
    </row>
    <row r="311" spans="1:10" hidden="1">
      <c r="A311">
        <v>310</v>
      </c>
      <c r="B311" t="s">
        <v>22</v>
      </c>
      <c r="C311" t="s">
        <v>20</v>
      </c>
      <c r="D311" t="str">
        <f t="array" ref="D311">TEXT(Table26[[#This Row],[Date]],"MMMM")</f>
        <v>August</v>
      </c>
      <c r="E311">
        <v>500</v>
      </c>
      <c r="F311" t="s">
        <v>589</v>
      </c>
      <c r="G311" t="s">
        <v>999</v>
      </c>
      <c r="H311" s="38">
        <v>46237</v>
      </c>
      <c r="I311" cm="1">
        <f t="array" ref="I311">IFERROR(INDEX('ALL STUDENTS'!$A:$A, MATCH(1, ('ALL STUDENTS'!$B:$B = B311) * ('ALL STUDENTS'!$C:$C = C311), 0)), "NOT FOUND")</f>
        <v>3052</v>
      </c>
      <c r="J311" t="str">
        <f>IF(Table26[[#This Row],[Fee]]&gt;500,Table26[[#This Row],[Fee]],"")</f>
        <v/>
      </c>
    </row>
    <row r="312" spans="1:10" hidden="1">
      <c r="A312">
        <v>311</v>
      </c>
      <c r="B312" t="s">
        <v>392</v>
      </c>
      <c r="C312" t="s">
        <v>386</v>
      </c>
      <c r="D312" t="str">
        <f t="array" ref="D312">TEXT(Table26[[#This Row],[Date]],"MMMM")</f>
        <v>August</v>
      </c>
      <c r="E312">
        <v>500</v>
      </c>
      <c r="F312" t="s">
        <v>589</v>
      </c>
      <c r="G312" t="s">
        <v>1000</v>
      </c>
      <c r="H312" s="38">
        <v>46239</v>
      </c>
      <c r="I312" cm="1">
        <f t="array" ref="I312">IFERROR(INDEX('ALL STUDENTS'!$A:$A, MATCH(1, ('ALL STUDENTS'!$B:$B = B312) * ('ALL STUDENTS'!$C:$C = C312), 0)), "NOT FOUND")</f>
        <v>892</v>
      </c>
      <c r="J312" t="str">
        <f>IF(Table26[[#This Row],[Fee]]&gt;500,Table26[[#This Row],[Fee]],"")</f>
        <v/>
      </c>
    </row>
    <row r="313" spans="1:10" hidden="1">
      <c r="A313">
        <v>312</v>
      </c>
      <c r="B313" t="s">
        <v>392</v>
      </c>
      <c r="C313" t="s">
        <v>386</v>
      </c>
      <c r="D313" t="str">
        <f t="array" ref="D313">TEXT(Table26[[#This Row],[Date]],"MMMM")</f>
        <v>August</v>
      </c>
      <c r="E313">
        <v>500</v>
      </c>
      <c r="F313" t="s">
        <v>589</v>
      </c>
      <c r="G313" t="s">
        <v>1001</v>
      </c>
      <c r="H313" s="38">
        <v>46239</v>
      </c>
      <c r="I313" cm="1">
        <f t="array" ref="I313">IFERROR(INDEX('ALL STUDENTS'!$A:$A, MATCH(1, ('ALL STUDENTS'!$B:$B = B313) * ('ALL STUDENTS'!$C:$C = C313), 0)), "NOT FOUND")</f>
        <v>892</v>
      </c>
      <c r="J313" t="str">
        <f>IF(Table26[[#This Row],[Fee]]&gt;500,Table26[[#This Row],[Fee]],"")</f>
        <v/>
      </c>
    </row>
    <row r="314" spans="1:10" hidden="1">
      <c r="A314">
        <v>313</v>
      </c>
      <c r="B314" t="s">
        <v>392</v>
      </c>
      <c r="C314" t="s">
        <v>386</v>
      </c>
      <c r="D314" t="str">
        <f t="array" ref="D314">TEXT(Table26[[#This Row],[Date]],"MMMM")</f>
        <v>August</v>
      </c>
      <c r="E314">
        <v>500</v>
      </c>
      <c r="F314" t="s">
        <v>589</v>
      </c>
      <c r="G314" t="s">
        <v>1002</v>
      </c>
      <c r="H314" s="38">
        <v>46239</v>
      </c>
      <c r="I314" cm="1">
        <f t="array" ref="I314">IFERROR(INDEX('ALL STUDENTS'!$A:$A, MATCH(1, ('ALL STUDENTS'!$B:$B = B314) * ('ALL STUDENTS'!$C:$C = C314), 0)), "NOT FOUND")</f>
        <v>892</v>
      </c>
      <c r="J314" t="str">
        <f>IF(Table26[[#This Row],[Fee]]&gt;500,Table26[[#This Row],[Fee]],"")</f>
        <v/>
      </c>
    </row>
    <row r="315" spans="1:10" hidden="1">
      <c r="A315">
        <v>314</v>
      </c>
      <c r="B315" t="s">
        <v>190</v>
      </c>
      <c r="C315" t="s">
        <v>185</v>
      </c>
      <c r="D315" t="str">
        <f t="array" ref="D315">TEXT(Table26[[#This Row],[Date]],"MMMM")</f>
        <v>August</v>
      </c>
      <c r="E315">
        <v>500</v>
      </c>
      <c r="F315" t="s">
        <v>589</v>
      </c>
      <c r="G315" t="s">
        <v>1003</v>
      </c>
      <c r="H315" s="38">
        <v>46239</v>
      </c>
      <c r="I315" cm="1">
        <f t="array" ref="I315">IFERROR(INDEX('ALL STUDENTS'!$A:$A, MATCH(1, ('ALL STUDENTS'!$B:$B = B315) * ('ALL STUDENTS'!$C:$C = C315), 0)), "NOT FOUND")</f>
        <v>1822</v>
      </c>
      <c r="J315" t="str">
        <f>IF(Table26[[#This Row],[Fee]]&gt;500,Table26[[#This Row],[Fee]],"")</f>
        <v/>
      </c>
    </row>
    <row r="316" spans="1:10" hidden="1">
      <c r="A316">
        <v>315</v>
      </c>
      <c r="B316" t="s">
        <v>190</v>
      </c>
      <c r="C316" t="s">
        <v>185</v>
      </c>
      <c r="D316" t="str">
        <f t="array" ref="D316">TEXT(Table26[[#This Row],[Date]],"MMMM")</f>
        <v>August</v>
      </c>
      <c r="E316">
        <v>500</v>
      </c>
      <c r="F316" t="s">
        <v>589</v>
      </c>
      <c r="G316" t="s">
        <v>1004</v>
      </c>
      <c r="H316" s="38">
        <v>46239</v>
      </c>
      <c r="I316" cm="1">
        <f t="array" ref="I316">IFERROR(INDEX('ALL STUDENTS'!$A:$A, MATCH(1, ('ALL STUDENTS'!$B:$B = B316) * ('ALL STUDENTS'!$C:$C = C316), 0)), "NOT FOUND")</f>
        <v>1822</v>
      </c>
      <c r="J316" t="str">
        <f>IF(Table26[[#This Row],[Fee]]&gt;500,Table26[[#This Row],[Fee]],"")</f>
        <v/>
      </c>
    </row>
    <row r="317" spans="1:10" hidden="1">
      <c r="A317">
        <v>316</v>
      </c>
      <c r="B317" t="s">
        <v>190</v>
      </c>
      <c r="C317" t="s">
        <v>185</v>
      </c>
      <c r="D317" t="str">
        <f t="array" ref="D317">TEXT(Table26[[#This Row],[Date]],"MMMM")</f>
        <v>August</v>
      </c>
      <c r="E317">
        <v>500</v>
      </c>
      <c r="F317" t="s">
        <v>589</v>
      </c>
      <c r="G317" t="s">
        <v>1005</v>
      </c>
      <c r="H317" s="38">
        <v>46239</v>
      </c>
      <c r="I317" cm="1">
        <f t="array" ref="I317">IFERROR(INDEX('ALL STUDENTS'!$A:$A, MATCH(1, ('ALL STUDENTS'!$B:$B = B317) * ('ALL STUDENTS'!$C:$C = C317), 0)), "NOT FOUND")</f>
        <v>1822</v>
      </c>
      <c r="J317" t="str">
        <f>IF(Table26[[#This Row],[Fee]]&gt;500,Table26[[#This Row],[Fee]],"")</f>
        <v/>
      </c>
    </row>
    <row r="318" spans="1:10" hidden="1">
      <c r="A318">
        <v>317</v>
      </c>
      <c r="B318" t="s">
        <v>523</v>
      </c>
      <c r="C318" t="s">
        <v>520</v>
      </c>
      <c r="D318" t="str">
        <f t="array" ref="D318">TEXT(Table26[[#This Row],[Date]],"MMMM")</f>
        <v>August</v>
      </c>
      <c r="E318">
        <v>500</v>
      </c>
      <c r="F318" t="s">
        <v>589</v>
      </c>
      <c r="G318" t="s">
        <v>1006</v>
      </c>
      <c r="H318" s="38">
        <v>46238</v>
      </c>
      <c r="I318" cm="1">
        <f t="array" ref="I318">IFERROR(INDEX('ALL STUDENTS'!$A:$A, MATCH(1, ('ALL STUDENTS'!$B:$B = B318) * ('ALL STUDENTS'!$C:$C = C318), 0)), "NOT FOUND")</f>
        <v>69</v>
      </c>
      <c r="J318" t="str">
        <f>IF(Table26[[#This Row],[Fee]]&gt;500,Table26[[#This Row],[Fee]],"")</f>
        <v/>
      </c>
    </row>
    <row r="319" spans="1:10" hidden="1">
      <c r="A319">
        <v>318</v>
      </c>
      <c r="B319" t="s">
        <v>115</v>
      </c>
      <c r="C319" t="s">
        <v>113</v>
      </c>
      <c r="D319" t="str">
        <f t="array" ref="D319">TEXT(Table26[[#This Row],[Date]],"MMMM")</f>
        <v>August</v>
      </c>
      <c r="E319">
        <v>500</v>
      </c>
      <c r="F319" t="s">
        <v>589</v>
      </c>
      <c r="G319" t="s">
        <v>1007</v>
      </c>
      <c r="H319" s="38">
        <v>46239</v>
      </c>
      <c r="I319" cm="1">
        <f t="array" ref="I319">IFERROR(INDEX('ALL STUDENTS'!$A:$A, MATCH(1, ('ALL STUDENTS'!$B:$B = B319) * ('ALL STUDENTS'!$C:$C = C319), 0)), "NOT FOUND")</f>
        <v>1662</v>
      </c>
      <c r="J319" t="str">
        <f>IF(Table26[[#This Row],[Fee]]&gt;500,Table26[[#This Row],[Fee]],"")</f>
        <v/>
      </c>
    </row>
    <row r="320" spans="1:10" hidden="1">
      <c r="A320">
        <v>319</v>
      </c>
      <c r="B320" t="s">
        <v>560</v>
      </c>
      <c r="C320" t="s">
        <v>556</v>
      </c>
      <c r="D320" t="str">
        <f t="array" ref="D320">TEXT(Table26[[#This Row],[Date]],"MMMM")</f>
        <v>August</v>
      </c>
      <c r="E320">
        <v>500</v>
      </c>
      <c r="F320" t="s">
        <v>589</v>
      </c>
      <c r="G320" t="s">
        <v>1008</v>
      </c>
      <c r="H320" s="38">
        <v>46240</v>
      </c>
      <c r="I320" cm="1">
        <f t="array" ref="I320">IFERROR(INDEX('ALL STUDENTS'!$A:$A, MATCH(1, ('ALL STUDENTS'!$B:$B = B320) * ('ALL STUDENTS'!$C:$C = C320), 0)), "NOT FOUND")</f>
        <v>230</v>
      </c>
      <c r="J320" t="str">
        <f>IF(Table26[[#This Row],[Fee]]&gt;500,Table26[[#This Row],[Fee]],"")</f>
        <v/>
      </c>
    </row>
    <row r="321" spans="1:10" hidden="1">
      <c r="A321">
        <v>320</v>
      </c>
      <c r="B321" t="s">
        <v>560</v>
      </c>
      <c r="C321" t="s">
        <v>556</v>
      </c>
      <c r="D321" t="str">
        <f t="array" ref="D321">TEXT(Table26[[#This Row],[Date]],"MMMM")</f>
        <v>August</v>
      </c>
      <c r="E321">
        <v>500</v>
      </c>
      <c r="F321" t="s">
        <v>589</v>
      </c>
      <c r="G321" t="s">
        <v>1009</v>
      </c>
      <c r="H321" s="38">
        <v>46240</v>
      </c>
      <c r="I321" cm="1">
        <f t="array" ref="I321">IFERROR(INDEX('ALL STUDENTS'!$A:$A, MATCH(1, ('ALL STUDENTS'!$B:$B = B321) * ('ALL STUDENTS'!$C:$C = C321), 0)), "NOT FOUND")</f>
        <v>230</v>
      </c>
      <c r="J321" t="str">
        <f>IF(Table26[[#This Row],[Fee]]&gt;500,Table26[[#This Row],[Fee]],"")</f>
        <v/>
      </c>
    </row>
    <row r="322" spans="1:10" hidden="1">
      <c r="A322">
        <v>321</v>
      </c>
      <c r="B322" t="s">
        <v>560</v>
      </c>
      <c r="C322" t="s">
        <v>556</v>
      </c>
      <c r="D322" t="str">
        <f t="array" ref="D322">TEXT(Table26[[#This Row],[Date]],"MMMM")</f>
        <v>August</v>
      </c>
      <c r="E322">
        <v>500</v>
      </c>
      <c r="F322" t="s">
        <v>589</v>
      </c>
      <c r="G322" t="s">
        <v>1010</v>
      </c>
      <c r="H322" s="38">
        <v>46240</v>
      </c>
      <c r="I322" cm="1">
        <f t="array" ref="I322">IFERROR(INDEX('ALL STUDENTS'!$A:$A, MATCH(1, ('ALL STUDENTS'!$B:$B = B322) * ('ALL STUDENTS'!$C:$C = C322), 0)), "NOT FOUND")</f>
        <v>230</v>
      </c>
      <c r="J322" t="str">
        <f>IF(Table26[[#This Row],[Fee]]&gt;500,Table26[[#This Row],[Fee]],"")</f>
        <v/>
      </c>
    </row>
    <row r="323" spans="1:10">
      <c r="A323">
        <v>322</v>
      </c>
      <c r="B323" t="s">
        <v>234</v>
      </c>
      <c r="C323" t="s">
        <v>232</v>
      </c>
      <c r="D323" t="str">
        <f t="array" ref="D323">TEXT(Table26[[#This Row],[Date]],"MMMM")</f>
        <v>August</v>
      </c>
      <c r="E323">
        <v>500</v>
      </c>
      <c r="F323" t="s">
        <v>589</v>
      </c>
      <c r="G323" t="s">
        <v>1011</v>
      </c>
      <c r="H323" s="38">
        <v>46240</v>
      </c>
      <c r="I323" t="str" cm="1">
        <f t="array" ref="I323">IFERROR(INDEX('ALL STUDENTS'!$A:$A, MATCH(1, ('ALL STUDENTS'!$B:$B = B323) * ('ALL STUDENTS'!$C:$C = C323), 0)), "NOT FOUND")</f>
        <v>NOT FOUND</v>
      </c>
      <c r="J323" t="str">
        <f>IF(Table26[[#This Row],[Fee]]&gt;500,Table26[[#This Row],[Fee]],"")</f>
        <v/>
      </c>
    </row>
    <row r="324" spans="1:10">
      <c r="A324">
        <v>323</v>
      </c>
      <c r="B324" t="s">
        <v>234</v>
      </c>
      <c r="C324" t="s">
        <v>232</v>
      </c>
      <c r="D324" t="str">
        <f t="array" ref="D324">TEXT(Table26[[#This Row],[Date]],"MMMM")</f>
        <v>August</v>
      </c>
      <c r="E324">
        <v>500</v>
      </c>
      <c r="F324" t="s">
        <v>589</v>
      </c>
      <c r="G324" t="s">
        <v>1012</v>
      </c>
      <c r="H324" s="38">
        <v>46240</v>
      </c>
      <c r="I324" t="str" cm="1">
        <f t="array" ref="I324">IFERROR(INDEX('ALL STUDENTS'!$A:$A, MATCH(1, ('ALL STUDENTS'!$B:$B = B324) * ('ALL STUDENTS'!$C:$C = C324), 0)), "NOT FOUND")</f>
        <v>NOT FOUND</v>
      </c>
      <c r="J324" t="str">
        <f>IF(Table26[[#This Row],[Fee]]&gt;500,Table26[[#This Row],[Fee]],"")</f>
        <v/>
      </c>
    </row>
    <row r="325" spans="1:10">
      <c r="A325">
        <v>324</v>
      </c>
      <c r="B325" t="s">
        <v>234</v>
      </c>
      <c r="C325" t="s">
        <v>232</v>
      </c>
      <c r="D325" t="str">
        <f t="array" ref="D325">TEXT(Table26[[#This Row],[Date]],"MMMM")</f>
        <v>August</v>
      </c>
      <c r="E325">
        <v>500</v>
      </c>
      <c r="F325" t="s">
        <v>589</v>
      </c>
      <c r="G325" t="s">
        <v>1013</v>
      </c>
      <c r="H325" s="38">
        <v>46240</v>
      </c>
      <c r="I325" t="str" cm="1">
        <f t="array" ref="I325">IFERROR(INDEX('ALL STUDENTS'!$A:$A, MATCH(1, ('ALL STUDENTS'!$B:$B = B325) * ('ALL STUDENTS'!$C:$C = C325), 0)), "NOT FOUND")</f>
        <v>NOT FOUND</v>
      </c>
      <c r="J325" t="str">
        <f>IF(Table26[[#This Row],[Fee]]&gt;500,Table26[[#This Row],[Fee]],"")</f>
        <v/>
      </c>
    </row>
    <row r="326" spans="1:10" hidden="1">
      <c r="A326">
        <v>325</v>
      </c>
      <c r="B326" t="s">
        <v>116</v>
      </c>
      <c r="C326" t="s">
        <v>113</v>
      </c>
      <c r="D326" t="str">
        <f t="array" ref="D326">TEXT(Table26[[#This Row],[Date]],"MMMM")</f>
        <v>August</v>
      </c>
      <c r="E326">
        <v>500</v>
      </c>
      <c r="F326" t="s">
        <v>589</v>
      </c>
      <c r="G326" t="s">
        <v>1014</v>
      </c>
      <c r="H326" s="38">
        <v>46240</v>
      </c>
      <c r="I326" cm="1">
        <f t="array" ref="I326">IFERROR(INDEX('ALL STUDENTS'!$A:$A, MATCH(1, ('ALL STUDENTS'!$B:$B = B326) * ('ALL STUDENTS'!$C:$C = C326), 0)), "NOT FOUND")</f>
        <v>1654</v>
      </c>
      <c r="J326" t="str">
        <f>IF(Table26[[#This Row],[Fee]]&gt;500,Table26[[#This Row],[Fee]],"")</f>
        <v/>
      </c>
    </row>
    <row r="327" spans="1:10" hidden="1">
      <c r="A327">
        <v>326</v>
      </c>
      <c r="B327" t="s">
        <v>116</v>
      </c>
      <c r="C327" t="s">
        <v>113</v>
      </c>
      <c r="D327" t="str">
        <f t="array" ref="D327">TEXT(Table26[[#This Row],[Date]],"MMMM")</f>
        <v>August</v>
      </c>
      <c r="E327">
        <v>500</v>
      </c>
      <c r="F327" t="s">
        <v>589</v>
      </c>
      <c r="G327" t="s">
        <v>1015</v>
      </c>
      <c r="H327" s="38">
        <v>46240</v>
      </c>
      <c r="I327" cm="1">
        <f t="array" ref="I327">IFERROR(INDEX('ALL STUDENTS'!$A:$A, MATCH(1, ('ALL STUDENTS'!$B:$B = B327) * ('ALL STUDENTS'!$C:$C = C327), 0)), "NOT FOUND")</f>
        <v>1654</v>
      </c>
      <c r="J327" t="str">
        <f>IF(Table26[[#This Row],[Fee]]&gt;500,Table26[[#This Row],[Fee]],"")</f>
        <v/>
      </c>
    </row>
    <row r="328" spans="1:10" hidden="1">
      <c r="A328">
        <v>327</v>
      </c>
      <c r="B328" t="s">
        <v>116</v>
      </c>
      <c r="C328" t="s">
        <v>113</v>
      </c>
      <c r="D328" t="str">
        <f t="array" ref="D328">TEXT(Table26[[#This Row],[Date]],"MMMM")</f>
        <v>August</v>
      </c>
      <c r="E328">
        <v>500</v>
      </c>
      <c r="F328" t="s">
        <v>589</v>
      </c>
      <c r="G328" t="s">
        <v>1016</v>
      </c>
      <c r="H328" s="38">
        <v>46240</v>
      </c>
      <c r="I328" cm="1">
        <f t="array" ref="I328">IFERROR(INDEX('ALL STUDENTS'!$A:$A, MATCH(1, ('ALL STUDENTS'!$B:$B = B328) * ('ALL STUDENTS'!$C:$C = C328), 0)), "NOT FOUND")</f>
        <v>1654</v>
      </c>
      <c r="J328" t="str">
        <f>IF(Table26[[#This Row],[Fee]]&gt;500,Table26[[#This Row],[Fee]],"")</f>
        <v/>
      </c>
    </row>
    <row r="329" spans="1:10" hidden="1">
      <c r="A329">
        <v>328</v>
      </c>
      <c r="B329" t="s">
        <v>473</v>
      </c>
      <c r="C329" t="s">
        <v>467</v>
      </c>
      <c r="D329" t="str">
        <f t="array" ref="D329">TEXT(Table26[[#This Row],[Date]],"MMMM")</f>
        <v>August</v>
      </c>
      <c r="E329">
        <v>500</v>
      </c>
      <c r="F329" t="s">
        <v>589</v>
      </c>
      <c r="G329" t="s">
        <v>1017</v>
      </c>
      <c r="H329" s="38">
        <v>46240</v>
      </c>
      <c r="I329" cm="1">
        <f t="array" ref="I329">IFERROR(INDEX('ALL STUDENTS'!$A:$A, MATCH(1, ('ALL STUDENTS'!$B:$B = B329) * ('ALL STUDENTS'!$C:$C = C329), 0)), "NOT FOUND")</f>
        <v>255</v>
      </c>
      <c r="J329" t="str">
        <f>IF(Table26[[#This Row],[Fee]]&gt;500,Table26[[#This Row],[Fee]],"")</f>
        <v/>
      </c>
    </row>
    <row r="330" spans="1:10" hidden="1">
      <c r="A330">
        <v>329</v>
      </c>
      <c r="B330" t="s">
        <v>473</v>
      </c>
      <c r="C330" t="s">
        <v>467</v>
      </c>
      <c r="D330" t="str">
        <f t="array" ref="D330">TEXT(Table26[[#This Row],[Date]],"MMMM")</f>
        <v>August</v>
      </c>
      <c r="E330">
        <v>500</v>
      </c>
      <c r="F330" t="s">
        <v>589</v>
      </c>
      <c r="G330" t="s">
        <v>1018</v>
      </c>
      <c r="H330" s="38">
        <v>46240</v>
      </c>
      <c r="I330" cm="1">
        <f t="array" ref="I330">IFERROR(INDEX('ALL STUDENTS'!$A:$A, MATCH(1, ('ALL STUDENTS'!$B:$B = B330) * ('ALL STUDENTS'!$C:$C = C330), 0)), "NOT FOUND")</f>
        <v>255</v>
      </c>
      <c r="J330" t="str">
        <f>IF(Table26[[#This Row],[Fee]]&gt;500,Table26[[#This Row],[Fee]],"")</f>
        <v/>
      </c>
    </row>
    <row r="331" spans="1:10" hidden="1">
      <c r="A331">
        <v>330</v>
      </c>
      <c r="B331" t="s">
        <v>473</v>
      </c>
      <c r="C331" t="s">
        <v>467</v>
      </c>
      <c r="D331" t="str">
        <f t="array" ref="D331">TEXT(Table26[[#This Row],[Date]],"MMMM")</f>
        <v>August</v>
      </c>
      <c r="E331">
        <v>500</v>
      </c>
      <c r="F331" t="s">
        <v>589</v>
      </c>
      <c r="G331" t="s">
        <v>1019</v>
      </c>
      <c r="H331" s="38">
        <v>46240</v>
      </c>
      <c r="I331" cm="1">
        <f t="array" ref="I331">IFERROR(INDEX('ALL STUDENTS'!$A:$A, MATCH(1, ('ALL STUDENTS'!$B:$B = B331) * ('ALL STUDENTS'!$C:$C = C331), 0)), "NOT FOUND")</f>
        <v>255</v>
      </c>
      <c r="J331" t="str">
        <f>IF(Table26[[#This Row],[Fee]]&gt;500,Table26[[#This Row],[Fee]],"")</f>
        <v/>
      </c>
    </row>
    <row r="332" spans="1:10" hidden="1">
      <c r="A332">
        <v>331</v>
      </c>
      <c r="B332" t="s">
        <v>459</v>
      </c>
      <c r="C332" t="s">
        <v>453</v>
      </c>
      <c r="D332" t="str">
        <f t="array" ref="D332">TEXT(Table26[[#This Row],[Date]],"MMMM")</f>
        <v>August</v>
      </c>
      <c r="E332">
        <v>500</v>
      </c>
      <c r="F332" t="s">
        <v>589</v>
      </c>
      <c r="G332" t="s">
        <v>1020</v>
      </c>
      <c r="H332" s="38">
        <v>46240</v>
      </c>
      <c r="I332" cm="1">
        <f t="array" ref="I332">IFERROR(INDEX('ALL STUDENTS'!$A:$A, MATCH(1, ('ALL STUDENTS'!$B:$B = B332) * ('ALL STUDENTS'!$C:$C = C332), 0)), "NOT FOUND")</f>
        <v>722</v>
      </c>
      <c r="J332" t="str">
        <f>IF(Table26[[#This Row],[Fee]]&gt;500,Table26[[#This Row],[Fee]],"")</f>
        <v/>
      </c>
    </row>
    <row r="333" spans="1:10" hidden="1">
      <c r="A333">
        <v>332</v>
      </c>
      <c r="B333" t="s">
        <v>197</v>
      </c>
      <c r="C333" t="s">
        <v>195</v>
      </c>
      <c r="D333" t="str">
        <f t="array" ref="D333">TEXT(Table26[[#This Row],[Date]],"MMMM")</f>
        <v>August</v>
      </c>
      <c r="E333">
        <v>500</v>
      </c>
      <c r="F333" t="s">
        <v>589</v>
      </c>
      <c r="G333" t="s">
        <v>1021</v>
      </c>
      <c r="H333" s="38">
        <v>46240</v>
      </c>
      <c r="I333" cm="1">
        <f t="array" ref="I333">IFERROR(INDEX('ALL STUDENTS'!$A:$A, MATCH(1, ('ALL STUDENTS'!$B:$B = B333) * ('ALL STUDENTS'!$C:$C = C333), 0)), "NOT FOUND")</f>
        <v>1931</v>
      </c>
      <c r="J333" t="str">
        <f>IF(Table26[[#This Row],[Fee]]&gt;500,Table26[[#This Row],[Fee]],"")</f>
        <v/>
      </c>
    </row>
    <row r="334" spans="1:10" hidden="1">
      <c r="A334">
        <v>333</v>
      </c>
      <c r="B334" t="s">
        <v>12</v>
      </c>
      <c r="C334" t="s">
        <v>4</v>
      </c>
      <c r="D334" t="str">
        <f t="array" ref="D334">TEXT(Table26[[#This Row],[Date]],"MMMM")</f>
        <v>August</v>
      </c>
      <c r="E334">
        <v>500</v>
      </c>
      <c r="F334" t="s">
        <v>589</v>
      </c>
      <c r="G334" t="s">
        <v>1022</v>
      </c>
      <c r="H334" s="38">
        <v>46240</v>
      </c>
      <c r="I334" cm="1">
        <f t="array" ref="I334">IFERROR(INDEX('ALL STUDENTS'!$A:$A, MATCH(1, ('ALL STUDENTS'!$B:$B = B334) * ('ALL STUDENTS'!$C:$C = C334), 0)), "NOT FOUND")</f>
        <v>3017</v>
      </c>
      <c r="J334" t="str">
        <f>IF(Table26[[#This Row],[Fee]]&gt;500,Table26[[#This Row],[Fee]],"")</f>
        <v/>
      </c>
    </row>
    <row r="335" spans="1:10" hidden="1">
      <c r="A335">
        <v>334</v>
      </c>
      <c r="B335" t="s">
        <v>37</v>
      </c>
      <c r="C335" t="s">
        <v>32</v>
      </c>
      <c r="D335" t="str">
        <f t="array" ref="D335">TEXT(Table26[[#This Row],[Date]],"MMMM")</f>
        <v>August</v>
      </c>
      <c r="E335">
        <v>500</v>
      </c>
      <c r="F335" t="s">
        <v>589</v>
      </c>
      <c r="G335" t="s">
        <v>1023</v>
      </c>
      <c r="H335" s="38">
        <v>46241</v>
      </c>
      <c r="I335" cm="1">
        <f t="array" ref="I335">IFERROR(INDEX('ALL STUDENTS'!$A:$A, MATCH(1, ('ALL STUDENTS'!$B:$B = B335) * ('ALL STUDENTS'!$C:$C = C335), 0)), "NOT FOUND")</f>
        <v>3072</v>
      </c>
      <c r="J335" t="str">
        <f>IF(Table26[[#This Row],[Fee]]&gt;500,Table26[[#This Row],[Fee]],"")</f>
        <v/>
      </c>
    </row>
    <row r="336" spans="1:10" hidden="1">
      <c r="A336">
        <v>335</v>
      </c>
      <c r="B336" t="s">
        <v>37</v>
      </c>
      <c r="C336" t="s">
        <v>32</v>
      </c>
      <c r="D336" t="str">
        <f t="array" ref="D336">TEXT(Table26[[#This Row],[Date]],"MMMM")</f>
        <v>August</v>
      </c>
      <c r="E336">
        <v>500</v>
      </c>
      <c r="F336" t="s">
        <v>589</v>
      </c>
      <c r="G336" t="s">
        <v>1024</v>
      </c>
      <c r="H336" s="38">
        <v>46241</v>
      </c>
      <c r="I336" cm="1">
        <f t="array" ref="I336">IFERROR(INDEX('ALL STUDENTS'!$A:$A, MATCH(1, ('ALL STUDENTS'!$B:$B = B336) * ('ALL STUDENTS'!$C:$C = C336), 0)), "NOT FOUND")</f>
        <v>3072</v>
      </c>
      <c r="J336" t="str">
        <f>IF(Table26[[#This Row],[Fee]]&gt;500,Table26[[#This Row],[Fee]],"")</f>
        <v/>
      </c>
    </row>
    <row r="337" spans="1:10" hidden="1">
      <c r="A337">
        <v>336</v>
      </c>
      <c r="B337" t="s">
        <v>37</v>
      </c>
      <c r="C337" t="s">
        <v>32</v>
      </c>
      <c r="D337" t="str">
        <f t="array" ref="D337">TEXT(Table26[[#This Row],[Date]],"MMMM")</f>
        <v>August</v>
      </c>
      <c r="E337">
        <v>500</v>
      </c>
      <c r="F337" t="s">
        <v>589</v>
      </c>
      <c r="G337" t="s">
        <v>1025</v>
      </c>
      <c r="H337" s="38">
        <v>46241</v>
      </c>
      <c r="I337" cm="1">
        <f t="array" ref="I337">IFERROR(INDEX('ALL STUDENTS'!$A:$A, MATCH(1, ('ALL STUDENTS'!$B:$B = B337) * ('ALL STUDENTS'!$C:$C = C337), 0)), "NOT FOUND")</f>
        <v>3072</v>
      </c>
      <c r="J337" t="str">
        <f>IF(Table26[[#This Row],[Fee]]&gt;500,Table26[[#This Row],[Fee]],"")</f>
        <v/>
      </c>
    </row>
    <row r="338" spans="1:10" hidden="1">
      <c r="A338">
        <v>337</v>
      </c>
      <c r="B338" t="s">
        <v>13</v>
      </c>
      <c r="C338" t="s">
        <v>4</v>
      </c>
      <c r="D338" t="str">
        <f t="array" ref="D338">TEXT(Table26[[#This Row],[Date]],"MMMM")</f>
        <v>August</v>
      </c>
      <c r="E338">
        <v>500</v>
      </c>
      <c r="F338" t="s">
        <v>589</v>
      </c>
      <c r="G338" t="s">
        <v>1026</v>
      </c>
      <c r="H338" s="38">
        <v>46241</v>
      </c>
      <c r="I338" cm="1">
        <f t="array" ref="I338">IFERROR(INDEX('ALL STUDENTS'!$A:$A, MATCH(1, ('ALL STUDENTS'!$B:$B = B338) * ('ALL STUDENTS'!$C:$C = C338), 0)), "NOT FOUND")</f>
        <v>3013</v>
      </c>
      <c r="J338" t="str">
        <f>IF(Table26[[#This Row],[Fee]]&gt;500,Table26[[#This Row],[Fee]],"")</f>
        <v/>
      </c>
    </row>
    <row r="339" spans="1:10" hidden="1">
      <c r="A339">
        <v>338</v>
      </c>
      <c r="B339" t="s">
        <v>13</v>
      </c>
      <c r="C339" t="s">
        <v>4</v>
      </c>
      <c r="D339" t="str">
        <f t="array" ref="D339">TEXT(Table26[[#This Row],[Date]],"MMMM")</f>
        <v>August</v>
      </c>
      <c r="E339">
        <v>500</v>
      </c>
      <c r="F339" t="s">
        <v>589</v>
      </c>
      <c r="G339" t="s">
        <v>1027</v>
      </c>
      <c r="H339" s="38">
        <v>46241</v>
      </c>
      <c r="I339" cm="1">
        <f t="array" ref="I339">IFERROR(INDEX('ALL STUDENTS'!$A:$A, MATCH(1, ('ALL STUDENTS'!$B:$B = B339) * ('ALL STUDENTS'!$C:$C = C339), 0)), "NOT FOUND")</f>
        <v>3013</v>
      </c>
      <c r="J339" t="str">
        <f>IF(Table26[[#This Row],[Fee]]&gt;500,Table26[[#This Row],[Fee]],"")</f>
        <v/>
      </c>
    </row>
    <row r="340" spans="1:10" hidden="1">
      <c r="A340">
        <v>339</v>
      </c>
      <c r="B340" t="s">
        <v>13</v>
      </c>
      <c r="C340" t="s">
        <v>4</v>
      </c>
      <c r="D340" t="str">
        <f t="array" ref="D340">TEXT(Table26[[#This Row],[Date]],"MMMM")</f>
        <v>August</v>
      </c>
      <c r="E340">
        <v>500</v>
      </c>
      <c r="F340" t="s">
        <v>589</v>
      </c>
      <c r="G340" t="s">
        <v>1028</v>
      </c>
      <c r="H340" s="38">
        <v>46241</v>
      </c>
      <c r="I340" cm="1">
        <f t="array" ref="I340">IFERROR(INDEX('ALL STUDENTS'!$A:$A, MATCH(1, ('ALL STUDENTS'!$B:$B = B340) * ('ALL STUDENTS'!$C:$C = C340), 0)), "NOT FOUND")</f>
        <v>3013</v>
      </c>
      <c r="J340" t="str">
        <f>IF(Table26[[#This Row],[Fee]]&gt;500,Table26[[#This Row],[Fee]],"")</f>
        <v/>
      </c>
    </row>
    <row r="341" spans="1:10" hidden="1">
      <c r="A341">
        <v>340</v>
      </c>
      <c r="B341" t="s">
        <v>14</v>
      </c>
      <c r="C341" t="s">
        <v>4</v>
      </c>
      <c r="D341" t="str">
        <f t="array" ref="D341">TEXT(Table26[[#This Row],[Date]],"MMMM")</f>
        <v>August</v>
      </c>
      <c r="E341">
        <v>500</v>
      </c>
      <c r="F341" t="s">
        <v>589</v>
      </c>
      <c r="G341" t="s">
        <v>1029</v>
      </c>
      <c r="H341" s="38">
        <v>46241</v>
      </c>
      <c r="I341" cm="1">
        <f t="array" ref="I341">IFERROR(INDEX('ALL STUDENTS'!$A:$A, MATCH(1, ('ALL STUDENTS'!$B:$B = B341) * ('ALL STUDENTS'!$C:$C = C341), 0)), "NOT FOUND")</f>
        <v>3023</v>
      </c>
      <c r="J341" t="str">
        <f>IF(Table26[[#This Row],[Fee]]&gt;500,Table26[[#This Row],[Fee]],"")</f>
        <v/>
      </c>
    </row>
    <row r="342" spans="1:10" hidden="1">
      <c r="A342">
        <v>341</v>
      </c>
      <c r="B342" t="s">
        <v>140</v>
      </c>
      <c r="C342" t="s">
        <v>138</v>
      </c>
      <c r="D342" t="str">
        <f t="array" ref="D342">TEXT(Table26[[#This Row],[Date]],"MMMM")</f>
        <v>July</v>
      </c>
      <c r="E342">
        <v>500</v>
      </c>
      <c r="F342" t="s">
        <v>589</v>
      </c>
      <c r="G342" t="s">
        <v>1030</v>
      </c>
      <c r="H342" s="38">
        <v>46209</v>
      </c>
      <c r="I342" cm="1">
        <f t="array" ref="I342">IFERROR(INDEX('ALL STUDENTS'!$A:$A, MATCH(1, ('ALL STUDENTS'!$B:$B = B342) * ('ALL STUDENTS'!$C:$C = C342), 0)), "NOT FOUND")</f>
        <v>1761</v>
      </c>
      <c r="J342" t="str">
        <f>IF(Table26[[#This Row],[Fee]]&gt;500,Table26[[#This Row],[Fee]],"")</f>
        <v/>
      </c>
    </row>
    <row r="343" spans="1:10" hidden="1">
      <c r="A343">
        <v>342</v>
      </c>
      <c r="B343" t="s">
        <v>345</v>
      </c>
      <c r="C343" t="s">
        <v>340</v>
      </c>
      <c r="D343" t="str">
        <f t="array" ref="D343">TEXT(Table26[[#This Row],[Date]],"MMMM")</f>
        <v>August</v>
      </c>
      <c r="E343">
        <v>500</v>
      </c>
      <c r="F343" t="s">
        <v>589</v>
      </c>
      <c r="G343" t="s">
        <v>1031</v>
      </c>
      <c r="H343" s="38">
        <v>46240</v>
      </c>
      <c r="I343" cm="1">
        <f t="array" ref="I343">IFERROR(INDEX('ALL STUDENTS'!$A:$A, MATCH(1, ('ALL STUDENTS'!$B:$B = B343) * ('ALL STUDENTS'!$C:$C = C343), 0)), "NOT FOUND")</f>
        <v>2514</v>
      </c>
      <c r="J343" t="str">
        <f>IF(Table26[[#This Row],[Fee]]&gt;500,Table26[[#This Row],[Fee]],"")</f>
        <v/>
      </c>
    </row>
    <row r="344" spans="1:10" hidden="1">
      <c r="A344">
        <v>343</v>
      </c>
      <c r="B344" t="s">
        <v>561</v>
      </c>
      <c r="C344" t="s">
        <v>556</v>
      </c>
      <c r="D344" t="str">
        <f t="array" ref="D344">TEXT(Table26[[#This Row],[Date]],"MMMM")</f>
        <v>August</v>
      </c>
      <c r="E344">
        <v>500</v>
      </c>
      <c r="F344" t="s">
        <v>589</v>
      </c>
      <c r="G344" t="s">
        <v>1032</v>
      </c>
      <c r="H344" s="38">
        <v>46235</v>
      </c>
      <c r="I344" cm="1">
        <f t="array" ref="I344">IFERROR(INDEX('ALL STUDENTS'!$A:$A, MATCH(1, ('ALL STUDENTS'!$B:$B = B344) * ('ALL STUDENTS'!$C:$C = C344), 0)), "NOT FOUND")</f>
        <v>201</v>
      </c>
      <c r="J344" t="str">
        <f>IF(Table26[[#This Row],[Fee]]&gt;500,Table26[[#This Row],[Fee]],"")</f>
        <v/>
      </c>
    </row>
    <row r="345" spans="1:10" hidden="1">
      <c r="A345">
        <v>344</v>
      </c>
      <c r="B345" t="s">
        <v>72</v>
      </c>
      <c r="C345" t="s">
        <v>68</v>
      </c>
      <c r="D345" t="str">
        <f t="array" ref="D345">TEXT(Table26[[#This Row],[Date]],"MMMM")</f>
        <v>August</v>
      </c>
      <c r="E345">
        <v>500</v>
      </c>
      <c r="F345" t="s">
        <v>589</v>
      </c>
      <c r="G345" t="s">
        <v>1033</v>
      </c>
      <c r="H345" s="38">
        <v>46240</v>
      </c>
      <c r="I345" cm="1">
        <f t="array" ref="I345">IFERROR(INDEX('ALL STUDENTS'!$A:$A, MATCH(1, ('ALL STUDENTS'!$B:$B = B345) * ('ALL STUDENTS'!$C:$C = C345), 0)), "NOT FOUND")</f>
        <v>1503</v>
      </c>
      <c r="J345" t="str">
        <f>IF(Table26[[#This Row],[Fee]]&gt;500,Table26[[#This Row],[Fee]],"")</f>
        <v/>
      </c>
    </row>
    <row r="346" spans="1:10" hidden="1">
      <c r="A346">
        <v>345</v>
      </c>
      <c r="B346" t="s">
        <v>72</v>
      </c>
      <c r="C346" t="s">
        <v>68</v>
      </c>
      <c r="D346" t="str">
        <f t="array" ref="D346">TEXT(Table26[[#This Row],[Date]],"MMMM")</f>
        <v>August</v>
      </c>
      <c r="E346">
        <v>500</v>
      </c>
      <c r="F346" t="s">
        <v>589</v>
      </c>
      <c r="G346" t="s">
        <v>1034</v>
      </c>
      <c r="H346" s="38">
        <v>46240</v>
      </c>
      <c r="I346" cm="1">
        <f t="array" ref="I346">IFERROR(INDEX('ALL STUDENTS'!$A:$A, MATCH(1, ('ALL STUDENTS'!$B:$B = B346) * ('ALL STUDENTS'!$C:$C = C346), 0)), "NOT FOUND")</f>
        <v>1503</v>
      </c>
      <c r="J346" t="str">
        <f>IF(Table26[[#This Row],[Fee]]&gt;500,Table26[[#This Row],[Fee]],"")</f>
        <v/>
      </c>
    </row>
    <row r="347" spans="1:10" hidden="1">
      <c r="A347">
        <v>346</v>
      </c>
      <c r="B347" t="s">
        <v>72</v>
      </c>
      <c r="C347" t="s">
        <v>68</v>
      </c>
      <c r="D347" t="str">
        <f t="array" ref="D347">TEXT(Table26[[#This Row],[Date]],"MMMM")</f>
        <v>August</v>
      </c>
      <c r="E347">
        <v>500</v>
      </c>
      <c r="F347" t="s">
        <v>589</v>
      </c>
      <c r="G347" t="s">
        <v>1035</v>
      </c>
      <c r="H347" s="38">
        <v>46240</v>
      </c>
      <c r="I347" cm="1">
        <f t="array" ref="I347">IFERROR(INDEX('ALL STUDENTS'!$A:$A, MATCH(1, ('ALL STUDENTS'!$B:$B = B347) * ('ALL STUDENTS'!$C:$C = C347), 0)), "NOT FOUND")</f>
        <v>1503</v>
      </c>
      <c r="J347" t="str">
        <f>IF(Table26[[#This Row],[Fee]]&gt;500,Table26[[#This Row],[Fee]],"")</f>
        <v/>
      </c>
    </row>
    <row r="348" spans="1:10" hidden="1">
      <c r="A348">
        <v>347</v>
      </c>
      <c r="B348" t="s">
        <v>191</v>
      </c>
      <c r="C348" t="s">
        <v>185</v>
      </c>
      <c r="D348" t="str">
        <f t="array" ref="D348">TEXT(Table26[[#This Row],[Date]],"MMMM")</f>
        <v>August</v>
      </c>
      <c r="E348">
        <v>500</v>
      </c>
      <c r="F348" t="s">
        <v>589</v>
      </c>
      <c r="G348" t="s">
        <v>1036</v>
      </c>
      <c r="H348" s="38">
        <v>46240</v>
      </c>
      <c r="I348" cm="1">
        <f t="array" ref="I348">IFERROR(INDEX('ALL STUDENTS'!$A:$A, MATCH(1, ('ALL STUDENTS'!$B:$B = B348) * ('ALL STUDENTS'!$C:$C = C348), 0)), "NOT FOUND")</f>
        <v>1797</v>
      </c>
      <c r="J348" t="str">
        <f>IF(Table26[[#This Row],[Fee]]&gt;500,Table26[[#This Row],[Fee]],"")</f>
        <v/>
      </c>
    </row>
    <row r="349" spans="1:10" hidden="1">
      <c r="A349">
        <v>348</v>
      </c>
      <c r="B349" t="s">
        <v>191</v>
      </c>
      <c r="C349" t="s">
        <v>185</v>
      </c>
      <c r="D349" t="str">
        <f t="array" ref="D349">TEXT(Table26[[#This Row],[Date]],"MMMM")</f>
        <v>August</v>
      </c>
      <c r="E349">
        <v>500</v>
      </c>
      <c r="F349" t="s">
        <v>589</v>
      </c>
      <c r="G349" t="s">
        <v>1037</v>
      </c>
      <c r="H349" s="38">
        <v>46240</v>
      </c>
      <c r="I349" cm="1">
        <f t="array" ref="I349">IFERROR(INDEX('ALL STUDENTS'!$A:$A, MATCH(1, ('ALL STUDENTS'!$B:$B = B349) * ('ALL STUDENTS'!$C:$C = C349), 0)), "NOT FOUND")</f>
        <v>1797</v>
      </c>
      <c r="J349" t="str">
        <f>IF(Table26[[#This Row],[Fee]]&gt;500,Table26[[#This Row],[Fee]],"")</f>
        <v/>
      </c>
    </row>
    <row r="350" spans="1:10" hidden="1">
      <c r="A350">
        <v>349</v>
      </c>
      <c r="B350" t="s">
        <v>191</v>
      </c>
      <c r="C350" t="s">
        <v>185</v>
      </c>
      <c r="D350" t="str">
        <f t="array" ref="D350">TEXT(Table26[[#This Row],[Date]],"MMMM")</f>
        <v>August</v>
      </c>
      <c r="E350">
        <v>500</v>
      </c>
      <c r="F350" t="s">
        <v>589</v>
      </c>
      <c r="G350" t="s">
        <v>1038</v>
      </c>
      <c r="H350" s="38">
        <v>46240</v>
      </c>
      <c r="I350" cm="1">
        <f t="array" ref="I350">IFERROR(INDEX('ALL STUDENTS'!$A:$A, MATCH(1, ('ALL STUDENTS'!$B:$B = B350) * ('ALL STUDENTS'!$C:$C = C350), 0)), "NOT FOUND")</f>
        <v>1797</v>
      </c>
      <c r="J350" t="str">
        <f>IF(Table26[[#This Row],[Fee]]&gt;500,Table26[[#This Row],[Fee]],"")</f>
        <v/>
      </c>
    </row>
    <row r="351" spans="1:10" hidden="1">
      <c r="A351">
        <v>350</v>
      </c>
      <c r="B351" t="s">
        <v>97</v>
      </c>
      <c r="C351" t="s">
        <v>87</v>
      </c>
      <c r="D351" t="str">
        <f t="array" ref="D351">TEXT(Table26[[#This Row],[Date]],"MMMM")</f>
        <v>August</v>
      </c>
      <c r="E351">
        <v>500</v>
      </c>
      <c r="F351" t="s">
        <v>589</v>
      </c>
      <c r="G351" t="s">
        <v>1039</v>
      </c>
      <c r="H351" s="38">
        <v>46239</v>
      </c>
      <c r="I351" cm="1">
        <f t="array" ref="I351">IFERROR(INDEX('ALL STUDENTS'!$A:$A, MATCH(1, ('ALL STUDENTS'!$B:$B = B351) * ('ALL STUDENTS'!$C:$C = C351), 0)), "NOT FOUND")</f>
        <v>1562</v>
      </c>
      <c r="J351" t="str">
        <f>IF(Table26[[#This Row],[Fee]]&gt;500,Table26[[#This Row],[Fee]],"")</f>
        <v/>
      </c>
    </row>
    <row r="352" spans="1:10" hidden="1">
      <c r="A352">
        <v>351</v>
      </c>
      <c r="B352" t="s">
        <v>153</v>
      </c>
      <c r="C352" t="s">
        <v>324</v>
      </c>
      <c r="D352" t="str">
        <f t="array" ref="D352">TEXT(Table26[[#This Row],[Date]],"MMMM")</f>
        <v>August</v>
      </c>
      <c r="E352">
        <v>500</v>
      </c>
      <c r="F352" t="s">
        <v>589</v>
      </c>
      <c r="G352" t="s">
        <v>1040</v>
      </c>
      <c r="H352" s="38">
        <v>46239</v>
      </c>
      <c r="I352" cm="1">
        <f t="array" ref="I352">IFERROR(INDEX('ALL STUDENTS'!$A:$A, MATCH(1, ('ALL STUDENTS'!$B:$B = B352) * ('ALL STUDENTS'!$C:$C = C352), 0)), "NOT FOUND")</f>
        <v>2439</v>
      </c>
      <c r="J352" t="str">
        <f>IF(Table26[[#This Row],[Fee]]&gt;500,Table26[[#This Row],[Fee]],"")</f>
        <v/>
      </c>
    </row>
    <row r="353" spans="1:10" hidden="1">
      <c r="A353">
        <v>352</v>
      </c>
      <c r="B353" t="s">
        <v>106</v>
      </c>
      <c r="C353" t="s">
        <v>102</v>
      </c>
      <c r="D353" t="str">
        <f t="array" ref="D353">TEXT(Table26[[#This Row],[Date]],"MMMM")</f>
        <v>August</v>
      </c>
      <c r="E353">
        <v>500</v>
      </c>
      <c r="F353" t="s">
        <v>589</v>
      </c>
      <c r="G353" t="s">
        <v>1041</v>
      </c>
      <c r="H353" s="38">
        <v>46240</v>
      </c>
      <c r="I353" cm="1">
        <f t="array" ref="I353">IFERROR(INDEX('ALL STUDENTS'!$A:$A, MATCH(1, ('ALL STUDENTS'!$B:$B = B353) * ('ALL STUDENTS'!$C:$C = C353), 0)), "NOT FOUND")</f>
        <v>1625</v>
      </c>
      <c r="J353" t="str">
        <f>IF(Table26[[#This Row],[Fee]]&gt;500,Table26[[#This Row],[Fee]],"")</f>
        <v/>
      </c>
    </row>
    <row r="354" spans="1:10" hidden="1">
      <c r="A354">
        <v>353</v>
      </c>
      <c r="B354" t="s">
        <v>550</v>
      </c>
      <c r="C354" t="s">
        <v>548</v>
      </c>
      <c r="D354" t="str">
        <f t="array" ref="D354">TEXT(Table26[[#This Row],[Date]],"MMMM")</f>
        <v>August</v>
      </c>
      <c r="E354">
        <v>500</v>
      </c>
      <c r="F354" t="s">
        <v>589</v>
      </c>
      <c r="G354" t="s">
        <v>1042</v>
      </c>
      <c r="H354" s="38">
        <v>46237</v>
      </c>
      <c r="I354" cm="1">
        <f t="array" ref="I354">IFERROR(INDEX('ALL STUDENTS'!$A:$A, MATCH(1, ('ALL STUDENTS'!$B:$B = B354) * ('ALL STUDENTS'!$C:$C = C354), 0)), "NOT FOUND")</f>
        <v>165</v>
      </c>
      <c r="J354" t="str">
        <f>IF(Table26[[#This Row],[Fee]]&gt;500,Table26[[#This Row],[Fee]],"")</f>
        <v/>
      </c>
    </row>
    <row r="355" spans="1:10" hidden="1">
      <c r="A355">
        <v>354</v>
      </c>
      <c r="B355" t="s">
        <v>550</v>
      </c>
      <c r="C355" t="s">
        <v>548</v>
      </c>
      <c r="D355" t="str">
        <f t="array" ref="D355">TEXT(Table26[[#This Row],[Date]],"MMMM")</f>
        <v>August</v>
      </c>
      <c r="E355">
        <v>500</v>
      </c>
      <c r="F355" t="s">
        <v>589</v>
      </c>
      <c r="G355" t="s">
        <v>1043</v>
      </c>
      <c r="H355" s="38">
        <v>46237</v>
      </c>
      <c r="I355" cm="1">
        <f t="array" ref="I355">IFERROR(INDEX('ALL STUDENTS'!$A:$A, MATCH(1, ('ALL STUDENTS'!$B:$B = B355) * ('ALL STUDENTS'!$C:$C = C355), 0)), "NOT FOUND")</f>
        <v>165</v>
      </c>
      <c r="J355" t="str">
        <f>IF(Table26[[#This Row],[Fee]]&gt;500,Table26[[#This Row],[Fee]],"")</f>
        <v/>
      </c>
    </row>
    <row r="356" spans="1:10" hidden="1">
      <c r="A356">
        <v>355</v>
      </c>
      <c r="B356" t="s">
        <v>550</v>
      </c>
      <c r="C356" t="s">
        <v>548</v>
      </c>
      <c r="D356" t="str">
        <f t="array" ref="D356">TEXT(Table26[[#This Row],[Date]],"MMMM")</f>
        <v>August</v>
      </c>
      <c r="E356">
        <v>500</v>
      </c>
      <c r="F356" t="s">
        <v>589</v>
      </c>
      <c r="G356" t="s">
        <v>1044</v>
      </c>
      <c r="H356" s="38">
        <v>46237</v>
      </c>
      <c r="I356" cm="1">
        <f t="array" ref="I356">IFERROR(INDEX('ALL STUDENTS'!$A:$A, MATCH(1, ('ALL STUDENTS'!$B:$B = B356) * ('ALL STUDENTS'!$C:$C = C356), 0)), "NOT FOUND")</f>
        <v>165</v>
      </c>
      <c r="J356" t="str">
        <f>IF(Table26[[#This Row],[Fee]]&gt;500,Table26[[#This Row],[Fee]],"")</f>
        <v/>
      </c>
    </row>
    <row r="357" spans="1:10" hidden="1">
      <c r="A357">
        <v>356</v>
      </c>
      <c r="B357" t="s">
        <v>207</v>
      </c>
      <c r="C357" t="s">
        <v>205</v>
      </c>
      <c r="D357" t="str">
        <f t="array" ref="D357">TEXT(Table26[[#This Row],[Date]],"MMMM")</f>
        <v>August</v>
      </c>
      <c r="E357">
        <v>500</v>
      </c>
      <c r="F357" t="s">
        <v>589</v>
      </c>
      <c r="G357" t="s">
        <v>1045</v>
      </c>
      <c r="H357" s="38">
        <v>46237</v>
      </c>
      <c r="I357" cm="1">
        <f t="array" ref="I357">IFERROR(INDEX('ALL STUDENTS'!$A:$A, MATCH(1, ('ALL STUDENTS'!$B:$B = B357) * ('ALL STUDENTS'!$C:$C = C357), 0)), "NOT FOUND")</f>
        <v>1973</v>
      </c>
      <c r="J357" t="str">
        <f>IF(Table26[[#This Row],[Fee]]&gt;500,Table26[[#This Row],[Fee]],"")</f>
        <v/>
      </c>
    </row>
    <row r="358" spans="1:10" hidden="1">
      <c r="A358">
        <v>357</v>
      </c>
      <c r="B358" t="s">
        <v>207</v>
      </c>
      <c r="C358" t="s">
        <v>205</v>
      </c>
      <c r="D358" t="str">
        <f t="array" ref="D358">TEXT(Table26[[#This Row],[Date]],"MMMM")</f>
        <v>August</v>
      </c>
      <c r="E358">
        <v>500</v>
      </c>
      <c r="F358" t="s">
        <v>589</v>
      </c>
      <c r="G358" t="s">
        <v>1046</v>
      </c>
      <c r="H358" s="38">
        <v>46237</v>
      </c>
      <c r="I358" cm="1">
        <f t="array" ref="I358">IFERROR(INDEX('ALL STUDENTS'!$A:$A, MATCH(1, ('ALL STUDENTS'!$B:$B = B358) * ('ALL STUDENTS'!$C:$C = C358), 0)), "NOT FOUND")</f>
        <v>1973</v>
      </c>
      <c r="J358" t="str">
        <f>IF(Table26[[#This Row],[Fee]]&gt;500,Table26[[#This Row],[Fee]],"")</f>
        <v/>
      </c>
    </row>
    <row r="359" spans="1:10" hidden="1">
      <c r="A359">
        <v>358</v>
      </c>
      <c r="B359" t="s">
        <v>207</v>
      </c>
      <c r="C359" t="s">
        <v>205</v>
      </c>
      <c r="D359" t="str">
        <f t="array" ref="D359">TEXT(Table26[[#This Row],[Date]],"MMMM")</f>
        <v>August</v>
      </c>
      <c r="E359">
        <v>500</v>
      </c>
      <c r="F359" t="s">
        <v>589</v>
      </c>
      <c r="G359" t="s">
        <v>1047</v>
      </c>
      <c r="H359" s="38">
        <v>46237</v>
      </c>
      <c r="I359" cm="1">
        <f t="array" ref="I359">IFERROR(INDEX('ALL STUDENTS'!$A:$A, MATCH(1, ('ALL STUDENTS'!$B:$B = B359) * ('ALL STUDENTS'!$C:$C = C359), 0)), "NOT FOUND")</f>
        <v>1973</v>
      </c>
      <c r="J359" t="str">
        <f>IF(Table26[[#This Row],[Fee]]&gt;500,Table26[[#This Row],[Fee]],"")</f>
        <v/>
      </c>
    </row>
    <row r="360" spans="1:10" hidden="1">
      <c r="A360">
        <v>359</v>
      </c>
      <c r="B360" t="s">
        <v>198</v>
      </c>
      <c r="C360" t="s">
        <v>195</v>
      </c>
      <c r="D360" t="str">
        <f t="array" ref="D360">TEXT(Table26[[#This Row],[Date]],"MMMM")</f>
        <v>August</v>
      </c>
      <c r="E360">
        <v>500</v>
      </c>
      <c r="F360" t="s">
        <v>589</v>
      </c>
      <c r="G360" t="s">
        <v>1048</v>
      </c>
      <c r="H360" s="38">
        <v>46240</v>
      </c>
      <c r="I360" cm="1">
        <f t="array" ref="I360">IFERROR(INDEX('ALL STUDENTS'!$A:$A, MATCH(1, ('ALL STUDENTS'!$B:$B = B360) * ('ALL STUDENTS'!$C:$C = C360), 0)), "NOT FOUND")</f>
        <v>1918</v>
      </c>
      <c r="J360" t="str">
        <f>IF(Table26[[#This Row],[Fee]]&gt;500,Table26[[#This Row],[Fee]],"")</f>
        <v/>
      </c>
    </row>
    <row r="361" spans="1:10">
      <c r="A361">
        <v>360</v>
      </c>
      <c r="B361" t="s">
        <v>235</v>
      </c>
      <c r="C361" t="s">
        <v>232</v>
      </c>
      <c r="D361" t="str">
        <f t="array" ref="D361">TEXT(Table26[[#This Row],[Date]],"MMMM")</f>
        <v>August</v>
      </c>
      <c r="E361">
        <v>500</v>
      </c>
      <c r="F361" t="s">
        <v>589</v>
      </c>
      <c r="G361" t="s">
        <v>1049</v>
      </c>
      <c r="H361" s="38">
        <v>46240</v>
      </c>
      <c r="I361" t="str" cm="1">
        <f t="array" ref="I361">IFERROR(INDEX('ALL STUDENTS'!$A:$A, MATCH(1, ('ALL STUDENTS'!$B:$B = B361) * ('ALL STUDENTS'!$C:$C = C361), 0)), "NOT FOUND")</f>
        <v>NOT FOUND</v>
      </c>
      <c r="J361" t="str">
        <f>IF(Table26[[#This Row],[Fee]]&gt;500,Table26[[#This Row],[Fee]],"")</f>
        <v/>
      </c>
    </row>
    <row r="362" spans="1:10" hidden="1">
      <c r="A362">
        <v>361</v>
      </c>
      <c r="B362" t="s">
        <v>214</v>
      </c>
      <c r="C362" t="s">
        <v>211</v>
      </c>
      <c r="D362" t="str">
        <f t="array" ref="D362">TEXT(Table26[[#This Row],[Date]],"MMMM")</f>
        <v>August</v>
      </c>
      <c r="E362">
        <v>500</v>
      </c>
      <c r="F362" t="s">
        <v>589</v>
      </c>
      <c r="G362" t="s">
        <v>1050</v>
      </c>
      <c r="H362" s="38">
        <v>46239</v>
      </c>
      <c r="I362" cm="1">
        <f t="array" ref="I362">IFERROR(INDEX('ALL STUDENTS'!$A:$A, MATCH(1, ('ALL STUDENTS'!$B:$B = B362) * ('ALL STUDENTS'!$C:$C = C362), 0)), "NOT FOUND")</f>
        <v>2001</v>
      </c>
      <c r="J362" t="str">
        <f>IF(Table26[[#This Row],[Fee]]&gt;500,Table26[[#This Row],[Fee]],"")</f>
        <v/>
      </c>
    </row>
    <row r="363" spans="1:10" hidden="1">
      <c r="A363">
        <v>362</v>
      </c>
      <c r="B363" t="s">
        <v>23</v>
      </c>
      <c r="C363" t="s">
        <v>20</v>
      </c>
      <c r="D363" t="str">
        <f t="array" ref="D363">TEXT(Table26[[#This Row],[Date]],"MMMM")</f>
        <v>August</v>
      </c>
      <c r="E363">
        <v>500</v>
      </c>
      <c r="F363" t="s">
        <v>589</v>
      </c>
      <c r="G363" t="s">
        <v>1051</v>
      </c>
      <c r="H363" s="38">
        <v>46239</v>
      </c>
      <c r="I363" cm="1">
        <f t="array" ref="I363">IFERROR(INDEX('ALL STUDENTS'!$A:$A, MATCH(1, ('ALL STUDENTS'!$B:$B = B363) * ('ALL STUDENTS'!$C:$C = C363), 0)), "NOT FOUND")</f>
        <v>3051</v>
      </c>
      <c r="J363" t="str">
        <f>IF(Table26[[#This Row],[Fee]]&gt;500,Table26[[#This Row],[Fee]],"")</f>
        <v/>
      </c>
    </row>
    <row r="364" spans="1:10" hidden="1">
      <c r="A364">
        <v>363</v>
      </c>
      <c r="B364" t="s">
        <v>173</v>
      </c>
      <c r="C364" t="s">
        <v>171</v>
      </c>
      <c r="D364" t="str">
        <f t="array" ref="D364">TEXT(Table26[[#This Row],[Date]],"MMMM")</f>
        <v>August</v>
      </c>
      <c r="E364">
        <v>500</v>
      </c>
      <c r="F364" t="s">
        <v>589</v>
      </c>
      <c r="G364" t="s">
        <v>1052</v>
      </c>
      <c r="H364" s="38">
        <v>46240</v>
      </c>
      <c r="I364" cm="1">
        <f t="array" ref="I364">IFERROR(INDEX('ALL STUDENTS'!$A:$A, MATCH(1, ('ALL STUDENTS'!$B:$B = B364) * ('ALL STUDENTS'!$C:$C = C364), 0)), "NOT FOUND")</f>
        <v>1849</v>
      </c>
      <c r="J364" t="str">
        <f>IF(Table26[[#This Row],[Fee]]&gt;500,Table26[[#This Row],[Fee]],"")</f>
        <v/>
      </c>
    </row>
    <row r="365" spans="1:10" hidden="1">
      <c r="A365">
        <v>364</v>
      </c>
      <c r="B365" t="s">
        <v>173</v>
      </c>
      <c r="C365" t="s">
        <v>171</v>
      </c>
      <c r="D365" t="str">
        <f t="array" ref="D365">TEXT(Table26[[#This Row],[Date]],"MMMM")</f>
        <v>September</v>
      </c>
      <c r="E365">
        <v>500</v>
      </c>
      <c r="F365" t="s">
        <v>589</v>
      </c>
      <c r="G365" t="s">
        <v>1053</v>
      </c>
      <c r="H365" s="38">
        <v>46273</v>
      </c>
      <c r="I365" cm="1">
        <f t="array" ref="I365">IFERROR(INDEX('ALL STUDENTS'!$A:$A, MATCH(1, ('ALL STUDENTS'!$B:$B = B365) * ('ALL STUDENTS'!$C:$C = C365), 0)), "NOT FOUND")</f>
        <v>1849</v>
      </c>
      <c r="J365" t="str">
        <f>IF(Table26[[#This Row],[Fee]]&gt;500,Table26[[#This Row],[Fee]],"")</f>
        <v/>
      </c>
    </row>
    <row r="366" spans="1:10" hidden="1">
      <c r="A366">
        <v>365</v>
      </c>
      <c r="B366" t="s">
        <v>38</v>
      </c>
      <c r="C366" t="s">
        <v>32</v>
      </c>
      <c r="D366" t="str">
        <f t="array" ref="D366">TEXT(Table26[[#This Row],[Date]],"MMMM")</f>
        <v>August</v>
      </c>
      <c r="E366">
        <v>500</v>
      </c>
      <c r="F366" t="s">
        <v>589</v>
      </c>
      <c r="G366" t="s">
        <v>1054</v>
      </c>
      <c r="H366" s="38">
        <v>46240</v>
      </c>
      <c r="I366" cm="1">
        <f t="array" ref="I366">IFERROR(INDEX('ALL STUDENTS'!$A:$A, MATCH(1, ('ALL STUDENTS'!$B:$B = B366) * ('ALL STUDENTS'!$C:$C = C366), 0)), "NOT FOUND")</f>
        <v>3086</v>
      </c>
      <c r="J366" t="str">
        <f>IF(Table26[[#This Row],[Fee]]&gt;500,Table26[[#This Row],[Fee]],"")</f>
        <v/>
      </c>
    </row>
    <row r="367" spans="1:10" hidden="1">
      <c r="A367">
        <v>366</v>
      </c>
      <c r="B367" t="s">
        <v>38</v>
      </c>
      <c r="C367" t="s">
        <v>32</v>
      </c>
      <c r="D367" t="str">
        <f t="array" ref="D367">TEXT(Table26[[#This Row],[Date]],"MMMM")</f>
        <v>August</v>
      </c>
      <c r="E367">
        <v>500</v>
      </c>
      <c r="F367" t="s">
        <v>589</v>
      </c>
      <c r="G367" t="s">
        <v>1055</v>
      </c>
      <c r="H367" s="38">
        <v>46240</v>
      </c>
      <c r="I367" cm="1">
        <f t="array" ref="I367">IFERROR(INDEX('ALL STUDENTS'!$A:$A, MATCH(1, ('ALL STUDENTS'!$B:$B = B367) * ('ALL STUDENTS'!$C:$C = C367), 0)), "NOT FOUND")</f>
        <v>3086</v>
      </c>
      <c r="J367" t="str">
        <f>IF(Table26[[#This Row],[Fee]]&gt;500,Table26[[#This Row],[Fee]],"")</f>
        <v/>
      </c>
    </row>
    <row r="368" spans="1:10" hidden="1">
      <c r="A368">
        <v>367</v>
      </c>
      <c r="B368" t="s">
        <v>38</v>
      </c>
      <c r="C368" t="s">
        <v>32</v>
      </c>
      <c r="D368" t="str">
        <f t="array" ref="D368">TEXT(Table26[[#This Row],[Date]],"MMMM")</f>
        <v>August</v>
      </c>
      <c r="E368">
        <v>500</v>
      </c>
      <c r="F368" t="s">
        <v>589</v>
      </c>
      <c r="G368" t="s">
        <v>1056</v>
      </c>
      <c r="H368" s="38">
        <v>46240</v>
      </c>
      <c r="I368" cm="1">
        <f t="array" ref="I368">IFERROR(INDEX('ALL STUDENTS'!$A:$A, MATCH(1, ('ALL STUDENTS'!$B:$B = B368) * ('ALL STUDENTS'!$C:$C = C368), 0)), "NOT FOUND")</f>
        <v>3086</v>
      </c>
      <c r="J368" t="str">
        <f>IF(Table26[[#This Row],[Fee]]&gt;500,Table26[[#This Row],[Fee]],"")</f>
        <v/>
      </c>
    </row>
    <row r="369" spans="1:10" hidden="1">
      <c r="A369">
        <v>368</v>
      </c>
      <c r="B369" t="s">
        <v>360</v>
      </c>
      <c r="C369" t="s">
        <v>356</v>
      </c>
      <c r="D369" t="str">
        <f t="array" ref="D369">TEXT(Table26[[#This Row],[Date]],"MMMM")</f>
        <v>August</v>
      </c>
      <c r="E369">
        <v>500</v>
      </c>
      <c r="F369" t="s">
        <v>589</v>
      </c>
      <c r="G369" t="s">
        <v>1057</v>
      </c>
      <c r="H369" s="38">
        <v>46240</v>
      </c>
      <c r="I369" cm="1">
        <f t="array" ref="I369">IFERROR(INDEX('ALL STUDENTS'!$A:$A, MATCH(1, ('ALL STUDENTS'!$B:$B = B369) * ('ALL STUDENTS'!$C:$C = C369), 0)), "NOT FOUND")</f>
        <v>774</v>
      </c>
      <c r="J369" t="str">
        <f>IF(Table26[[#This Row],[Fee]]&gt;500,Table26[[#This Row],[Fee]],"")</f>
        <v/>
      </c>
    </row>
    <row r="370" spans="1:10" hidden="1">
      <c r="A370">
        <v>369</v>
      </c>
      <c r="B370" t="s">
        <v>360</v>
      </c>
      <c r="C370" t="s">
        <v>356</v>
      </c>
      <c r="D370" t="str">
        <f t="array" ref="D370">TEXT(Table26[[#This Row],[Date]],"MMMM")</f>
        <v>August</v>
      </c>
      <c r="E370">
        <v>500</v>
      </c>
      <c r="F370" t="s">
        <v>589</v>
      </c>
      <c r="G370" t="s">
        <v>1058</v>
      </c>
      <c r="H370" s="38">
        <v>46240</v>
      </c>
      <c r="I370" cm="1">
        <f t="array" ref="I370">IFERROR(INDEX('ALL STUDENTS'!$A:$A, MATCH(1, ('ALL STUDENTS'!$B:$B = B370) * ('ALL STUDENTS'!$C:$C = C370), 0)), "NOT FOUND")</f>
        <v>774</v>
      </c>
      <c r="J370" t="str">
        <f>IF(Table26[[#This Row],[Fee]]&gt;500,Table26[[#This Row],[Fee]],"")</f>
        <v/>
      </c>
    </row>
    <row r="371" spans="1:10" hidden="1">
      <c r="A371">
        <v>370</v>
      </c>
      <c r="B371" t="s">
        <v>360</v>
      </c>
      <c r="C371" t="s">
        <v>356</v>
      </c>
      <c r="D371" t="str">
        <f t="array" ref="D371">TEXT(Table26[[#This Row],[Date]],"MMMM")</f>
        <v>August</v>
      </c>
      <c r="E371">
        <v>500</v>
      </c>
      <c r="F371" t="s">
        <v>589</v>
      </c>
      <c r="G371" t="s">
        <v>1059</v>
      </c>
      <c r="H371" s="38">
        <v>46240</v>
      </c>
      <c r="I371" cm="1">
        <f t="array" ref="I371">IFERROR(INDEX('ALL STUDENTS'!$A:$A, MATCH(1, ('ALL STUDENTS'!$B:$B = B371) * ('ALL STUDENTS'!$C:$C = C371), 0)), "NOT FOUND")</f>
        <v>774</v>
      </c>
      <c r="J371" t="str">
        <f>IF(Table26[[#This Row],[Fee]]&gt;500,Table26[[#This Row],[Fee]],"")</f>
        <v/>
      </c>
    </row>
    <row r="372" spans="1:10" hidden="1">
      <c r="A372">
        <v>371</v>
      </c>
      <c r="B372" t="s">
        <v>288</v>
      </c>
      <c r="C372" t="s">
        <v>286</v>
      </c>
      <c r="D372" t="str">
        <f t="array" ref="D372">TEXT(Table26[[#This Row],[Date]],"MMMM")</f>
        <v>August</v>
      </c>
      <c r="E372">
        <v>500</v>
      </c>
      <c r="F372" t="s">
        <v>589</v>
      </c>
      <c r="G372" t="s">
        <v>1060</v>
      </c>
      <c r="H372" s="38">
        <v>46240</v>
      </c>
      <c r="I372" cm="1">
        <f t="array" ref="I372">IFERROR(INDEX('ALL STUDENTS'!$A:$A, MATCH(1, ('ALL STUDENTS'!$B:$B = B372) * ('ALL STUDENTS'!$C:$C = C372), 0)), "NOT FOUND")</f>
        <v>2242</v>
      </c>
      <c r="J372" t="str">
        <f>IF(Table26[[#This Row],[Fee]]&gt;500,Table26[[#This Row],[Fee]],"")</f>
        <v/>
      </c>
    </row>
    <row r="373" spans="1:10" hidden="1">
      <c r="A373">
        <v>372</v>
      </c>
      <c r="B373" t="s">
        <v>288</v>
      </c>
      <c r="C373" t="s">
        <v>286</v>
      </c>
      <c r="D373" t="str">
        <f t="array" ref="D373">TEXT(Table26[[#This Row],[Date]],"MMMM")</f>
        <v>August</v>
      </c>
      <c r="E373">
        <v>500</v>
      </c>
      <c r="F373" t="s">
        <v>589</v>
      </c>
      <c r="G373" t="s">
        <v>1061</v>
      </c>
      <c r="H373" s="38">
        <v>46240</v>
      </c>
      <c r="I373" cm="1">
        <f t="array" ref="I373">IFERROR(INDEX('ALL STUDENTS'!$A:$A, MATCH(1, ('ALL STUDENTS'!$B:$B = B373) * ('ALL STUDENTS'!$C:$C = C373), 0)), "NOT FOUND")</f>
        <v>2242</v>
      </c>
      <c r="J373" t="str">
        <f>IF(Table26[[#This Row],[Fee]]&gt;500,Table26[[#This Row],[Fee]],"")</f>
        <v/>
      </c>
    </row>
    <row r="374" spans="1:10" hidden="1">
      <c r="A374">
        <v>373</v>
      </c>
      <c r="B374" t="s">
        <v>288</v>
      </c>
      <c r="C374" t="s">
        <v>286</v>
      </c>
      <c r="D374" t="str">
        <f t="array" ref="D374">TEXT(Table26[[#This Row],[Date]],"MMMM")</f>
        <v>August</v>
      </c>
      <c r="E374">
        <v>500</v>
      </c>
      <c r="F374" t="s">
        <v>589</v>
      </c>
      <c r="G374" t="s">
        <v>1062</v>
      </c>
      <c r="H374" s="38">
        <v>46240</v>
      </c>
      <c r="I374" cm="1">
        <f t="array" ref="I374">IFERROR(INDEX('ALL STUDENTS'!$A:$A, MATCH(1, ('ALL STUDENTS'!$B:$B = B374) * ('ALL STUDENTS'!$C:$C = C374), 0)), "NOT FOUND")</f>
        <v>2242</v>
      </c>
      <c r="J374" t="str">
        <f>IF(Table26[[#This Row],[Fee]]&gt;500,Table26[[#This Row],[Fee]],"")</f>
        <v/>
      </c>
    </row>
    <row r="375" spans="1:10" hidden="1">
      <c r="A375">
        <v>374</v>
      </c>
      <c r="B375" t="s">
        <v>24</v>
      </c>
      <c r="C375" t="s">
        <v>20</v>
      </c>
      <c r="D375" t="str">
        <f t="array" ref="D375">TEXT(Table26[[#This Row],[Date]],"MMMM")</f>
        <v>August</v>
      </c>
      <c r="E375">
        <v>500</v>
      </c>
      <c r="F375" t="s">
        <v>589</v>
      </c>
      <c r="G375" t="s">
        <v>1063</v>
      </c>
      <c r="H375" s="38">
        <v>46240</v>
      </c>
      <c r="I375" cm="1">
        <f t="array" ref="I375">IFERROR(INDEX('ALL STUDENTS'!$A:$A, MATCH(1, ('ALL STUDENTS'!$B:$B = B375) * ('ALL STUDENTS'!$C:$C = C375), 0)), "NOT FOUND")</f>
        <v>3064</v>
      </c>
      <c r="J375" t="str">
        <f>IF(Table26[[#This Row],[Fee]]&gt;500,Table26[[#This Row],[Fee]],"")</f>
        <v/>
      </c>
    </row>
    <row r="376" spans="1:10" hidden="1">
      <c r="A376">
        <v>375</v>
      </c>
      <c r="B376" t="s">
        <v>24</v>
      </c>
      <c r="C376" t="s">
        <v>20</v>
      </c>
      <c r="D376" t="str">
        <f t="array" ref="D376">TEXT(Table26[[#This Row],[Date]],"MMMM")</f>
        <v>August</v>
      </c>
      <c r="E376">
        <v>500</v>
      </c>
      <c r="F376" t="s">
        <v>589</v>
      </c>
      <c r="G376" t="s">
        <v>1064</v>
      </c>
      <c r="H376" s="38">
        <v>46240</v>
      </c>
      <c r="I376" cm="1">
        <f t="array" ref="I376">IFERROR(INDEX('ALL STUDENTS'!$A:$A, MATCH(1, ('ALL STUDENTS'!$B:$B = B376) * ('ALL STUDENTS'!$C:$C = C376), 0)), "NOT FOUND")</f>
        <v>3064</v>
      </c>
      <c r="J376" t="str">
        <f>IF(Table26[[#This Row],[Fee]]&gt;500,Table26[[#This Row],[Fee]],"")</f>
        <v/>
      </c>
    </row>
    <row r="377" spans="1:10" hidden="1">
      <c r="A377">
        <v>376</v>
      </c>
      <c r="B377" t="s">
        <v>24</v>
      </c>
      <c r="C377" t="s">
        <v>20</v>
      </c>
      <c r="D377" t="str">
        <f t="array" ref="D377">TEXT(Table26[[#This Row],[Date]],"MMMM")</f>
        <v>August</v>
      </c>
      <c r="E377">
        <v>500</v>
      </c>
      <c r="F377" t="s">
        <v>589</v>
      </c>
      <c r="G377" t="s">
        <v>1065</v>
      </c>
      <c r="H377" s="38">
        <v>46240</v>
      </c>
      <c r="I377" cm="1">
        <f t="array" ref="I377">IFERROR(INDEX('ALL STUDENTS'!$A:$A, MATCH(1, ('ALL STUDENTS'!$B:$B = B377) * ('ALL STUDENTS'!$C:$C = C377), 0)), "NOT FOUND")</f>
        <v>3064</v>
      </c>
      <c r="J377" t="str">
        <f>IF(Table26[[#This Row],[Fee]]&gt;500,Table26[[#This Row],[Fee]],"")</f>
        <v/>
      </c>
    </row>
    <row r="378" spans="1:10" hidden="1">
      <c r="A378">
        <v>377</v>
      </c>
      <c r="B378" t="s">
        <v>39</v>
      </c>
      <c r="C378" t="s">
        <v>32</v>
      </c>
      <c r="D378" t="str">
        <f t="array" ref="D378">TEXT(Table26[[#This Row],[Date]],"MMMM")</f>
        <v>August</v>
      </c>
      <c r="E378">
        <v>500</v>
      </c>
      <c r="F378" t="s">
        <v>589</v>
      </c>
      <c r="G378" t="s">
        <v>1066</v>
      </c>
      <c r="H378" s="38">
        <v>46240</v>
      </c>
      <c r="I378" cm="1">
        <f t="array" ref="I378">IFERROR(INDEX('ALL STUDENTS'!$A:$A, MATCH(1, ('ALL STUDENTS'!$B:$B = B378) * ('ALL STUDENTS'!$C:$C = C378), 0)), "NOT FOUND")</f>
        <v>3094</v>
      </c>
      <c r="J378" t="str">
        <f>IF(Table26[[#This Row],[Fee]]&gt;500,Table26[[#This Row],[Fee]],"")</f>
        <v/>
      </c>
    </row>
    <row r="379" spans="1:10" hidden="1">
      <c r="A379">
        <v>378</v>
      </c>
      <c r="B379" t="s">
        <v>510</v>
      </c>
      <c r="C379" t="s">
        <v>509</v>
      </c>
      <c r="D379" t="str">
        <f t="array" ref="D379">TEXT(Table26[[#This Row],[Date]],"MMMM")</f>
        <v>August</v>
      </c>
      <c r="E379">
        <v>500</v>
      </c>
      <c r="F379" t="s">
        <v>589</v>
      </c>
      <c r="G379" t="s">
        <v>1067</v>
      </c>
      <c r="H379" s="38">
        <v>46240</v>
      </c>
      <c r="I379" cm="1">
        <f t="array" ref="I379">IFERROR(INDEX('ALL STUDENTS'!$A:$A, MATCH(1, ('ALL STUDENTS'!$B:$B = B379) * ('ALL STUDENTS'!$C:$C = C379), 0)), "NOT FOUND")</f>
        <v>478</v>
      </c>
      <c r="J379" t="str">
        <f>IF(Table26[[#This Row],[Fee]]&gt;500,Table26[[#This Row],[Fee]],"")</f>
        <v/>
      </c>
    </row>
    <row r="380" spans="1:10" hidden="1">
      <c r="A380">
        <v>379</v>
      </c>
      <c r="B380" t="s">
        <v>40</v>
      </c>
      <c r="C380" t="s">
        <v>32</v>
      </c>
      <c r="D380" t="str">
        <f t="array" ref="D380">TEXT(Table26[[#This Row],[Date]],"MMMM")</f>
        <v>August</v>
      </c>
      <c r="E380">
        <v>500</v>
      </c>
      <c r="F380" t="s">
        <v>589</v>
      </c>
      <c r="G380" t="s">
        <v>1068</v>
      </c>
      <c r="H380" s="38">
        <v>46240</v>
      </c>
      <c r="I380" cm="1">
        <f t="array" ref="I380">IFERROR(INDEX('ALL STUDENTS'!$A:$A, MATCH(1, ('ALL STUDENTS'!$B:$B = B380) * ('ALL STUDENTS'!$C:$C = C380), 0)), "NOT FOUND")</f>
        <v>3095</v>
      </c>
      <c r="J380" t="str">
        <f>IF(Table26[[#This Row],[Fee]]&gt;500,Table26[[#This Row],[Fee]],"")</f>
        <v/>
      </c>
    </row>
    <row r="381" spans="1:10" hidden="1">
      <c r="A381">
        <v>380</v>
      </c>
      <c r="B381" t="s">
        <v>215</v>
      </c>
      <c r="C381" t="s">
        <v>211</v>
      </c>
      <c r="D381" t="str">
        <f t="array" ref="D381">TEXT(Table26[[#This Row],[Date]],"MMMM")</f>
        <v>August</v>
      </c>
      <c r="E381">
        <v>500</v>
      </c>
      <c r="F381" t="s">
        <v>589</v>
      </c>
      <c r="G381" t="s">
        <v>1069</v>
      </c>
      <c r="H381" s="38">
        <v>46240</v>
      </c>
      <c r="I381" cm="1">
        <f t="array" ref="I381">IFERROR(INDEX('ALL STUDENTS'!$A:$A, MATCH(1, ('ALL STUDENTS'!$B:$B = B381) * ('ALL STUDENTS'!$C:$C = C381), 0)), "NOT FOUND")</f>
        <v>2007</v>
      </c>
      <c r="J381" t="str">
        <f>IF(Table26[[#This Row],[Fee]]&gt;500,Table26[[#This Row],[Fee]],"")</f>
        <v/>
      </c>
    </row>
    <row r="382" spans="1:10" hidden="1">
      <c r="A382">
        <v>381</v>
      </c>
      <c r="B382" t="s">
        <v>215</v>
      </c>
      <c r="C382" t="s">
        <v>211</v>
      </c>
      <c r="D382" t="str">
        <f t="array" ref="D382">TEXT(Table26[[#This Row],[Date]],"MMMM")</f>
        <v>August</v>
      </c>
      <c r="E382">
        <v>500</v>
      </c>
      <c r="F382" t="s">
        <v>589</v>
      </c>
      <c r="G382" t="s">
        <v>1070</v>
      </c>
      <c r="H382" s="38">
        <v>46240</v>
      </c>
      <c r="I382" cm="1">
        <f t="array" ref="I382">IFERROR(INDEX('ALL STUDENTS'!$A:$A, MATCH(1, ('ALL STUDENTS'!$B:$B = B382) * ('ALL STUDENTS'!$C:$C = C382), 0)), "NOT FOUND")</f>
        <v>2007</v>
      </c>
      <c r="J382" t="str">
        <f>IF(Table26[[#This Row],[Fee]]&gt;500,Table26[[#This Row],[Fee]],"")</f>
        <v/>
      </c>
    </row>
    <row r="383" spans="1:10" hidden="1">
      <c r="A383">
        <v>382</v>
      </c>
      <c r="B383" t="s">
        <v>215</v>
      </c>
      <c r="C383" t="s">
        <v>211</v>
      </c>
      <c r="D383" t="str">
        <f t="array" ref="D383">TEXT(Table26[[#This Row],[Date]],"MMMM")</f>
        <v>August</v>
      </c>
      <c r="E383">
        <v>500</v>
      </c>
      <c r="F383" t="s">
        <v>589</v>
      </c>
      <c r="G383" t="s">
        <v>1071</v>
      </c>
      <c r="H383" s="38">
        <v>46240</v>
      </c>
      <c r="I383" cm="1">
        <f t="array" ref="I383">IFERROR(INDEX('ALL STUDENTS'!$A:$A, MATCH(1, ('ALL STUDENTS'!$B:$B = B383) * ('ALL STUDENTS'!$C:$C = C383), 0)), "NOT FOUND")</f>
        <v>2007</v>
      </c>
      <c r="J383" t="str">
        <f>IF(Table26[[#This Row],[Fee]]&gt;500,Table26[[#This Row],[Fee]],"")</f>
        <v/>
      </c>
    </row>
    <row r="384" spans="1:10" hidden="1">
      <c r="A384">
        <v>383</v>
      </c>
      <c r="B384" t="s">
        <v>199</v>
      </c>
      <c r="C384" t="s">
        <v>195</v>
      </c>
      <c r="D384" t="str">
        <f t="array" ref="D384">TEXT(Table26[[#This Row],[Date]],"MMMM")</f>
        <v>August</v>
      </c>
      <c r="E384">
        <v>500</v>
      </c>
      <c r="F384" t="s">
        <v>589</v>
      </c>
      <c r="G384" t="s">
        <v>1072</v>
      </c>
      <c r="H384" s="38">
        <v>46241</v>
      </c>
      <c r="I384" cm="1">
        <f t="array" ref="I384">IFERROR(INDEX('ALL STUDENTS'!$A:$A, MATCH(1, ('ALL STUDENTS'!$B:$B = B384) * ('ALL STUDENTS'!$C:$C = C384), 0)), "NOT FOUND")</f>
        <v>1934</v>
      </c>
      <c r="J384" t="str">
        <f>IF(Table26[[#This Row],[Fee]]&gt;500,Table26[[#This Row],[Fee]],"")</f>
        <v/>
      </c>
    </row>
    <row r="385" spans="1:10" hidden="1">
      <c r="A385">
        <v>384</v>
      </c>
      <c r="B385" t="s">
        <v>199</v>
      </c>
      <c r="C385" t="s">
        <v>195</v>
      </c>
      <c r="D385" t="str">
        <f t="array" ref="D385">TEXT(Table26[[#This Row],[Date]],"MMMM")</f>
        <v>August</v>
      </c>
      <c r="E385">
        <v>500</v>
      </c>
      <c r="F385" t="s">
        <v>589</v>
      </c>
      <c r="G385" t="s">
        <v>1073</v>
      </c>
      <c r="H385" s="38">
        <v>46241</v>
      </c>
      <c r="I385" cm="1">
        <f t="array" ref="I385">IFERROR(INDEX('ALL STUDENTS'!$A:$A, MATCH(1, ('ALL STUDENTS'!$B:$B = B385) * ('ALL STUDENTS'!$C:$C = C385), 0)), "NOT FOUND")</f>
        <v>1934</v>
      </c>
      <c r="J385" t="str">
        <f>IF(Table26[[#This Row],[Fee]]&gt;500,Table26[[#This Row],[Fee]],"")</f>
        <v/>
      </c>
    </row>
    <row r="386" spans="1:10" hidden="1">
      <c r="A386">
        <v>385</v>
      </c>
      <c r="B386" t="s">
        <v>199</v>
      </c>
      <c r="C386" t="s">
        <v>195</v>
      </c>
      <c r="D386" t="str">
        <f t="array" ref="D386">TEXT(Table26[[#This Row],[Date]],"MMMM")</f>
        <v>August</v>
      </c>
      <c r="E386">
        <v>500</v>
      </c>
      <c r="F386" t="s">
        <v>589</v>
      </c>
      <c r="G386" t="s">
        <v>1074</v>
      </c>
      <c r="H386" s="38">
        <v>46241</v>
      </c>
      <c r="I386" cm="1">
        <f t="array" ref="I386">IFERROR(INDEX('ALL STUDENTS'!$A:$A, MATCH(1, ('ALL STUDENTS'!$B:$B = B386) * ('ALL STUDENTS'!$C:$C = C386), 0)), "NOT FOUND")</f>
        <v>1934</v>
      </c>
      <c r="J386" t="str">
        <f>IF(Table26[[#This Row],[Fee]]&gt;500,Table26[[#This Row],[Fee]],"")</f>
        <v/>
      </c>
    </row>
    <row r="387" spans="1:10" hidden="1">
      <c r="A387">
        <v>386</v>
      </c>
      <c r="B387" t="s">
        <v>289</v>
      </c>
      <c r="C387" t="s">
        <v>286</v>
      </c>
      <c r="D387" t="str">
        <f t="array" ref="D387">TEXT(Table26[[#This Row],[Date]],"MMMM")</f>
        <v>August</v>
      </c>
      <c r="E387">
        <v>500</v>
      </c>
      <c r="F387" t="s">
        <v>589</v>
      </c>
      <c r="G387" t="s">
        <v>1075</v>
      </c>
      <c r="H387" s="38">
        <v>46241</v>
      </c>
      <c r="I387" cm="1">
        <f t="array" ref="I387">IFERROR(INDEX('ALL STUDENTS'!$A:$A, MATCH(1, ('ALL STUDENTS'!$B:$B = B387) * ('ALL STUDENTS'!$C:$C = C387), 0)), "NOT FOUND")</f>
        <v>2240</v>
      </c>
      <c r="J387" t="str">
        <f>IF(Table26[[#This Row],[Fee]]&gt;500,Table26[[#This Row],[Fee]],"")</f>
        <v/>
      </c>
    </row>
    <row r="388" spans="1:10" hidden="1">
      <c r="A388">
        <v>387</v>
      </c>
      <c r="B388" t="s">
        <v>289</v>
      </c>
      <c r="C388" t="s">
        <v>286</v>
      </c>
      <c r="D388" t="str">
        <f t="array" ref="D388">TEXT(Table26[[#This Row],[Date]],"MMMM")</f>
        <v>August</v>
      </c>
      <c r="E388">
        <v>500</v>
      </c>
      <c r="F388" t="s">
        <v>589</v>
      </c>
      <c r="G388" t="s">
        <v>1076</v>
      </c>
      <c r="H388" s="38">
        <v>46241</v>
      </c>
      <c r="I388" cm="1">
        <f t="array" ref="I388">IFERROR(INDEX('ALL STUDENTS'!$A:$A, MATCH(1, ('ALL STUDENTS'!$B:$B = B388) * ('ALL STUDENTS'!$C:$C = C388), 0)), "NOT FOUND")</f>
        <v>2240</v>
      </c>
      <c r="J388" t="str">
        <f>IF(Table26[[#This Row],[Fee]]&gt;500,Table26[[#This Row],[Fee]],"")</f>
        <v/>
      </c>
    </row>
    <row r="389" spans="1:10" hidden="1">
      <c r="A389">
        <v>388</v>
      </c>
      <c r="B389" t="s">
        <v>289</v>
      </c>
      <c r="C389" t="s">
        <v>286</v>
      </c>
      <c r="D389" t="str">
        <f t="array" ref="D389">TEXT(Table26[[#This Row],[Date]],"MMMM")</f>
        <v>August</v>
      </c>
      <c r="E389">
        <v>500</v>
      </c>
      <c r="F389" t="s">
        <v>589</v>
      </c>
      <c r="G389" t="s">
        <v>1077</v>
      </c>
      <c r="H389" s="38">
        <v>46241</v>
      </c>
      <c r="I389" cm="1">
        <f t="array" ref="I389">IFERROR(INDEX('ALL STUDENTS'!$A:$A, MATCH(1, ('ALL STUDENTS'!$B:$B = B389) * ('ALL STUDENTS'!$C:$C = C389), 0)), "NOT FOUND")</f>
        <v>2240</v>
      </c>
      <c r="J389" t="str">
        <f>IF(Table26[[#This Row],[Fee]]&gt;500,Table26[[#This Row],[Fee]],"")</f>
        <v/>
      </c>
    </row>
    <row r="390" spans="1:10" hidden="1">
      <c r="A390">
        <v>389</v>
      </c>
      <c r="B390" t="s">
        <v>25</v>
      </c>
      <c r="C390" t="s">
        <v>20</v>
      </c>
      <c r="D390" t="str">
        <f t="array" ref="D390">TEXT(Table26[[#This Row],[Date]],"MMMM")</f>
        <v>August</v>
      </c>
      <c r="E390">
        <v>500</v>
      </c>
      <c r="F390" t="s">
        <v>589</v>
      </c>
      <c r="G390" t="s">
        <v>1078</v>
      </c>
      <c r="H390" s="38">
        <v>46241</v>
      </c>
      <c r="I390" cm="1">
        <f t="array" ref="I390">IFERROR(INDEX('ALL STUDENTS'!$A:$A, MATCH(1, ('ALL STUDENTS'!$B:$B = B390) * ('ALL STUDENTS'!$C:$C = C390), 0)), "NOT FOUND")</f>
        <v>3046</v>
      </c>
      <c r="J390" t="str">
        <f>IF(Table26[[#This Row],[Fee]]&gt;500,Table26[[#This Row],[Fee]],"")</f>
        <v/>
      </c>
    </row>
    <row r="391" spans="1:10" hidden="1">
      <c r="A391">
        <v>390</v>
      </c>
      <c r="B391" t="s">
        <v>25</v>
      </c>
      <c r="C391" t="s">
        <v>20</v>
      </c>
      <c r="D391" t="str">
        <f t="array" ref="D391">TEXT(Table26[[#This Row],[Date]],"MMMM")</f>
        <v>August</v>
      </c>
      <c r="E391">
        <v>500</v>
      </c>
      <c r="F391" t="s">
        <v>589</v>
      </c>
      <c r="G391" t="s">
        <v>1079</v>
      </c>
      <c r="H391" s="38">
        <v>46241</v>
      </c>
      <c r="I391" cm="1">
        <f t="array" ref="I391">IFERROR(INDEX('ALL STUDENTS'!$A:$A, MATCH(1, ('ALL STUDENTS'!$B:$B = B391) * ('ALL STUDENTS'!$C:$C = C391), 0)), "NOT FOUND")</f>
        <v>3046</v>
      </c>
      <c r="J391" t="str">
        <f>IF(Table26[[#This Row],[Fee]]&gt;500,Table26[[#This Row],[Fee]],"")</f>
        <v/>
      </c>
    </row>
    <row r="392" spans="1:10" hidden="1">
      <c r="A392">
        <v>391</v>
      </c>
      <c r="B392" t="s">
        <v>25</v>
      </c>
      <c r="C392" t="s">
        <v>20</v>
      </c>
      <c r="D392" t="str">
        <f t="array" ref="D392">TEXT(Table26[[#This Row],[Date]],"MMMM")</f>
        <v>August</v>
      </c>
      <c r="E392">
        <v>500</v>
      </c>
      <c r="F392" t="s">
        <v>589</v>
      </c>
      <c r="G392" t="s">
        <v>1080</v>
      </c>
      <c r="H392" s="38">
        <v>46241</v>
      </c>
      <c r="I392" cm="1">
        <f t="array" ref="I392">IFERROR(INDEX('ALL STUDENTS'!$A:$A, MATCH(1, ('ALL STUDENTS'!$B:$B = B392) * ('ALL STUDENTS'!$C:$C = C392), 0)), "NOT FOUND")</f>
        <v>3046</v>
      </c>
      <c r="J392" t="str">
        <f>IF(Table26[[#This Row],[Fee]]&gt;500,Table26[[#This Row],[Fee]],"")</f>
        <v/>
      </c>
    </row>
    <row r="393" spans="1:10" hidden="1">
      <c r="A393">
        <v>392</v>
      </c>
      <c r="B393" t="s">
        <v>199</v>
      </c>
      <c r="C393" t="s">
        <v>211</v>
      </c>
      <c r="D393" t="str">
        <f t="array" ref="D393">TEXT(Table26[[#This Row],[Date]],"MMMM")</f>
        <v>August</v>
      </c>
      <c r="E393">
        <v>500</v>
      </c>
      <c r="F393" t="s">
        <v>591</v>
      </c>
      <c r="G393" t="s">
        <v>1081</v>
      </c>
      <c r="H393" s="38">
        <v>46239</v>
      </c>
      <c r="I393" cm="1">
        <f t="array" ref="I393">IFERROR(INDEX('ALL STUDENTS'!$A:$A, MATCH(1, ('ALL STUDENTS'!$B:$B = B393) * ('ALL STUDENTS'!$C:$C = C393), 0)), "NOT FOUND")</f>
        <v>2012</v>
      </c>
      <c r="J393" t="str">
        <f>IF(Table26[[#This Row],[Fee]]&gt;500,Table26[[#This Row],[Fee]],"")</f>
        <v/>
      </c>
    </row>
    <row r="394" spans="1:10" hidden="1">
      <c r="A394">
        <v>393</v>
      </c>
      <c r="B394" t="s">
        <v>107</v>
      </c>
      <c r="C394" t="s">
        <v>102</v>
      </c>
      <c r="D394" t="str">
        <f t="array" ref="D394">TEXT(Table26[[#This Row],[Date]],"MMMM")</f>
        <v>August</v>
      </c>
      <c r="E394">
        <v>500</v>
      </c>
      <c r="F394" t="s">
        <v>591</v>
      </c>
      <c r="G394" t="s">
        <v>1082</v>
      </c>
      <c r="H394" s="38">
        <v>46239</v>
      </c>
      <c r="I394" cm="1">
        <f t="array" ref="I394">IFERROR(INDEX('ALL STUDENTS'!$A:$A, MATCH(1, ('ALL STUDENTS'!$B:$B = B394) * ('ALL STUDENTS'!$C:$C = C394), 0)), "NOT FOUND")</f>
        <v>1616</v>
      </c>
      <c r="J394" t="str">
        <f>IF(Table26[[#This Row],[Fee]]&gt;500,Table26[[#This Row],[Fee]],"")</f>
        <v/>
      </c>
    </row>
    <row r="395" spans="1:10" hidden="1">
      <c r="A395">
        <v>394</v>
      </c>
      <c r="B395" t="s">
        <v>117</v>
      </c>
      <c r="C395" t="s">
        <v>113</v>
      </c>
      <c r="D395" t="str">
        <f t="array" ref="D395">TEXT(Table26[[#This Row],[Date]],"MMMM")</f>
        <v>August</v>
      </c>
      <c r="E395">
        <v>500</v>
      </c>
      <c r="F395" t="s">
        <v>591</v>
      </c>
      <c r="G395" t="s">
        <v>1083</v>
      </c>
      <c r="H395" s="38">
        <v>46239</v>
      </c>
      <c r="I395" cm="1">
        <f t="array" ref="I395">IFERROR(INDEX('ALL STUDENTS'!$A:$A, MATCH(1, ('ALL STUDENTS'!$B:$B = B395) * ('ALL STUDENTS'!$C:$C = C395), 0)), "NOT FOUND")</f>
        <v>1658</v>
      </c>
      <c r="J395" t="str">
        <f>IF(Table26[[#This Row],[Fee]]&gt;500,Table26[[#This Row],[Fee]],"")</f>
        <v/>
      </c>
    </row>
    <row r="396" spans="1:10" hidden="1">
      <c r="A396">
        <v>395</v>
      </c>
      <c r="B396" t="s">
        <v>464</v>
      </c>
      <c r="C396" t="s">
        <v>463</v>
      </c>
      <c r="D396" t="str">
        <f t="array" ref="D396">TEXT(Table26[[#This Row],[Date]],"MMMM")</f>
        <v>August</v>
      </c>
      <c r="E396">
        <v>500</v>
      </c>
      <c r="F396" t="s">
        <v>591</v>
      </c>
      <c r="G396" t="s">
        <v>1084</v>
      </c>
      <c r="H396" s="38">
        <v>46239</v>
      </c>
      <c r="I396" cm="1">
        <f t="array" ref="I396">IFERROR(INDEX('ALL STUDENTS'!$A:$A, MATCH(1, ('ALL STUDENTS'!$B:$B = B396) * ('ALL STUDENTS'!$C:$C = C396), 0)), "NOT FOUND")</f>
        <v>731</v>
      </c>
      <c r="J396" t="str">
        <f>IF(Table26[[#This Row],[Fee]]&gt;500,Table26[[#This Row],[Fee]],"")</f>
        <v/>
      </c>
    </row>
    <row r="397" spans="1:10" hidden="1">
      <c r="A397">
        <v>396</v>
      </c>
      <c r="B397" t="s">
        <v>208</v>
      </c>
      <c r="C397" t="s">
        <v>205</v>
      </c>
      <c r="D397" t="str">
        <f t="array" ref="D397">TEXT(Table26[[#This Row],[Date]],"MMMM")</f>
        <v>August</v>
      </c>
      <c r="E397">
        <v>500</v>
      </c>
      <c r="F397" t="s">
        <v>591</v>
      </c>
      <c r="G397" t="s">
        <v>1085</v>
      </c>
      <c r="H397" s="38">
        <v>46239</v>
      </c>
      <c r="I397" cm="1">
        <f t="array" ref="I397">IFERROR(INDEX('ALL STUDENTS'!$A:$A, MATCH(1, ('ALL STUDENTS'!$B:$B = B397) * ('ALL STUDENTS'!$C:$C = C397), 0)), "NOT FOUND")</f>
        <v>1964</v>
      </c>
      <c r="J397" t="str">
        <f>IF(Table26[[#This Row],[Fee]]&gt;500,Table26[[#This Row],[Fee]],"")</f>
        <v/>
      </c>
    </row>
    <row r="398" spans="1:10">
      <c r="A398">
        <v>397</v>
      </c>
      <c r="B398" t="s">
        <v>306</v>
      </c>
      <c r="C398" t="s">
        <v>304</v>
      </c>
      <c r="D398" t="str">
        <f t="array" ref="D398">TEXT(Table26[[#This Row],[Date]],"MMMM")</f>
        <v>August</v>
      </c>
      <c r="E398">
        <v>500</v>
      </c>
      <c r="F398" t="s">
        <v>591</v>
      </c>
      <c r="G398" t="s">
        <v>1086</v>
      </c>
      <c r="H398" s="38">
        <v>46239</v>
      </c>
      <c r="I398" t="str" cm="1">
        <f t="array" ref="I398">IFERROR(INDEX('ALL STUDENTS'!$A:$A, MATCH(1, ('ALL STUDENTS'!$B:$B = B398) * ('ALL STUDENTS'!$C:$C = C398), 0)), "NOT FOUND")</f>
        <v>NOT FOUND</v>
      </c>
      <c r="J398" t="str">
        <f>IF(Table26[[#This Row],[Fee]]&gt;500,Table26[[#This Row],[Fee]],"")</f>
        <v/>
      </c>
    </row>
    <row r="399" spans="1:10" hidden="1">
      <c r="A399">
        <v>398</v>
      </c>
      <c r="B399" s="1" t="s">
        <v>475</v>
      </c>
      <c r="C399" t="s">
        <v>467</v>
      </c>
      <c r="D399" t="str">
        <f t="array" ref="D399">TEXT(Table26[[#This Row],[Date]],"MMMM")</f>
        <v>August</v>
      </c>
      <c r="E399">
        <v>500</v>
      </c>
      <c r="F399" t="s">
        <v>591</v>
      </c>
      <c r="G399" t="s">
        <v>1087</v>
      </c>
      <c r="H399" s="38">
        <v>46239</v>
      </c>
      <c r="I399" cm="1">
        <f t="array" ref="I399">IFERROR(INDEX('ALL STUDENTS'!$A:$A, MATCH(1, ('ALL STUDENTS'!$B:$B = B399) * ('ALL STUDENTS'!$C:$C = C399), 0)), "NOT FOUND")</f>
        <v>480</v>
      </c>
      <c r="J399" t="str">
        <f>IF(Table26[[#This Row],[Fee]]&gt;500,Table26[[#This Row],[Fee]],"")</f>
        <v/>
      </c>
    </row>
    <row r="400" spans="1:10" hidden="1">
      <c r="A400">
        <v>399</v>
      </c>
      <c r="B400" s="1" t="s">
        <v>475</v>
      </c>
      <c r="C400" t="s">
        <v>467</v>
      </c>
      <c r="D400" t="str">
        <f t="array" ref="D400">TEXT(Table26[[#This Row],[Date]],"MMMM")</f>
        <v>August</v>
      </c>
      <c r="E400">
        <v>500</v>
      </c>
      <c r="F400" t="s">
        <v>591</v>
      </c>
      <c r="G400" t="s">
        <v>1088</v>
      </c>
      <c r="H400" s="38">
        <v>46239</v>
      </c>
      <c r="I400" cm="1">
        <f t="array" ref="I400">IFERROR(INDEX('ALL STUDENTS'!$A:$A, MATCH(1, ('ALL STUDENTS'!$B:$B = B400) * ('ALL STUDENTS'!$C:$C = C400), 0)), "NOT FOUND")</f>
        <v>480</v>
      </c>
      <c r="J400" t="str">
        <f>IF(Table26[[#This Row],[Fee]]&gt;500,Table26[[#This Row],[Fee]],"")</f>
        <v/>
      </c>
    </row>
    <row r="401" spans="1:10" hidden="1">
      <c r="A401">
        <v>400</v>
      </c>
      <c r="B401" t="s">
        <v>475</v>
      </c>
      <c r="C401" t="s">
        <v>467</v>
      </c>
      <c r="D401" t="str">
        <f t="array" ref="D401">TEXT(Table26[[#This Row],[Date]],"MMMM")</f>
        <v>August</v>
      </c>
      <c r="E401">
        <v>500</v>
      </c>
      <c r="F401" t="s">
        <v>591</v>
      </c>
      <c r="G401" t="s">
        <v>1089</v>
      </c>
      <c r="H401" s="38">
        <v>46239</v>
      </c>
      <c r="I401" cm="1">
        <f t="array" ref="I401">IFERROR(INDEX('ALL STUDENTS'!$A:$A, MATCH(1, ('ALL STUDENTS'!$B:$B = B401) * ('ALL STUDENTS'!$C:$C = C401), 0)), "NOT FOUND")</f>
        <v>480</v>
      </c>
      <c r="J401" t="str">
        <f>IF(Table26[[#This Row],[Fee]]&gt;500,Table26[[#This Row],[Fee]],"")</f>
        <v/>
      </c>
    </row>
    <row r="402" spans="1:10" hidden="1">
      <c r="A402">
        <v>401</v>
      </c>
      <c r="B402" t="s">
        <v>498</v>
      </c>
      <c r="C402" t="s">
        <v>496</v>
      </c>
      <c r="D402" t="str">
        <f t="array" ref="D402">TEXT(Table26[[#This Row],[Date]],"MMMM")</f>
        <v>August</v>
      </c>
      <c r="E402">
        <v>500</v>
      </c>
      <c r="F402" t="s">
        <v>591</v>
      </c>
      <c r="G402" t="s">
        <v>1090</v>
      </c>
      <c r="H402" s="38">
        <v>46239</v>
      </c>
      <c r="I402" cm="1">
        <f t="array" ref="I402">IFERROR(INDEX('ALL STUDENTS'!$A:$A, MATCH(1, ('ALL STUDENTS'!$B:$B = B402) * ('ALL STUDENTS'!$C:$C = C402), 0)), "NOT FOUND")</f>
        <v>367</v>
      </c>
      <c r="J402" t="str">
        <f>IF(Table26[[#This Row],[Fee]]&gt;500,Table26[[#This Row],[Fee]],"")</f>
        <v/>
      </c>
    </row>
    <row r="403" spans="1:10" hidden="1">
      <c r="A403">
        <v>402</v>
      </c>
      <c r="B403" t="s">
        <v>533</v>
      </c>
      <c r="C403" t="s">
        <v>526</v>
      </c>
      <c r="D403" t="str">
        <f t="array" ref="D403">TEXT(Table26[[#This Row],[Date]],"MMMM")</f>
        <v>August</v>
      </c>
      <c r="E403">
        <v>500</v>
      </c>
      <c r="F403" t="s">
        <v>591</v>
      </c>
      <c r="G403" t="s">
        <v>1091</v>
      </c>
      <c r="H403" s="38">
        <v>46240</v>
      </c>
      <c r="I403" cm="1">
        <f t="array" ref="I403">IFERROR(INDEX('ALL STUDENTS'!$A:$A, MATCH(1, ('ALL STUDENTS'!$B:$B = B403) * ('ALL STUDENTS'!$C:$C = C403), 0)), "NOT FOUND")</f>
        <v>111</v>
      </c>
      <c r="J403" t="str">
        <f>IF(Table26[[#This Row],[Fee]]&gt;500,Table26[[#This Row],[Fee]],"")</f>
        <v/>
      </c>
    </row>
    <row r="404" spans="1:10" hidden="1">
      <c r="A404">
        <v>403</v>
      </c>
      <c r="B404" t="s">
        <v>131</v>
      </c>
      <c r="C404" t="s">
        <v>128</v>
      </c>
      <c r="D404" t="str">
        <f t="array" ref="D404">TEXT(Table26[[#This Row],[Date]],"MMMM")</f>
        <v>August</v>
      </c>
      <c r="E404">
        <v>500</v>
      </c>
      <c r="F404" t="s">
        <v>589</v>
      </c>
      <c r="G404" t="s">
        <v>1092</v>
      </c>
      <c r="H404" s="38">
        <v>46240</v>
      </c>
      <c r="I404" cm="1">
        <f t="array" ref="I404">IFERROR(INDEX('ALL STUDENTS'!$A:$A, MATCH(1, ('ALL STUDENTS'!$B:$B = B404) * ('ALL STUDENTS'!$C:$C = C404), 0)), "NOT FOUND")</f>
        <v>1731</v>
      </c>
      <c r="J404" t="str">
        <f>IF(Table26[[#This Row],[Fee]]&gt;500,Table26[[#This Row],[Fee]],"")</f>
        <v/>
      </c>
    </row>
    <row r="405" spans="1:10" hidden="1">
      <c r="A405">
        <v>404</v>
      </c>
      <c r="B405" t="s">
        <v>131</v>
      </c>
      <c r="C405" t="s">
        <v>128</v>
      </c>
      <c r="D405" t="str">
        <f t="array" ref="D405">TEXT(Table26[[#This Row],[Date]],"MMMM")</f>
        <v>August</v>
      </c>
      <c r="E405">
        <v>500</v>
      </c>
      <c r="F405" t="s">
        <v>589</v>
      </c>
      <c r="G405" t="s">
        <v>1093</v>
      </c>
      <c r="H405" s="38">
        <v>46240</v>
      </c>
      <c r="I405" cm="1">
        <f t="array" ref="I405">IFERROR(INDEX('ALL STUDENTS'!$A:$A, MATCH(1, ('ALL STUDENTS'!$B:$B = B405) * ('ALL STUDENTS'!$C:$C = C405), 0)), "NOT FOUND")</f>
        <v>1731</v>
      </c>
      <c r="J405" t="str">
        <f>IF(Table26[[#This Row],[Fee]]&gt;500,Table26[[#This Row],[Fee]],"")</f>
        <v/>
      </c>
    </row>
    <row r="406" spans="1:10" hidden="1">
      <c r="A406">
        <v>405</v>
      </c>
      <c r="B406" t="s">
        <v>131</v>
      </c>
      <c r="C406" t="s">
        <v>128</v>
      </c>
      <c r="D406" t="str">
        <f t="array" ref="D406">TEXT(Table26[[#This Row],[Date]],"MMMM")</f>
        <v>August</v>
      </c>
      <c r="E406">
        <v>500</v>
      </c>
      <c r="F406" t="s">
        <v>589</v>
      </c>
      <c r="G406" t="s">
        <v>1094</v>
      </c>
      <c r="H406" s="38">
        <v>46240</v>
      </c>
      <c r="I406" cm="1">
        <f t="array" ref="I406">IFERROR(INDEX('ALL STUDENTS'!$A:$A, MATCH(1, ('ALL STUDENTS'!$B:$B = B406) * ('ALL STUDENTS'!$C:$C = C406), 0)), "NOT FOUND")</f>
        <v>1731</v>
      </c>
      <c r="J406" t="str">
        <f>IF(Table26[[#This Row],[Fee]]&gt;500,Table26[[#This Row],[Fee]],"")</f>
        <v/>
      </c>
    </row>
    <row r="407" spans="1:10" hidden="1">
      <c r="A407">
        <v>406</v>
      </c>
      <c r="B407" t="s">
        <v>511</v>
      </c>
      <c r="C407" t="s">
        <v>509</v>
      </c>
      <c r="D407" t="str">
        <f t="array" ref="D407">TEXT(Table26[[#This Row],[Date]],"MMMM")</f>
        <v>August</v>
      </c>
      <c r="E407">
        <v>500</v>
      </c>
      <c r="F407" t="s">
        <v>589</v>
      </c>
      <c r="G407" t="s">
        <v>1095</v>
      </c>
      <c r="H407" s="38">
        <v>46242</v>
      </c>
      <c r="I407" cm="1">
        <f t="array" ref="I407">IFERROR(INDEX('ALL STUDENTS'!$A:$A, MATCH(1, ('ALL STUDENTS'!$B:$B = B407) * ('ALL STUDENTS'!$C:$C = C407), 0)), "NOT FOUND")</f>
        <v>477</v>
      </c>
      <c r="J407" t="str">
        <f>IF(Table26[[#This Row],[Fee]]&gt;500,Table26[[#This Row],[Fee]],"")</f>
        <v/>
      </c>
    </row>
    <row r="408" spans="1:10" hidden="1">
      <c r="A408">
        <v>407</v>
      </c>
      <c r="B408" t="s">
        <v>511</v>
      </c>
      <c r="C408" t="s">
        <v>509</v>
      </c>
      <c r="D408" t="str">
        <f t="array" ref="D408">TEXT(Table26[[#This Row],[Date]],"MMMM")</f>
        <v>August</v>
      </c>
      <c r="E408">
        <v>500</v>
      </c>
      <c r="F408" t="s">
        <v>589</v>
      </c>
      <c r="G408" t="s">
        <v>1096</v>
      </c>
      <c r="H408" s="38">
        <v>46242</v>
      </c>
      <c r="I408" cm="1">
        <f t="array" ref="I408">IFERROR(INDEX('ALL STUDENTS'!$A:$A, MATCH(1, ('ALL STUDENTS'!$B:$B = B408) * ('ALL STUDENTS'!$C:$C = C408), 0)), "NOT FOUND")</f>
        <v>477</v>
      </c>
      <c r="J408" t="str">
        <f>IF(Table26[[#This Row],[Fee]]&gt;500,Table26[[#This Row],[Fee]],"")</f>
        <v/>
      </c>
    </row>
    <row r="409" spans="1:10" hidden="1">
      <c r="A409">
        <v>408</v>
      </c>
      <c r="B409" t="s">
        <v>511</v>
      </c>
      <c r="C409" t="s">
        <v>509</v>
      </c>
      <c r="D409" t="str">
        <f t="array" ref="D409">TEXT(Table26[[#This Row],[Date]],"MMMM")</f>
        <v>August</v>
      </c>
      <c r="E409">
        <v>500</v>
      </c>
      <c r="F409" t="s">
        <v>589</v>
      </c>
      <c r="G409" t="s">
        <v>1097</v>
      </c>
      <c r="H409" s="38">
        <v>46242</v>
      </c>
      <c r="I409" cm="1">
        <f t="array" ref="I409">IFERROR(INDEX('ALL STUDENTS'!$A:$A, MATCH(1, ('ALL STUDENTS'!$B:$B = B409) * ('ALL STUDENTS'!$C:$C = C409), 0)), "NOT FOUND")</f>
        <v>477</v>
      </c>
      <c r="J409" t="str">
        <f>IF(Table26[[#This Row],[Fee]]&gt;500,Table26[[#This Row],[Fee]],"")</f>
        <v/>
      </c>
    </row>
    <row r="410" spans="1:10" hidden="1">
      <c r="A410">
        <v>409</v>
      </c>
      <c r="B410" t="s">
        <v>361</v>
      </c>
      <c r="C410" t="s">
        <v>356</v>
      </c>
      <c r="D410" t="str">
        <f t="array" ref="D410">TEXT(Table26[[#This Row],[Date]],"MMMM")</f>
        <v>August</v>
      </c>
      <c r="E410">
        <v>500</v>
      </c>
      <c r="F410" t="s">
        <v>589</v>
      </c>
      <c r="G410" t="s">
        <v>1098</v>
      </c>
      <c r="H410" s="38">
        <v>46242</v>
      </c>
      <c r="I410" cm="1">
        <f t="array" ref="I410">IFERROR(INDEX('ALL STUDENTS'!$A:$A, MATCH(1, ('ALL STUDENTS'!$B:$B = B410) * ('ALL STUDENTS'!$C:$C = C410), 0)), "NOT FOUND")</f>
        <v>788</v>
      </c>
      <c r="J410" t="str">
        <f>IF(Table26[[#This Row],[Fee]]&gt;500,Table26[[#This Row],[Fee]],"")</f>
        <v/>
      </c>
    </row>
    <row r="411" spans="1:10" hidden="1">
      <c r="A411">
        <v>410</v>
      </c>
      <c r="B411" t="s">
        <v>216</v>
      </c>
      <c r="C411" t="s">
        <v>211</v>
      </c>
      <c r="D411" t="str">
        <f t="array" ref="D411">TEXT(Table26[[#This Row],[Date]],"MMMM")</f>
        <v>August</v>
      </c>
      <c r="E411">
        <v>500</v>
      </c>
      <c r="F411" t="s">
        <v>589</v>
      </c>
      <c r="G411" t="s">
        <v>1099</v>
      </c>
      <c r="H411" s="38">
        <v>46242</v>
      </c>
      <c r="I411" cm="1">
        <f t="array" ref="I411">IFERROR(INDEX('ALL STUDENTS'!$A:$A, MATCH(1, ('ALL STUDENTS'!$B:$B = B411) * ('ALL STUDENTS'!$C:$C = C411), 0)), "NOT FOUND")</f>
        <v>1995</v>
      </c>
      <c r="J411" t="str">
        <f>IF(Table26[[#This Row],[Fee]]&gt;500,Table26[[#This Row],[Fee]],"")</f>
        <v/>
      </c>
    </row>
    <row r="412" spans="1:10" hidden="1">
      <c r="A412">
        <v>411</v>
      </c>
      <c r="B412" t="s">
        <v>369</v>
      </c>
      <c r="C412" t="s">
        <v>366</v>
      </c>
      <c r="D412" t="str">
        <f t="array" ref="D412">TEXT(Table26[[#This Row],[Date]],"MMMM")</f>
        <v>August</v>
      </c>
      <c r="E412">
        <v>500</v>
      </c>
      <c r="F412" t="s">
        <v>589</v>
      </c>
      <c r="G412" t="s">
        <v>1100</v>
      </c>
      <c r="H412" s="38">
        <v>46242</v>
      </c>
      <c r="I412" cm="1">
        <f t="array" ref="I412">IFERROR(INDEX('ALL STUDENTS'!$A:$A, MATCH(1, ('ALL STUDENTS'!$B:$B = B412) * ('ALL STUDENTS'!$C:$C = C412), 0)), "NOT FOUND")</f>
        <v>814</v>
      </c>
      <c r="J412" t="str">
        <f>IF(Table26[[#This Row],[Fee]]&gt;500,Table26[[#This Row],[Fee]],"")</f>
        <v/>
      </c>
    </row>
    <row r="413" spans="1:10" hidden="1">
      <c r="A413">
        <v>412</v>
      </c>
      <c r="B413" t="s">
        <v>369</v>
      </c>
      <c r="C413" t="s">
        <v>366</v>
      </c>
      <c r="D413" t="str">
        <f t="array" ref="D413">TEXT(Table26[[#This Row],[Date]],"MMMM")</f>
        <v>August</v>
      </c>
      <c r="E413">
        <v>500</v>
      </c>
      <c r="F413" t="s">
        <v>589</v>
      </c>
      <c r="G413" t="s">
        <v>1101</v>
      </c>
      <c r="H413" s="38">
        <v>46242</v>
      </c>
      <c r="I413" cm="1">
        <f t="array" ref="I413">IFERROR(INDEX('ALL STUDENTS'!$A:$A, MATCH(1, ('ALL STUDENTS'!$B:$B = B413) * ('ALL STUDENTS'!$C:$C = C413), 0)), "NOT FOUND")</f>
        <v>814</v>
      </c>
      <c r="J413" t="str">
        <f>IF(Table26[[#This Row],[Fee]]&gt;500,Table26[[#This Row],[Fee]],"")</f>
        <v/>
      </c>
    </row>
    <row r="414" spans="1:10" hidden="1">
      <c r="A414">
        <v>413</v>
      </c>
      <c r="B414" t="s">
        <v>369</v>
      </c>
      <c r="C414" t="s">
        <v>366</v>
      </c>
      <c r="D414" t="str">
        <f t="array" ref="D414">TEXT(Table26[[#This Row],[Date]],"MMMM")</f>
        <v>August</v>
      </c>
      <c r="E414">
        <v>500</v>
      </c>
      <c r="F414" t="s">
        <v>589</v>
      </c>
      <c r="G414" t="s">
        <v>1102</v>
      </c>
      <c r="H414" s="38">
        <v>46242</v>
      </c>
      <c r="I414" cm="1">
        <f t="array" ref="I414">IFERROR(INDEX('ALL STUDENTS'!$A:$A, MATCH(1, ('ALL STUDENTS'!$B:$B = B414) * ('ALL STUDENTS'!$C:$C = C414), 0)), "NOT FOUND")</f>
        <v>814</v>
      </c>
      <c r="J414" t="str">
        <f>IF(Table26[[#This Row],[Fee]]&gt;500,Table26[[#This Row],[Fee]],"")</f>
        <v/>
      </c>
    </row>
    <row r="415" spans="1:10" hidden="1">
      <c r="A415">
        <v>414</v>
      </c>
      <c r="B415" t="s">
        <v>379</v>
      </c>
      <c r="C415" t="s">
        <v>374</v>
      </c>
      <c r="D415" t="str">
        <f t="array" ref="D415">TEXT(Table26[[#This Row],[Date]],"MMMM")</f>
        <v>July</v>
      </c>
      <c r="E415">
        <v>500</v>
      </c>
      <c r="F415" t="s">
        <v>589</v>
      </c>
      <c r="G415" t="s">
        <v>1103</v>
      </c>
      <c r="H415" s="38">
        <v>46210</v>
      </c>
      <c r="I415" cm="1">
        <f t="array" ref="I415">IFERROR(INDEX('ALL STUDENTS'!$A:$A, MATCH(1, ('ALL STUDENTS'!$B:$B = B415) * ('ALL STUDENTS'!$C:$C = C415), 0)), "NOT FOUND")</f>
        <v>865</v>
      </c>
      <c r="J415" t="str">
        <f>IF(Table26[[#This Row],[Fee]]&gt;500,Table26[[#This Row],[Fee]],"")</f>
        <v/>
      </c>
    </row>
    <row r="416" spans="1:10" hidden="1">
      <c r="A416">
        <v>415</v>
      </c>
      <c r="B416" t="s">
        <v>192</v>
      </c>
      <c r="C416" t="s">
        <v>185</v>
      </c>
      <c r="D416" t="str">
        <f t="array" ref="D416">TEXT(Table26[[#This Row],[Date]],"MMMM")</f>
        <v>July</v>
      </c>
      <c r="E416">
        <v>500</v>
      </c>
      <c r="F416" t="s">
        <v>589</v>
      </c>
      <c r="G416" t="s">
        <v>1104</v>
      </c>
      <c r="H416" s="38">
        <v>46209</v>
      </c>
      <c r="I416" cm="1">
        <f t="array" ref="I416">IFERROR(INDEX('ALL STUDENTS'!$A:$A, MATCH(1, ('ALL STUDENTS'!$B:$B = B416) * ('ALL STUDENTS'!$C:$C = C416), 0)), "NOT FOUND")</f>
        <v>1826</v>
      </c>
      <c r="J416" t="str">
        <f>IF(Table26[[#This Row],[Fee]]&gt;500,Table26[[#This Row],[Fee]],"")</f>
        <v/>
      </c>
    </row>
    <row r="417" spans="1:10" hidden="1">
      <c r="A417">
        <v>416</v>
      </c>
      <c r="B417" t="s">
        <v>73</v>
      </c>
      <c r="C417" t="s">
        <v>68</v>
      </c>
      <c r="D417" t="str">
        <f t="array" ref="D417">TEXT(Table26[[#This Row],[Date]],"MMMM")</f>
        <v>August</v>
      </c>
      <c r="E417">
        <v>500</v>
      </c>
      <c r="F417" t="s">
        <v>589</v>
      </c>
      <c r="G417" t="s">
        <v>1105</v>
      </c>
      <c r="H417" s="38">
        <v>46241</v>
      </c>
      <c r="I417" cm="1">
        <f t="array" ref="I417">IFERROR(INDEX('ALL STUDENTS'!$A:$A, MATCH(1, ('ALL STUDENTS'!$B:$B = B417) * ('ALL STUDENTS'!$C:$C = C417), 0)), "NOT FOUND")</f>
        <v>1513</v>
      </c>
      <c r="J417" t="str">
        <f>IF(Table26[[#This Row],[Fee]]&gt;500,Table26[[#This Row],[Fee]],"")</f>
        <v/>
      </c>
    </row>
    <row r="418" spans="1:10" hidden="1">
      <c r="A418">
        <v>417</v>
      </c>
      <c r="B418" t="s">
        <v>516</v>
      </c>
      <c r="C418" t="s">
        <v>515</v>
      </c>
      <c r="D418" t="str">
        <f t="array" ref="D418">TEXT(Table26[[#This Row],[Date]],"MMMM")</f>
        <v>August</v>
      </c>
      <c r="E418">
        <v>500</v>
      </c>
      <c r="F418" t="s">
        <v>589</v>
      </c>
      <c r="G418" t="s">
        <v>1106</v>
      </c>
      <c r="H418" s="38">
        <v>46241</v>
      </c>
      <c r="I418" cm="1">
        <f t="array" ref="I418">IFERROR(INDEX('ALL STUDENTS'!$A:$A, MATCH(1, ('ALL STUDENTS'!$B:$B = B418) * ('ALL STUDENTS'!$C:$C = C418), 0)), "NOT FOUND")</f>
        <v>46</v>
      </c>
      <c r="J418" t="str">
        <f>IF(Table26[[#This Row],[Fee]]&gt;500,Table26[[#This Row],[Fee]],"")</f>
        <v/>
      </c>
    </row>
    <row r="419" spans="1:10" hidden="1">
      <c r="A419">
        <v>418</v>
      </c>
      <c r="B419" t="s">
        <v>74</v>
      </c>
      <c r="C419" t="s">
        <v>68</v>
      </c>
      <c r="D419" t="str">
        <f t="array" ref="D419">TEXT(Table26[[#This Row],[Date]],"MMMM")</f>
        <v>August</v>
      </c>
      <c r="E419">
        <v>500</v>
      </c>
      <c r="F419" t="s">
        <v>589</v>
      </c>
      <c r="G419" t="s">
        <v>1107</v>
      </c>
      <c r="H419" s="38">
        <v>46241</v>
      </c>
      <c r="I419" cm="1">
        <f t="array" ref="I419">IFERROR(INDEX('ALL STUDENTS'!$A:$A, MATCH(1, ('ALL STUDENTS'!$B:$B = B419) * ('ALL STUDENTS'!$C:$C = C419), 0)), "NOT FOUND")</f>
        <v>1510</v>
      </c>
      <c r="J419" t="str">
        <f>IF(Table26[[#This Row],[Fee]]&gt;500,Table26[[#This Row],[Fee]],"")</f>
        <v/>
      </c>
    </row>
    <row r="420" spans="1:10" hidden="1">
      <c r="A420">
        <v>419</v>
      </c>
      <c r="B420" t="s">
        <v>236</v>
      </c>
      <c r="C420" t="s">
        <v>232</v>
      </c>
      <c r="D420" t="str">
        <f t="array" ref="D420">TEXT(Table26[[#This Row],[Date]],"MMMM")</f>
        <v>August</v>
      </c>
      <c r="E420">
        <v>500</v>
      </c>
      <c r="F420" t="s">
        <v>589</v>
      </c>
      <c r="G420" t="s">
        <v>1108</v>
      </c>
      <c r="H420" s="38">
        <v>46241</v>
      </c>
      <c r="I420" cm="1">
        <f t="array" ref="I420">IFERROR(INDEX('ALL STUDENTS'!$A:$A, MATCH(1, ('ALL STUDENTS'!$B:$B = B420) * ('ALL STUDENTS'!$C:$C = C420), 0)), "NOT FOUND")</f>
        <v>2077</v>
      </c>
      <c r="J420" t="str">
        <f>IF(Table26[[#This Row],[Fee]]&gt;500,Table26[[#This Row],[Fee]],"")</f>
        <v/>
      </c>
    </row>
    <row r="421" spans="1:10" hidden="1">
      <c r="A421">
        <v>420</v>
      </c>
      <c r="B421" t="s">
        <v>152</v>
      </c>
      <c r="C421" t="s">
        <v>149</v>
      </c>
      <c r="D421" t="str">
        <f t="array" ref="D421">TEXT(Table26[[#This Row],[Date]],"MMMM")</f>
        <v>August</v>
      </c>
      <c r="E421">
        <v>500</v>
      </c>
      <c r="F421" t="s">
        <v>589</v>
      </c>
      <c r="G421" t="s">
        <v>1109</v>
      </c>
      <c r="H421" s="38">
        <v>46241</v>
      </c>
      <c r="I421" cm="1">
        <f t="array" ref="I421">IFERROR(INDEX('ALL STUDENTS'!$A:$A, MATCH(1, ('ALL STUDENTS'!$B:$B = B421) * ('ALL STUDENTS'!$C:$C = C421), 0)), "NOT FOUND")</f>
        <v>1795</v>
      </c>
      <c r="J421" t="str">
        <f>IF(Table26[[#This Row],[Fee]]&gt;500,Table26[[#This Row],[Fee]],"")</f>
        <v/>
      </c>
    </row>
    <row r="422" spans="1:10" hidden="1">
      <c r="A422">
        <v>421</v>
      </c>
      <c r="B422" t="s">
        <v>82</v>
      </c>
      <c r="C422" t="s">
        <v>80</v>
      </c>
      <c r="D422" t="str">
        <f t="array" ref="D422">TEXT(Table26[[#This Row],[Date]],"MMMM")</f>
        <v>August</v>
      </c>
      <c r="E422">
        <v>500</v>
      </c>
      <c r="F422" t="s">
        <v>589</v>
      </c>
      <c r="G422" t="s">
        <v>1110</v>
      </c>
      <c r="H422" s="38">
        <v>46241</v>
      </c>
      <c r="I422" cm="1">
        <f t="array" ref="I422">IFERROR(INDEX('ALL STUDENTS'!$A:$A, MATCH(1, ('ALL STUDENTS'!$B:$B = B422) * ('ALL STUDENTS'!$C:$C = C422), 0)), "NOT FOUND")</f>
        <v>1550</v>
      </c>
      <c r="J422" t="str">
        <f>IF(Table26[[#This Row],[Fee]]&gt;500,Table26[[#This Row],[Fee]],"")</f>
        <v/>
      </c>
    </row>
    <row r="423" spans="1:10">
      <c r="A423">
        <v>422</v>
      </c>
      <c r="B423" t="s">
        <v>237</v>
      </c>
      <c r="C423" t="s">
        <v>232</v>
      </c>
      <c r="D423" t="str">
        <f t="array" ref="D423">TEXT(Table26[[#This Row],[Date]],"MMMM")</f>
        <v>August</v>
      </c>
      <c r="E423">
        <v>500</v>
      </c>
      <c r="F423" t="s">
        <v>589</v>
      </c>
      <c r="G423" t="s">
        <v>1111</v>
      </c>
      <c r="H423" s="38">
        <v>46240</v>
      </c>
      <c r="I423" t="str" cm="1">
        <f t="array" ref="I423">IFERROR(INDEX('ALL STUDENTS'!$A:$A, MATCH(1, ('ALL STUDENTS'!$B:$B = B423) * ('ALL STUDENTS'!$C:$C = C423), 0)), "NOT FOUND")</f>
        <v>NOT FOUND</v>
      </c>
      <c r="J423" t="str">
        <f>IF(Table26[[#This Row],[Fee]]&gt;500,Table26[[#This Row],[Fee]],"")</f>
        <v/>
      </c>
    </row>
    <row r="424" spans="1:10" hidden="1">
      <c r="A424">
        <v>423</v>
      </c>
      <c r="B424" t="s">
        <v>153</v>
      </c>
      <c r="C424" t="s">
        <v>149</v>
      </c>
      <c r="D424" t="str">
        <f t="array" ref="D424">TEXT(Table26[[#This Row],[Date]],"MMMM")</f>
        <v>August</v>
      </c>
      <c r="E424">
        <v>500</v>
      </c>
      <c r="F424" t="s">
        <v>589</v>
      </c>
      <c r="G424" t="s">
        <v>1112</v>
      </c>
      <c r="H424" s="38">
        <v>46240</v>
      </c>
      <c r="I424" cm="1">
        <f t="array" ref="I424">IFERROR(INDEX('ALL STUDENTS'!$A:$A, MATCH(1, ('ALL STUDENTS'!$B:$B = B424) * ('ALL STUDENTS'!$C:$C = C424), 0)), "NOT FOUND")</f>
        <v>1777</v>
      </c>
      <c r="J424" t="str">
        <f>IF(Table26[[#This Row],[Fee]]&gt;500,Table26[[#This Row],[Fee]],"")</f>
        <v/>
      </c>
    </row>
    <row r="425" spans="1:10" hidden="1">
      <c r="A425">
        <v>424</v>
      </c>
      <c r="B425" t="s">
        <v>534</v>
      </c>
      <c r="C425" t="s">
        <v>526</v>
      </c>
      <c r="D425" t="str">
        <f t="array" ref="D425">TEXT(Table26[[#This Row],[Date]],"MMMM")</f>
        <v>August</v>
      </c>
      <c r="E425">
        <v>500</v>
      </c>
      <c r="F425" t="s">
        <v>589</v>
      </c>
      <c r="G425" t="s">
        <v>1113</v>
      </c>
      <c r="H425" s="38">
        <v>46240</v>
      </c>
      <c r="I425" cm="1">
        <f t="array" ref="I425">IFERROR(INDEX('ALL STUDENTS'!$A:$A, MATCH(1, ('ALL STUDENTS'!$B:$B = B425) * ('ALL STUDENTS'!$C:$C = C425), 0)), "NOT FOUND")</f>
        <v>113</v>
      </c>
      <c r="J425" t="str">
        <f>IF(Table26[[#This Row],[Fee]]&gt;500,Table26[[#This Row],[Fee]],"")</f>
        <v/>
      </c>
    </row>
    <row r="426" spans="1:10" hidden="1">
      <c r="A426">
        <v>425</v>
      </c>
      <c r="B426" t="s">
        <v>534</v>
      </c>
      <c r="C426" t="s">
        <v>526</v>
      </c>
      <c r="D426" t="str">
        <f t="array" ref="D426">TEXT(Table26[[#This Row],[Date]],"MMMM")</f>
        <v>August</v>
      </c>
      <c r="E426">
        <v>500</v>
      </c>
      <c r="F426" t="s">
        <v>589</v>
      </c>
      <c r="G426" t="s">
        <v>1114</v>
      </c>
      <c r="H426" s="38">
        <v>46240</v>
      </c>
      <c r="I426" cm="1">
        <f t="array" ref="I426">IFERROR(INDEX('ALL STUDENTS'!$A:$A, MATCH(1, ('ALL STUDENTS'!$B:$B = B426) * ('ALL STUDENTS'!$C:$C = C426), 0)), "NOT FOUND")</f>
        <v>113</v>
      </c>
      <c r="J426" t="str">
        <f>IF(Table26[[#This Row],[Fee]]&gt;500,Table26[[#This Row],[Fee]],"")</f>
        <v/>
      </c>
    </row>
    <row r="427" spans="1:10" hidden="1">
      <c r="A427">
        <v>426</v>
      </c>
      <c r="B427" t="s">
        <v>534</v>
      </c>
      <c r="C427" t="s">
        <v>526</v>
      </c>
      <c r="D427" t="str">
        <f t="array" ref="D427">TEXT(Table26[[#This Row],[Date]],"MMMM")</f>
        <v>August</v>
      </c>
      <c r="E427">
        <v>500</v>
      </c>
      <c r="F427" t="s">
        <v>589</v>
      </c>
      <c r="G427" t="s">
        <v>1115</v>
      </c>
      <c r="H427" s="38">
        <v>46240</v>
      </c>
      <c r="I427" cm="1">
        <f t="array" ref="I427">IFERROR(INDEX('ALL STUDENTS'!$A:$A, MATCH(1, ('ALL STUDENTS'!$B:$B = B427) * ('ALL STUDENTS'!$C:$C = C427), 0)), "NOT FOUND")</f>
        <v>113</v>
      </c>
      <c r="J427" t="str">
        <f>IF(Table26[[#This Row],[Fee]]&gt;500,Table26[[#This Row],[Fee]],"")</f>
        <v/>
      </c>
    </row>
    <row r="428" spans="1:10" hidden="1">
      <c r="A428">
        <v>427</v>
      </c>
      <c r="B428" t="s">
        <v>346</v>
      </c>
      <c r="C428" t="s">
        <v>340</v>
      </c>
      <c r="D428" t="str">
        <f t="array" ref="D428">TEXT(Table26[[#This Row],[Date]],"MMMM")</f>
        <v>August</v>
      </c>
      <c r="E428">
        <v>500</v>
      </c>
      <c r="F428" t="s">
        <v>589</v>
      </c>
      <c r="G428" t="s">
        <v>1116</v>
      </c>
      <c r="H428" s="38">
        <v>46240</v>
      </c>
      <c r="I428" cm="1">
        <f t="array" ref="I428">IFERROR(INDEX('ALL STUDENTS'!$A:$A, MATCH(1, ('ALL STUDENTS'!$B:$B = B428) * ('ALL STUDENTS'!$C:$C = C428), 0)), "NOT FOUND")</f>
        <v>2508</v>
      </c>
      <c r="J428" t="str">
        <f>IF(Table26[[#This Row],[Fee]]&gt;500,Table26[[#This Row],[Fee]],"")</f>
        <v/>
      </c>
    </row>
    <row r="429" spans="1:10">
      <c r="A429">
        <v>428</v>
      </c>
      <c r="B429" t="s">
        <v>307</v>
      </c>
      <c r="C429" t="s">
        <v>304</v>
      </c>
      <c r="D429" t="str">
        <f t="array" ref="D429">TEXT(Table26[[#This Row],[Date]],"MMMM")</f>
        <v>August</v>
      </c>
      <c r="E429">
        <v>500</v>
      </c>
      <c r="F429" t="s">
        <v>589</v>
      </c>
      <c r="G429" t="s">
        <v>1117</v>
      </c>
      <c r="H429" s="38">
        <v>46240</v>
      </c>
      <c r="I429" t="str" cm="1">
        <f t="array" ref="I429">IFERROR(INDEX('ALL STUDENTS'!$A:$A, MATCH(1, ('ALL STUDENTS'!$B:$B = B429) * ('ALL STUDENTS'!$C:$C = C429), 0)), "NOT FOUND")</f>
        <v>NOT FOUND</v>
      </c>
      <c r="J429" t="str">
        <f>IF(Table26[[#This Row],[Fee]]&gt;500,Table26[[#This Row],[Fee]],"")</f>
        <v/>
      </c>
    </row>
    <row r="430" spans="1:10">
      <c r="A430">
        <v>429</v>
      </c>
      <c r="B430" t="s">
        <v>566</v>
      </c>
      <c r="C430" t="s">
        <v>565</v>
      </c>
      <c r="D430" t="str">
        <f t="array" ref="D430">TEXT(Table26[[#This Row],[Date]],"MMMM")</f>
        <v>August</v>
      </c>
      <c r="E430">
        <v>500</v>
      </c>
      <c r="F430" t="s">
        <v>589</v>
      </c>
      <c r="G430" t="s">
        <v>1118</v>
      </c>
      <c r="H430" s="38">
        <v>46242</v>
      </c>
      <c r="I430" t="str" cm="1">
        <f t="array" ref="I430">IFERROR(INDEX('ALL STUDENTS'!$A:$A, MATCH(1, ('ALL STUDENTS'!$B:$B = B430) * ('ALL STUDENTS'!$C:$C = C430), 0)), "NOT FOUND")</f>
        <v>NOT FOUND</v>
      </c>
      <c r="J430" t="str">
        <f>IF(Table26[[#This Row],[Fee]]&gt;500,Table26[[#This Row],[Fee]],"")</f>
        <v/>
      </c>
    </row>
    <row r="431" spans="1:10" hidden="1">
      <c r="A431">
        <v>430</v>
      </c>
      <c r="B431" t="s">
        <v>200</v>
      </c>
      <c r="C431" t="s">
        <v>195</v>
      </c>
      <c r="D431" t="str">
        <f t="array" ref="D431">TEXT(Table26[[#This Row],[Date]],"MMMM")</f>
        <v>August</v>
      </c>
      <c r="E431">
        <v>500</v>
      </c>
      <c r="F431" t="s">
        <v>589</v>
      </c>
      <c r="G431" t="s">
        <v>1119</v>
      </c>
      <c r="H431" s="38">
        <v>46241</v>
      </c>
      <c r="I431" cm="1">
        <f t="array" ref="I431">IFERROR(INDEX('ALL STUDENTS'!$A:$A, MATCH(1, ('ALL STUDENTS'!$B:$B = B431) * ('ALL STUDENTS'!$C:$C = C431), 0)), "NOT FOUND")</f>
        <v>2715</v>
      </c>
      <c r="J431" t="str">
        <f>IF(Table26[[#This Row],[Fee]]&gt;500,Table26[[#This Row],[Fee]],"")</f>
        <v/>
      </c>
    </row>
    <row r="432" spans="1:10" hidden="1">
      <c r="A432">
        <v>431</v>
      </c>
      <c r="B432" t="s">
        <v>209</v>
      </c>
      <c r="C432" t="s">
        <v>205</v>
      </c>
      <c r="D432" t="str">
        <f t="array" ref="D432">TEXT(Table26[[#This Row],[Date]],"MMMM")</f>
        <v>August</v>
      </c>
      <c r="E432">
        <v>500</v>
      </c>
      <c r="F432" t="s">
        <v>589</v>
      </c>
      <c r="G432" t="s">
        <v>1120</v>
      </c>
      <c r="H432" s="38">
        <v>46243</v>
      </c>
      <c r="I432" cm="1">
        <f t="array" ref="I432">IFERROR(INDEX('ALL STUDENTS'!$A:$A, MATCH(1, ('ALL STUDENTS'!$B:$B = B432) * ('ALL STUDENTS'!$C:$C = C432), 0)), "NOT FOUND")</f>
        <v>1944</v>
      </c>
      <c r="J432" t="str">
        <f>IF(Table26[[#This Row],[Fee]]&gt;500,Table26[[#This Row],[Fee]],"")</f>
        <v/>
      </c>
    </row>
    <row r="433" spans="1:10" hidden="1">
      <c r="A433">
        <v>432</v>
      </c>
      <c r="B433" t="s">
        <v>209</v>
      </c>
      <c r="C433" t="s">
        <v>205</v>
      </c>
      <c r="D433" t="str">
        <f t="array" ref="D433">TEXT(Table26[[#This Row],[Date]],"MMMM")</f>
        <v>August</v>
      </c>
      <c r="E433">
        <v>500</v>
      </c>
      <c r="F433" t="s">
        <v>589</v>
      </c>
      <c r="G433" t="s">
        <v>1121</v>
      </c>
      <c r="H433" s="38">
        <v>46243</v>
      </c>
      <c r="I433" cm="1">
        <f t="array" ref="I433">IFERROR(INDEX('ALL STUDENTS'!$A:$A, MATCH(1, ('ALL STUDENTS'!$B:$B = B433) * ('ALL STUDENTS'!$C:$C = C433), 0)), "NOT FOUND")</f>
        <v>1944</v>
      </c>
      <c r="J433" t="str">
        <f>IF(Table26[[#This Row],[Fee]]&gt;500,Table26[[#This Row],[Fee]],"")</f>
        <v/>
      </c>
    </row>
    <row r="434" spans="1:10" hidden="1">
      <c r="A434">
        <v>433</v>
      </c>
      <c r="B434" t="s">
        <v>444</v>
      </c>
      <c r="C434" t="s">
        <v>440</v>
      </c>
      <c r="D434" t="str">
        <f t="array" ref="D434">TEXT(Table26[[#This Row],[Date]],"MMMM")</f>
        <v>August</v>
      </c>
      <c r="E434">
        <v>500</v>
      </c>
      <c r="F434" t="s">
        <v>589</v>
      </c>
      <c r="G434" t="s">
        <v>1122</v>
      </c>
      <c r="H434" s="38">
        <v>46239</v>
      </c>
      <c r="I434" cm="1">
        <f t="array" ref="I434">IFERROR(INDEX('ALL STUDENTS'!$A:$A, MATCH(1, ('ALL STUDENTS'!$B:$B = B434) * ('ALL STUDENTS'!$C:$C = C434), 0)), "NOT FOUND")</f>
        <v>627</v>
      </c>
      <c r="J434" t="str">
        <f>IF(Table26[[#This Row],[Fee]]&gt;500,Table26[[#This Row],[Fee]],"")</f>
        <v/>
      </c>
    </row>
    <row r="435" spans="1:10" hidden="1">
      <c r="A435">
        <v>434</v>
      </c>
      <c r="B435" t="s">
        <v>444</v>
      </c>
      <c r="C435" t="s">
        <v>440</v>
      </c>
      <c r="D435" t="str">
        <f t="array" ref="D435">TEXT(Table26[[#This Row],[Date]],"MMMM")</f>
        <v>August</v>
      </c>
      <c r="E435">
        <v>500</v>
      </c>
      <c r="F435" t="s">
        <v>589</v>
      </c>
      <c r="G435" t="s">
        <v>1123</v>
      </c>
      <c r="H435" s="38">
        <v>46239</v>
      </c>
      <c r="I435" cm="1">
        <f t="array" ref="I435">IFERROR(INDEX('ALL STUDENTS'!$A:$A, MATCH(1, ('ALL STUDENTS'!$B:$B = B435) * ('ALL STUDENTS'!$C:$C = C435), 0)), "NOT FOUND")</f>
        <v>627</v>
      </c>
      <c r="J435" t="str">
        <f>IF(Table26[[#This Row],[Fee]]&gt;500,Table26[[#This Row],[Fee]],"")</f>
        <v/>
      </c>
    </row>
    <row r="436" spans="1:10" hidden="1">
      <c r="A436">
        <v>435</v>
      </c>
      <c r="B436" t="s">
        <v>444</v>
      </c>
      <c r="C436" t="s">
        <v>440</v>
      </c>
      <c r="D436" t="str">
        <f t="array" ref="D436">TEXT(Table26[[#This Row],[Date]],"MMMM")</f>
        <v>August</v>
      </c>
      <c r="E436">
        <v>500</v>
      </c>
      <c r="F436" t="s">
        <v>589</v>
      </c>
      <c r="G436" t="s">
        <v>1124</v>
      </c>
      <c r="H436" s="38">
        <v>46239</v>
      </c>
      <c r="I436" cm="1">
        <f t="array" ref="I436">IFERROR(INDEX('ALL STUDENTS'!$A:$A, MATCH(1, ('ALL STUDENTS'!$B:$B = B436) * ('ALL STUDENTS'!$C:$C = C436), 0)), "NOT FOUND")</f>
        <v>627</v>
      </c>
      <c r="J436" t="str">
        <f>IF(Table26[[#This Row],[Fee]]&gt;500,Table26[[#This Row],[Fee]],"")</f>
        <v/>
      </c>
    </row>
    <row r="437" spans="1:10" hidden="1">
      <c r="A437">
        <v>436</v>
      </c>
      <c r="B437" t="s">
        <v>432</v>
      </c>
      <c r="C437" t="s">
        <v>429</v>
      </c>
      <c r="D437" t="str">
        <f t="array" ref="D437">TEXT(Table26[[#This Row],[Date]],"MMMM")</f>
        <v>August</v>
      </c>
      <c r="E437">
        <v>500</v>
      </c>
      <c r="F437" t="s">
        <v>589</v>
      </c>
      <c r="G437" t="s">
        <v>1125</v>
      </c>
      <c r="H437" s="38">
        <v>46245</v>
      </c>
      <c r="I437" cm="1">
        <f t="array" ref="I437">IFERROR(INDEX('ALL STUDENTS'!$A:$A, MATCH(1, ('ALL STUDENTS'!$B:$B = B437) * ('ALL STUDENTS'!$C:$C = C437), 0)), "NOT FOUND")</f>
        <v>588</v>
      </c>
      <c r="J437" t="str">
        <f>IF(Table26[[#This Row],[Fee]]&gt;500,Table26[[#This Row],[Fee]],"")</f>
        <v/>
      </c>
    </row>
    <row r="438" spans="1:10" hidden="1">
      <c r="A438">
        <v>437</v>
      </c>
      <c r="B438" t="s">
        <v>432</v>
      </c>
      <c r="C438" t="s">
        <v>429</v>
      </c>
      <c r="D438" t="str">
        <f t="array" ref="D438">TEXT(Table26[[#This Row],[Date]],"MMMM")</f>
        <v>August</v>
      </c>
      <c r="E438">
        <v>500</v>
      </c>
      <c r="F438" t="s">
        <v>589</v>
      </c>
      <c r="G438" t="s">
        <v>1126</v>
      </c>
      <c r="H438" s="38">
        <v>46245</v>
      </c>
      <c r="I438" cm="1">
        <f t="array" ref="I438">IFERROR(INDEX('ALL STUDENTS'!$A:$A, MATCH(1, ('ALL STUDENTS'!$B:$B = B438) * ('ALL STUDENTS'!$C:$C = C438), 0)), "NOT FOUND")</f>
        <v>588</v>
      </c>
      <c r="J438" t="str">
        <f>IF(Table26[[#This Row],[Fee]]&gt;500,Table26[[#This Row],[Fee]],"")</f>
        <v/>
      </c>
    </row>
    <row r="439" spans="1:10" hidden="1">
      <c r="A439">
        <v>438</v>
      </c>
      <c r="B439" t="s">
        <v>432</v>
      </c>
      <c r="C439" t="s">
        <v>429</v>
      </c>
      <c r="D439" t="str">
        <f t="array" ref="D439">TEXT(Table26[[#This Row],[Date]],"MMMM")</f>
        <v>August</v>
      </c>
      <c r="E439">
        <v>500</v>
      </c>
      <c r="F439" t="s">
        <v>589</v>
      </c>
      <c r="G439" t="s">
        <v>1127</v>
      </c>
      <c r="H439" s="38">
        <v>46245</v>
      </c>
      <c r="I439" cm="1">
        <f t="array" ref="I439">IFERROR(INDEX('ALL STUDENTS'!$A:$A, MATCH(1, ('ALL STUDENTS'!$B:$B = B439) * ('ALL STUDENTS'!$C:$C = C439), 0)), "NOT FOUND")</f>
        <v>588</v>
      </c>
      <c r="J439" t="str">
        <f>IF(Table26[[#This Row],[Fee]]&gt;500,Table26[[#This Row],[Fee]],"")</f>
        <v/>
      </c>
    </row>
    <row r="440" spans="1:10" hidden="1">
      <c r="A440">
        <v>439</v>
      </c>
      <c r="B440" t="s">
        <v>433</v>
      </c>
      <c r="C440" t="s">
        <v>429</v>
      </c>
      <c r="D440" t="str">
        <f t="array" ref="D440">TEXT(Table26[[#This Row],[Date]],"MMMM")</f>
        <v>August</v>
      </c>
      <c r="E440">
        <v>500</v>
      </c>
      <c r="F440" t="s">
        <v>589</v>
      </c>
      <c r="G440" t="s">
        <v>1128</v>
      </c>
      <c r="H440" s="38">
        <v>46245</v>
      </c>
      <c r="I440" cm="1">
        <f t="array" ref="I440">IFERROR(INDEX('ALL STUDENTS'!$A:$A, MATCH(1, ('ALL STUDENTS'!$B:$B = B440) * ('ALL STUDENTS'!$C:$C = C440), 0)), "NOT FOUND")</f>
        <v>579</v>
      </c>
      <c r="J440" t="str">
        <f>IF(Table26[[#This Row],[Fee]]&gt;500,Table26[[#This Row],[Fee]],"")</f>
        <v/>
      </c>
    </row>
    <row r="441" spans="1:10" hidden="1">
      <c r="A441">
        <v>440</v>
      </c>
      <c r="B441" t="s">
        <v>433</v>
      </c>
      <c r="C441" t="s">
        <v>429</v>
      </c>
      <c r="D441" t="str">
        <f t="array" ref="D441">TEXT(Table26[[#This Row],[Date]],"MMMM")</f>
        <v>August</v>
      </c>
      <c r="E441">
        <v>500</v>
      </c>
      <c r="F441" t="s">
        <v>589</v>
      </c>
      <c r="G441" t="s">
        <v>1129</v>
      </c>
      <c r="H441" s="38">
        <v>46245</v>
      </c>
      <c r="I441" cm="1">
        <f t="array" ref="I441">IFERROR(INDEX('ALL STUDENTS'!$A:$A, MATCH(1, ('ALL STUDENTS'!$B:$B = B441) * ('ALL STUDENTS'!$C:$C = C441), 0)), "NOT FOUND")</f>
        <v>579</v>
      </c>
      <c r="J441" t="str">
        <f>IF(Table26[[#This Row],[Fee]]&gt;500,Table26[[#This Row],[Fee]],"")</f>
        <v/>
      </c>
    </row>
    <row r="442" spans="1:10" hidden="1">
      <c r="A442">
        <v>441</v>
      </c>
      <c r="B442" t="s">
        <v>433</v>
      </c>
      <c r="C442" t="s">
        <v>429</v>
      </c>
      <c r="D442" t="str">
        <f t="array" ref="D442">TEXT(Table26[[#This Row],[Date]],"MMMM")</f>
        <v>August</v>
      </c>
      <c r="E442">
        <v>500</v>
      </c>
      <c r="F442" t="s">
        <v>589</v>
      </c>
      <c r="G442" t="s">
        <v>1130</v>
      </c>
      <c r="H442" s="38">
        <v>46245</v>
      </c>
      <c r="I442" cm="1">
        <f t="array" ref="I442">IFERROR(INDEX('ALL STUDENTS'!$A:$A, MATCH(1, ('ALL STUDENTS'!$B:$B = B442) * ('ALL STUDENTS'!$C:$C = C442), 0)), "NOT FOUND")</f>
        <v>579</v>
      </c>
      <c r="J442" t="str">
        <f>IF(Table26[[#This Row],[Fee]]&gt;500,Table26[[#This Row],[Fee]],"")</f>
        <v/>
      </c>
    </row>
    <row r="443" spans="1:10" hidden="1">
      <c r="A443">
        <v>442</v>
      </c>
      <c r="B443" t="s">
        <v>75</v>
      </c>
      <c r="C443" t="s">
        <v>68</v>
      </c>
      <c r="D443" t="str">
        <f t="array" ref="D443">TEXT(Table26[[#This Row],[Date]],"MMMM")</f>
        <v>August</v>
      </c>
      <c r="E443">
        <v>500</v>
      </c>
      <c r="F443" t="s">
        <v>589</v>
      </c>
      <c r="G443" t="s">
        <v>1131</v>
      </c>
      <c r="H443" s="38">
        <v>46245</v>
      </c>
      <c r="I443" cm="1">
        <f t="array" ref="I443">IFERROR(INDEX('ALL STUDENTS'!$A:$A, MATCH(1, ('ALL STUDENTS'!$B:$B = B443) * ('ALL STUDENTS'!$C:$C = C443), 0)), "NOT FOUND")</f>
        <v>1507</v>
      </c>
      <c r="J443" t="str">
        <f>IF(Table26[[#This Row],[Fee]]&gt;500,Table26[[#This Row],[Fee]],"")</f>
        <v/>
      </c>
    </row>
    <row r="444" spans="1:10" hidden="1">
      <c r="A444">
        <v>443</v>
      </c>
      <c r="B444" t="s">
        <v>75</v>
      </c>
      <c r="C444" t="s">
        <v>68</v>
      </c>
      <c r="D444" t="str">
        <f t="array" ref="D444">TEXT(Table26[[#This Row],[Date]],"MMMM")</f>
        <v>August</v>
      </c>
      <c r="E444">
        <v>500</v>
      </c>
      <c r="F444" t="s">
        <v>589</v>
      </c>
      <c r="G444" t="s">
        <v>1132</v>
      </c>
      <c r="H444" s="38">
        <v>46245</v>
      </c>
      <c r="I444" cm="1">
        <f t="array" ref="I444">IFERROR(INDEX('ALL STUDENTS'!$A:$A, MATCH(1, ('ALL STUDENTS'!$B:$B = B444) * ('ALL STUDENTS'!$C:$C = C444), 0)), "NOT FOUND")</f>
        <v>1507</v>
      </c>
      <c r="J444" t="str">
        <f>IF(Table26[[#This Row],[Fee]]&gt;500,Table26[[#This Row],[Fee]],"")</f>
        <v/>
      </c>
    </row>
    <row r="445" spans="1:10" hidden="1">
      <c r="A445">
        <v>444</v>
      </c>
      <c r="B445" t="s">
        <v>75</v>
      </c>
      <c r="C445" t="s">
        <v>68</v>
      </c>
      <c r="D445" t="str">
        <f t="array" ref="D445">TEXT(Table26[[#This Row],[Date]],"MMMM")</f>
        <v>August</v>
      </c>
      <c r="E445">
        <v>500</v>
      </c>
      <c r="F445" t="s">
        <v>589</v>
      </c>
      <c r="G445" t="s">
        <v>1133</v>
      </c>
      <c r="H445" s="38">
        <v>46245</v>
      </c>
      <c r="I445" cm="1">
        <f t="array" ref="I445">IFERROR(INDEX('ALL STUDENTS'!$A:$A, MATCH(1, ('ALL STUDENTS'!$B:$B = B445) * ('ALL STUDENTS'!$C:$C = C445), 0)), "NOT FOUND")</f>
        <v>1507</v>
      </c>
      <c r="J445" t="str">
        <f>IF(Table26[[#This Row],[Fee]]&gt;500,Table26[[#This Row],[Fee]],"")</f>
        <v/>
      </c>
    </row>
    <row r="446" spans="1:10" hidden="1">
      <c r="A446">
        <v>445</v>
      </c>
      <c r="B446" t="s">
        <v>551</v>
      </c>
      <c r="C446" t="s">
        <v>548</v>
      </c>
      <c r="D446" t="str">
        <f t="array" ref="D446">TEXT(Table26[[#This Row],[Date]],"MMMM")</f>
        <v>August</v>
      </c>
      <c r="E446">
        <v>500</v>
      </c>
      <c r="F446" t="s">
        <v>589</v>
      </c>
      <c r="G446" t="s">
        <v>1134</v>
      </c>
      <c r="H446" s="38">
        <v>46245</v>
      </c>
      <c r="I446" cm="1">
        <f t="array" ref="I446">IFERROR(INDEX('ALL STUDENTS'!$A:$A, MATCH(1, ('ALL STUDENTS'!$B:$B = B446) * ('ALL STUDENTS'!$C:$C = C446), 0)), "NOT FOUND")</f>
        <v>170</v>
      </c>
      <c r="J446" t="str">
        <f>IF(Table26[[#This Row],[Fee]]&gt;500,Table26[[#This Row],[Fee]],"")</f>
        <v/>
      </c>
    </row>
    <row r="447" spans="1:10" hidden="1">
      <c r="A447">
        <v>446</v>
      </c>
      <c r="B447" t="s">
        <v>76</v>
      </c>
      <c r="C447" t="s">
        <v>68</v>
      </c>
      <c r="D447" t="str">
        <f t="array" ref="D447">TEXT(Table26[[#This Row],[Date]],"MMMM")</f>
        <v>August</v>
      </c>
      <c r="E447">
        <v>500</v>
      </c>
      <c r="F447" t="s">
        <v>589</v>
      </c>
      <c r="G447" t="s">
        <v>1135</v>
      </c>
      <c r="H447" s="38">
        <v>46245</v>
      </c>
      <c r="I447" cm="1">
        <f t="array" ref="I447">IFERROR(INDEX('ALL STUDENTS'!$A:$A, MATCH(1, ('ALL STUDENTS'!$B:$B = B447) * ('ALL STUDENTS'!$C:$C = C447), 0)), "NOT FOUND")</f>
        <v>1527</v>
      </c>
      <c r="J447" t="str">
        <f>IF(Table26[[#This Row],[Fee]]&gt;500,Table26[[#This Row],[Fee]],"")</f>
        <v/>
      </c>
    </row>
    <row r="448" spans="1:10" hidden="1">
      <c r="A448">
        <v>447</v>
      </c>
      <c r="B448" t="s">
        <v>328</v>
      </c>
      <c r="C448" t="s">
        <v>324</v>
      </c>
      <c r="D448" t="str">
        <f t="array" ref="D448">TEXT(Table26[[#This Row],[Date]],"MMMM")</f>
        <v>August</v>
      </c>
      <c r="E448">
        <v>500</v>
      </c>
      <c r="F448" t="s">
        <v>589</v>
      </c>
      <c r="G448" t="s">
        <v>1136</v>
      </c>
      <c r="H448" s="38">
        <v>46245</v>
      </c>
      <c r="I448" cm="1">
        <f t="array" ref="I448">IFERROR(INDEX('ALL STUDENTS'!$A:$A, MATCH(1, ('ALL STUDENTS'!$B:$B = B448) * ('ALL STUDENTS'!$C:$C = C448), 0)), "NOT FOUND")</f>
        <v>2463</v>
      </c>
      <c r="J448" t="str">
        <f>IF(Table26[[#This Row],[Fee]]&gt;500,Table26[[#This Row],[Fee]],"")</f>
        <v/>
      </c>
    </row>
    <row r="449" spans="1:10" hidden="1">
      <c r="A449">
        <v>448</v>
      </c>
      <c r="B449" t="s">
        <v>424</v>
      </c>
      <c r="C449" t="s">
        <v>421</v>
      </c>
      <c r="D449" t="str">
        <f t="array" ref="D449">TEXT(Table26[[#This Row],[Date]],"MMMM")</f>
        <v>August</v>
      </c>
      <c r="E449">
        <v>500</v>
      </c>
      <c r="F449" t="s">
        <v>591</v>
      </c>
      <c r="G449" t="s">
        <v>1137</v>
      </c>
      <c r="H449" s="38">
        <v>46241</v>
      </c>
      <c r="I449" cm="1">
        <f t="array" ref="I449">IFERROR(INDEX('ALL STUDENTS'!$A:$A, MATCH(1, ('ALL STUDENTS'!$B:$B = B449) * ('ALL STUDENTS'!$C:$C = C449), 0)), "NOT FOUND")</f>
        <v>537</v>
      </c>
      <c r="J449" t="str">
        <f>IF(Table26[[#This Row],[Fee]]&gt;500,Table26[[#This Row],[Fee]],"")</f>
        <v/>
      </c>
    </row>
    <row r="450" spans="1:10" hidden="1">
      <c r="A450">
        <v>449</v>
      </c>
      <c r="B450" t="s">
        <v>425</v>
      </c>
      <c r="C450" t="s">
        <v>421</v>
      </c>
      <c r="D450" t="str">
        <f t="array" ref="D450">TEXT(Table26[[#This Row],[Date]],"MMMM")</f>
        <v>August</v>
      </c>
      <c r="E450">
        <v>500</v>
      </c>
      <c r="F450" t="s">
        <v>591</v>
      </c>
      <c r="G450" t="s">
        <v>1138</v>
      </c>
      <c r="H450" s="38">
        <v>46241</v>
      </c>
      <c r="I450" cm="1">
        <f t="array" ref="I450">IFERROR(INDEX('ALL STUDENTS'!$A:$A, MATCH(1, ('ALL STUDENTS'!$B:$B = B450) * ('ALL STUDENTS'!$C:$C = C450), 0)), "NOT FOUND")</f>
        <v>538</v>
      </c>
      <c r="J450" t="str">
        <f>IF(Table26[[#This Row],[Fee]]&gt;500,Table26[[#This Row],[Fee]],"")</f>
        <v/>
      </c>
    </row>
    <row r="451" spans="1:10" hidden="1">
      <c r="A451">
        <v>450</v>
      </c>
      <c r="B451" t="s">
        <v>412</v>
      </c>
      <c r="C451" t="s">
        <v>409</v>
      </c>
      <c r="D451" t="str">
        <f t="array" ref="D451">TEXT(Table26[[#This Row],[Date]],"MMMM")</f>
        <v>August</v>
      </c>
      <c r="E451">
        <v>500</v>
      </c>
      <c r="F451" t="s">
        <v>591</v>
      </c>
      <c r="G451" t="s">
        <v>1139</v>
      </c>
      <c r="H451" s="38">
        <v>46244</v>
      </c>
      <c r="I451" cm="1">
        <f t="array" ref="I451">IFERROR(INDEX('ALL STUDENTS'!$A:$A, MATCH(1, ('ALL STUDENTS'!$B:$B = B451) * ('ALL STUDENTS'!$C:$C = C451), 0)), "NOT FOUND")</f>
        <v>963</v>
      </c>
      <c r="J451" t="str">
        <f>IF(Table26[[#This Row],[Fee]]&gt;500,Table26[[#This Row],[Fee]],"")</f>
        <v/>
      </c>
    </row>
    <row r="452" spans="1:10" hidden="1">
      <c r="A452">
        <v>451</v>
      </c>
      <c r="B452" t="s">
        <v>217</v>
      </c>
      <c r="C452" t="s">
        <v>211</v>
      </c>
      <c r="D452" t="str">
        <f t="array" ref="D452">TEXT(Table26[[#This Row],[Date]],"MMMM")</f>
        <v>August</v>
      </c>
      <c r="E452">
        <v>500</v>
      </c>
      <c r="F452" t="s">
        <v>589</v>
      </c>
      <c r="G452" t="s">
        <v>1140</v>
      </c>
      <c r="H452" s="38">
        <v>46245</v>
      </c>
      <c r="I452" cm="1">
        <f t="array" ref="I452">IFERROR(INDEX('ALL STUDENTS'!$A:$A, MATCH(1, ('ALL STUDENTS'!$B:$B = B452) * ('ALL STUDENTS'!$C:$C = C452), 0)), "NOT FOUND")</f>
        <v>1992</v>
      </c>
      <c r="J452" t="str">
        <f>IF(Table26[[#This Row],[Fee]]&gt;500,Table26[[#This Row],[Fee]],"")</f>
        <v/>
      </c>
    </row>
    <row r="453" spans="1:10">
      <c r="A453">
        <v>452</v>
      </c>
      <c r="B453" t="s">
        <v>290</v>
      </c>
      <c r="C453" t="s">
        <v>286</v>
      </c>
      <c r="D453" t="str">
        <f t="array" ref="D453">TEXT(Table26[[#This Row],[Date]],"MMMM")</f>
        <v>August</v>
      </c>
      <c r="E453">
        <v>500</v>
      </c>
      <c r="F453" t="s">
        <v>589</v>
      </c>
      <c r="G453" t="s">
        <v>1141</v>
      </c>
      <c r="H453" s="38">
        <v>46245</v>
      </c>
      <c r="I453" t="str" cm="1">
        <f t="array" ref="I453">IFERROR(INDEX('ALL STUDENTS'!$A:$A, MATCH(1, ('ALL STUDENTS'!$B:$B = B453) * ('ALL STUDENTS'!$C:$C = C453), 0)), "NOT FOUND")</f>
        <v>NOT FOUND</v>
      </c>
      <c r="J453" t="str">
        <f>IF(Table26[[#This Row],[Fee]]&gt;500,Table26[[#This Row],[Fee]],"")</f>
        <v/>
      </c>
    </row>
    <row r="454" spans="1:10" hidden="1">
      <c r="A454">
        <v>453</v>
      </c>
      <c r="B454" t="s">
        <v>277</v>
      </c>
      <c r="C454" t="s">
        <v>273</v>
      </c>
      <c r="D454" t="str">
        <f t="array" ref="D454">TEXT(Table26[[#This Row],[Date]],"MMMM")</f>
        <v>August</v>
      </c>
      <c r="E454">
        <v>500</v>
      </c>
      <c r="F454" t="s">
        <v>589</v>
      </c>
      <c r="G454" t="s">
        <v>1142</v>
      </c>
      <c r="H454" s="38">
        <v>46245</v>
      </c>
      <c r="I454" cm="1">
        <f t="array" ref="I454">IFERROR(INDEX('ALL STUDENTS'!$A:$A, MATCH(1, ('ALL STUDENTS'!$B:$B = B454) * ('ALL STUDENTS'!$C:$C = C454), 0)), "NOT FOUND")</f>
        <v>2199</v>
      </c>
      <c r="J454" t="str">
        <f>IF(Table26[[#This Row],[Fee]]&gt;500,Table26[[#This Row],[Fee]],"")</f>
        <v/>
      </c>
    </row>
    <row r="455" spans="1:10" hidden="1">
      <c r="A455">
        <v>454</v>
      </c>
      <c r="B455" t="s">
        <v>507</v>
      </c>
      <c r="C455" t="s">
        <v>504</v>
      </c>
      <c r="D455" t="str">
        <f t="array" ref="D455">TEXT(Table26[[#This Row],[Date]],"MMMM")</f>
        <v>August</v>
      </c>
      <c r="E455">
        <v>500</v>
      </c>
      <c r="F455" t="s">
        <v>589</v>
      </c>
      <c r="G455" t="s">
        <v>1143</v>
      </c>
      <c r="H455" s="38">
        <v>46245</v>
      </c>
      <c r="I455" cm="1">
        <f t="array" ref="I455">IFERROR(INDEX('ALL STUDENTS'!$A:$A, MATCH(1, ('ALL STUDENTS'!$B:$B = B455) * ('ALL STUDENTS'!$C:$C = C455), 0)), "NOT FOUND")</f>
        <v>454</v>
      </c>
      <c r="J455" t="str">
        <f>IF(Table26[[#This Row],[Fee]]&gt;500,Table26[[#This Row],[Fee]],"")</f>
        <v/>
      </c>
    </row>
    <row r="456" spans="1:10" hidden="1">
      <c r="A456">
        <v>455</v>
      </c>
      <c r="B456" t="s">
        <v>98</v>
      </c>
      <c r="C456" t="s">
        <v>87</v>
      </c>
      <c r="D456" t="str">
        <f t="array" ref="D456">TEXT(Table26[[#This Row],[Date]],"MMMM")</f>
        <v>August</v>
      </c>
      <c r="E456">
        <v>500</v>
      </c>
      <c r="F456" t="s">
        <v>589</v>
      </c>
      <c r="G456" t="s">
        <v>1144</v>
      </c>
      <c r="H456" s="38">
        <v>46245</v>
      </c>
      <c r="I456" cm="1">
        <f t="array" ref="I456">IFERROR(INDEX('ALL STUDENTS'!$A:$A, MATCH(1, ('ALL STUDENTS'!$B:$B = B456) * ('ALL STUDENTS'!$C:$C = C456), 0)), "NOT FOUND")</f>
        <v>1582</v>
      </c>
      <c r="J456" t="str">
        <f>IF(Table26[[#This Row],[Fee]]&gt;500,Table26[[#This Row],[Fee]],"")</f>
        <v/>
      </c>
    </row>
    <row r="457" spans="1:10" hidden="1">
      <c r="A457">
        <v>456</v>
      </c>
      <c r="B457" t="s">
        <v>98</v>
      </c>
      <c r="C457" t="s">
        <v>87</v>
      </c>
      <c r="D457" t="str">
        <f t="array" ref="D457">TEXT(Table26[[#This Row],[Date]],"MMMM")</f>
        <v>August</v>
      </c>
      <c r="E457">
        <v>500</v>
      </c>
      <c r="F457" t="s">
        <v>589</v>
      </c>
      <c r="G457" t="s">
        <v>1145</v>
      </c>
      <c r="H457" s="38">
        <v>46245</v>
      </c>
      <c r="I457" cm="1">
        <f t="array" ref="I457">IFERROR(INDEX('ALL STUDENTS'!$A:$A, MATCH(1, ('ALL STUDENTS'!$B:$B = B457) * ('ALL STUDENTS'!$C:$C = C457), 0)), "NOT FOUND")</f>
        <v>1582</v>
      </c>
      <c r="J457" t="str">
        <f>IF(Table26[[#This Row],[Fee]]&gt;500,Table26[[#This Row],[Fee]],"")</f>
        <v/>
      </c>
    </row>
    <row r="458" spans="1:10" hidden="1">
      <c r="A458">
        <v>457</v>
      </c>
      <c r="B458" t="s">
        <v>98</v>
      </c>
      <c r="C458" t="s">
        <v>87</v>
      </c>
      <c r="D458" t="str">
        <f t="array" ref="D458">TEXT(Table26[[#This Row],[Date]],"MMMM")</f>
        <v>August</v>
      </c>
      <c r="E458">
        <v>500</v>
      </c>
      <c r="F458" t="s">
        <v>589</v>
      </c>
      <c r="G458" t="s">
        <v>1146</v>
      </c>
      <c r="H458" s="38">
        <v>46245</v>
      </c>
      <c r="I458" cm="1">
        <f t="array" ref="I458">IFERROR(INDEX('ALL STUDENTS'!$A:$A, MATCH(1, ('ALL STUDENTS'!$B:$B = B458) * ('ALL STUDENTS'!$C:$C = C458), 0)), "NOT FOUND")</f>
        <v>1582</v>
      </c>
      <c r="J458" t="str">
        <f>IF(Table26[[#This Row],[Fee]]&gt;500,Table26[[#This Row],[Fee]],"")</f>
        <v/>
      </c>
    </row>
    <row r="459" spans="1:10">
      <c r="A459">
        <v>458</v>
      </c>
      <c r="B459" t="s">
        <v>238</v>
      </c>
      <c r="C459" t="s">
        <v>232</v>
      </c>
      <c r="D459" t="str">
        <f t="array" ref="D459">TEXT(Table26[[#This Row],[Date]],"MMMM")</f>
        <v>August</v>
      </c>
      <c r="E459">
        <v>500</v>
      </c>
      <c r="F459" t="s">
        <v>589</v>
      </c>
      <c r="G459" t="s">
        <v>1147</v>
      </c>
      <c r="H459" s="38">
        <v>46245</v>
      </c>
      <c r="I459" t="str" cm="1">
        <f t="array" ref="I459">IFERROR(INDEX('ALL STUDENTS'!$A:$A, MATCH(1, ('ALL STUDENTS'!$B:$B = B459) * ('ALL STUDENTS'!$C:$C = C459), 0)), "NOT FOUND")</f>
        <v>NOT FOUND</v>
      </c>
      <c r="J459" t="str">
        <f>IF(Table26[[#This Row],[Fee]]&gt;500,Table26[[#This Row],[Fee]],"")</f>
        <v/>
      </c>
    </row>
    <row r="460" spans="1:10">
      <c r="A460">
        <v>459</v>
      </c>
      <c r="B460" t="s">
        <v>238</v>
      </c>
      <c r="C460" t="s">
        <v>232</v>
      </c>
      <c r="D460" t="str">
        <f t="array" ref="D460">TEXT(Table26[[#This Row],[Date]],"MMMM")</f>
        <v>August</v>
      </c>
      <c r="E460">
        <v>500</v>
      </c>
      <c r="F460" t="s">
        <v>589</v>
      </c>
      <c r="G460" t="s">
        <v>1148</v>
      </c>
      <c r="H460" s="38">
        <v>46245</v>
      </c>
      <c r="I460" t="str" cm="1">
        <f t="array" ref="I460">IFERROR(INDEX('ALL STUDENTS'!$A:$A, MATCH(1, ('ALL STUDENTS'!$B:$B = B460) * ('ALL STUDENTS'!$C:$C = C460), 0)), "NOT FOUND")</f>
        <v>NOT FOUND</v>
      </c>
      <c r="J460" t="str">
        <f>IF(Table26[[#This Row],[Fee]]&gt;500,Table26[[#This Row],[Fee]],"")</f>
        <v/>
      </c>
    </row>
    <row r="461" spans="1:10">
      <c r="A461">
        <v>460</v>
      </c>
      <c r="B461" t="s">
        <v>238</v>
      </c>
      <c r="C461" t="s">
        <v>232</v>
      </c>
      <c r="D461" t="str">
        <f t="array" ref="D461">TEXT(Table26[[#This Row],[Date]],"MMMM")</f>
        <v>August</v>
      </c>
      <c r="E461">
        <v>500</v>
      </c>
      <c r="F461" t="s">
        <v>589</v>
      </c>
      <c r="G461" t="s">
        <v>1149</v>
      </c>
      <c r="H461" s="38">
        <v>46245</v>
      </c>
      <c r="I461" t="str" cm="1">
        <f t="array" ref="I461">IFERROR(INDEX('ALL STUDENTS'!$A:$A, MATCH(1, ('ALL STUDENTS'!$B:$B = B461) * ('ALL STUDENTS'!$C:$C = C461), 0)), "NOT FOUND")</f>
        <v>NOT FOUND</v>
      </c>
      <c r="J461" t="str">
        <f>IF(Table26[[#This Row],[Fee]]&gt;500,Table26[[#This Row],[Fee]],"")</f>
        <v/>
      </c>
    </row>
    <row r="462" spans="1:10" hidden="1">
      <c r="A462">
        <v>461</v>
      </c>
      <c r="B462" t="s">
        <v>278</v>
      </c>
      <c r="C462" t="s">
        <v>273</v>
      </c>
      <c r="D462" t="str">
        <f t="array" ref="D462">TEXT(Table26[[#This Row],[Date]],"MMMM")</f>
        <v>August</v>
      </c>
      <c r="E462">
        <v>500</v>
      </c>
      <c r="F462" t="s">
        <v>589</v>
      </c>
      <c r="G462" t="s">
        <v>1150</v>
      </c>
      <c r="H462" s="38">
        <v>46245</v>
      </c>
      <c r="I462" cm="1">
        <f t="array" ref="I462">IFERROR(INDEX('ALL STUDENTS'!$A:$A, MATCH(1, ('ALL STUDENTS'!$B:$B = B462) * ('ALL STUDENTS'!$C:$C = C462), 0)), "NOT FOUND")</f>
        <v>2214</v>
      </c>
      <c r="J462" t="str">
        <f>IF(Table26[[#This Row],[Fee]]&gt;500,Table26[[#This Row],[Fee]],"")</f>
        <v/>
      </c>
    </row>
    <row r="463" spans="1:10" hidden="1">
      <c r="A463">
        <v>462</v>
      </c>
      <c r="B463" t="s">
        <v>278</v>
      </c>
      <c r="C463" t="s">
        <v>273</v>
      </c>
      <c r="D463" t="str">
        <f t="array" ref="D463">TEXT(Table26[[#This Row],[Date]],"MMMM")</f>
        <v>August</v>
      </c>
      <c r="E463">
        <v>500</v>
      </c>
      <c r="F463" t="s">
        <v>589</v>
      </c>
      <c r="G463" t="s">
        <v>1151</v>
      </c>
      <c r="H463" s="38">
        <v>46245</v>
      </c>
      <c r="I463" cm="1">
        <f t="array" ref="I463">IFERROR(INDEX('ALL STUDENTS'!$A:$A, MATCH(1, ('ALL STUDENTS'!$B:$B = B463) * ('ALL STUDENTS'!$C:$C = C463), 0)), "NOT FOUND")</f>
        <v>2214</v>
      </c>
      <c r="J463" t="str">
        <f>IF(Table26[[#This Row],[Fee]]&gt;500,Table26[[#This Row],[Fee]],"")</f>
        <v/>
      </c>
    </row>
    <row r="464" spans="1:10" hidden="1">
      <c r="A464">
        <v>463</v>
      </c>
      <c r="B464" t="s">
        <v>278</v>
      </c>
      <c r="C464" t="s">
        <v>273</v>
      </c>
      <c r="D464" t="str">
        <f t="array" ref="D464">TEXT(Table26[[#This Row],[Date]],"MMMM")</f>
        <v>August</v>
      </c>
      <c r="E464">
        <v>500</v>
      </c>
      <c r="F464" t="s">
        <v>589</v>
      </c>
      <c r="G464" t="s">
        <v>1152</v>
      </c>
      <c r="H464" s="38">
        <v>46245</v>
      </c>
      <c r="I464" cm="1">
        <f t="array" ref="I464">IFERROR(INDEX('ALL STUDENTS'!$A:$A, MATCH(1, ('ALL STUDENTS'!$B:$B = B464) * ('ALL STUDENTS'!$C:$C = C464), 0)), "NOT FOUND")</f>
        <v>2214</v>
      </c>
      <c r="J464" t="str">
        <f>IF(Table26[[#This Row],[Fee]]&gt;500,Table26[[#This Row],[Fee]],"")</f>
        <v/>
      </c>
    </row>
    <row r="465" spans="1:10" hidden="1">
      <c r="A465">
        <v>464</v>
      </c>
      <c r="B465" t="s">
        <v>218</v>
      </c>
      <c r="C465" t="s">
        <v>211</v>
      </c>
      <c r="D465" t="str">
        <f t="array" ref="D465">TEXT(Table26[[#This Row],[Date]],"MMMM")</f>
        <v>August</v>
      </c>
      <c r="E465">
        <v>500</v>
      </c>
      <c r="F465" t="s">
        <v>589</v>
      </c>
      <c r="G465" t="s">
        <v>1153</v>
      </c>
      <c r="H465" s="38">
        <v>46246</v>
      </c>
      <c r="I465" cm="1">
        <f t="array" ref="I465">IFERROR(INDEX('ALL STUDENTS'!$A:$A, MATCH(1, ('ALL STUDENTS'!$B:$B = B465) * ('ALL STUDENTS'!$C:$C = C465), 0)), "NOT FOUND")</f>
        <v>2013</v>
      </c>
      <c r="J465" t="str">
        <f>IF(Table26[[#This Row],[Fee]]&gt;500,Table26[[#This Row],[Fee]],"")</f>
        <v/>
      </c>
    </row>
    <row r="466" spans="1:10" hidden="1">
      <c r="A466">
        <v>465</v>
      </c>
      <c r="B466" t="s">
        <v>347</v>
      </c>
      <c r="C466" t="s">
        <v>340</v>
      </c>
      <c r="D466" t="str">
        <f t="array" ref="D466">TEXT(Table26[[#This Row],[Date]],"MMMM")</f>
        <v>August</v>
      </c>
      <c r="E466">
        <v>500</v>
      </c>
      <c r="F466" t="s">
        <v>591</v>
      </c>
      <c r="G466" t="s">
        <v>1154</v>
      </c>
      <c r="H466" s="38">
        <v>46245</v>
      </c>
      <c r="I466" cm="1">
        <f t="array" ref="I466">IFERROR(INDEX('ALL STUDENTS'!$A:$A, MATCH(1, ('ALL STUDENTS'!$B:$B = B466) * ('ALL STUDENTS'!$C:$C = C466), 0)), "NOT FOUND")</f>
        <v>2523</v>
      </c>
      <c r="J466" t="str">
        <f>IF(Table26[[#This Row],[Fee]]&gt;500,Table26[[#This Row],[Fee]],"")</f>
        <v/>
      </c>
    </row>
    <row r="467" spans="1:10" hidden="1">
      <c r="A467">
        <v>466</v>
      </c>
      <c r="B467" t="s">
        <v>347</v>
      </c>
      <c r="C467" t="s">
        <v>340</v>
      </c>
      <c r="D467" t="str">
        <f t="array" ref="D467">TEXT(Table26[[#This Row],[Date]],"MMMM")</f>
        <v>August</v>
      </c>
      <c r="E467">
        <v>500</v>
      </c>
      <c r="F467" t="s">
        <v>591</v>
      </c>
      <c r="G467" t="s">
        <v>1155</v>
      </c>
      <c r="H467" s="38">
        <v>46245</v>
      </c>
      <c r="I467" cm="1">
        <f t="array" ref="I467">IFERROR(INDEX('ALL STUDENTS'!$A:$A, MATCH(1, ('ALL STUDENTS'!$B:$B = B467) * ('ALL STUDENTS'!$C:$C = C467), 0)), "NOT FOUND")</f>
        <v>2523</v>
      </c>
      <c r="J467" t="str">
        <f>IF(Table26[[#This Row],[Fee]]&gt;500,Table26[[#This Row],[Fee]],"")</f>
        <v/>
      </c>
    </row>
    <row r="468" spans="1:10" hidden="1">
      <c r="A468">
        <v>467</v>
      </c>
      <c r="B468" t="s">
        <v>347</v>
      </c>
      <c r="C468" t="s">
        <v>340</v>
      </c>
      <c r="D468" t="str">
        <f t="array" ref="D468">TEXT(Table26[[#This Row],[Date]],"MMMM")</f>
        <v>August</v>
      </c>
      <c r="E468">
        <v>500</v>
      </c>
      <c r="F468" t="s">
        <v>591</v>
      </c>
      <c r="G468" t="s">
        <v>1156</v>
      </c>
      <c r="H468" s="38">
        <v>46245</v>
      </c>
      <c r="I468" cm="1">
        <f t="array" ref="I468">IFERROR(INDEX('ALL STUDENTS'!$A:$A, MATCH(1, ('ALL STUDENTS'!$B:$B = B468) * ('ALL STUDENTS'!$C:$C = C468), 0)), "NOT FOUND")</f>
        <v>2523</v>
      </c>
      <c r="J468" t="str">
        <f>IF(Table26[[#This Row],[Fee]]&gt;500,Table26[[#This Row],[Fee]],"")</f>
        <v/>
      </c>
    </row>
    <row r="469" spans="1:10">
      <c r="A469">
        <v>468</v>
      </c>
      <c r="B469" t="s">
        <v>165</v>
      </c>
      <c r="C469" t="s">
        <v>159</v>
      </c>
      <c r="D469" t="str">
        <f t="array" ref="D469">TEXT(Table26[[#This Row],[Date]],"MMMM")</f>
        <v>August</v>
      </c>
      <c r="E469">
        <v>500</v>
      </c>
      <c r="F469" t="s">
        <v>589</v>
      </c>
      <c r="G469" t="s">
        <v>1157</v>
      </c>
      <c r="H469" s="38">
        <v>46247</v>
      </c>
      <c r="I469" t="str" cm="1">
        <f t="array" ref="I469">IFERROR(INDEX('ALL STUDENTS'!$A:$A, MATCH(1, ('ALL STUDENTS'!$B:$B = B469) * ('ALL STUDENTS'!$C:$C = C469), 0)), "NOT FOUND")</f>
        <v>NOT FOUND</v>
      </c>
      <c r="J469" t="str">
        <f>IF(Table26[[#This Row],[Fee]]&gt;500,Table26[[#This Row],[Fee]],"")</f>
        <v/>
      </c>
    </row>
    <row r="470" spans="1:10">
      <c r="A470">
        <v>469</v>
      </c>
      <c r="B470" t="s">
        <v>165</v>
      </c>
      <c r="C470" t="s">
        <v>159</v>
      </c>
      <c r="D470" t="str">
        <f t="array" ref="D470">TEXT(Table26[[#This Row],[Date]],"MMMM")</f>
        <v>August</v>
      </c>
      <c r="E470">
        <v>500</v>
      </c>
      <c r="F470" t="s">
        <v>589</v>
      </c>
      <c r="G470" t="s">
        <v>1158</v>
      </c>
      <c r="H470" s="38">
        <v>46247</v>
      </c>
      <c r="I470" t="str" cm="1">
        <f t="array" ref="I470">IFERROR(INDEX('ALL STUDENTS'!$A:$A, MATCH(1, ('ALL STUDENTS'!$B:$B = B470) * ('ALL STUDENTS'!$C:$C = C470), 0)), "NOT FOUND")</f>
        <v>NOT FOUND</v>
      </c>
      <c r="J470" t="str">
        <f>IF(Table26[[#This Row],[Fee]]&gt;500,Table26[[#This Row],[Fee]],"")</f>
        <v/>
      </c>
    </row>
    <row r="471" spans="1:10">
      <c r="A471">
        <v>470</v>
      </c>
      <c r="B471" t="s">
        <v>165</v>
      </c>
      <c r="C471" t="s">
        <v>159</v>
      </c>
      <c r="D471" t="str">
        <f t="array" ref="D471">TEXT(Table26[[#This Row],[Date]],"MMMM")</f>
        <v>August</v>
      </c>
      <c r="E471">
        <v>500</v>
      </c>
      <c r="F471" t="s">
        <v>589</v>
      </c>
      <c r="G471" t="s">
        <v>1159</v>
      </c>
      <c r="H471" s="38">
        <v>46247</v>
      </c>
      <c r="I471" t="str" cm="1">
        <f t="array" ref="I471">IFERROR(INDEX('ALL STUDENTS'!$A:$A, MATCH(1, ('ALL STUDENTS'!$B:$B = B471) * ('ALL STUDENTS'!$C:$C = C471), 0)), "NOT FOUND")</f>
        <v>NOT FOUND</v>
      </c>
      <c r="J471" t="str">
        <f>IF(Table26[[#This Row],[Fee]]&gt;500,Table26[[#This Row],[Fee]],"")</f>
        <v/>
      </c>
    </row>
    <row r="472" spans="1:10" hidden="1">
      <c r="A472">
        <v>471</v>
      </c>
      <c r="B472" t="s">
        <v>259</v>
      </c>
      <c r="C472" t="s">
        <v>252</v>
      </c>
      <c r="D472" t="str">
        <f t="array" ref="D472">TEXT(Table26[[#This Row],[Date]],"MMMM")</f>
        <v>August</v>
      </c>
      <c r="E472">
        <v>500</v>
      </c>
      <c r="F472" t="s">
        <v>589</v>
      </c>
      <c r="G472" t="s">
        <v>1160</v>
      </c>
      <c r="H472" s="38">
        <v>46247</v>
      </c>
      <c r="I472" cm="1">
        <f t="array" ref="I472">IFERROR(INDEX('ALL STUDENTS'!$A:$A, MATCH(1, ('ALL STUDENTS'!$B:$B = B472) * ('ALL STUDENTS'!$C:$C = C472), 0)), "NOT FOUND")</f>
        <v>2116</v>
      </c>
      <c r="J472" t="str">
        <f>IF(Table26[[#This Row],[Fee]]&gt;500,Table26[[#This Row],[Fee]],"")</f>
        <v/>
      </c>
    </row>
    <row r="473" spans="1:10" hidden="1">
      <c r="A473">
        <v>472</v>
      </c>
      <c r="B473" t="s">
        <v>26</v>
      </c>
      <c r="C473" t="s">
        <v>20</v>
      </c>
      <c r="D473" t="str">
        <f t="array" ref="D473">TEXT(Table26[[#This Row],[Date]],"MMMM")</f>
        <v>August</v>
      </c>
      <c r="E473">
        <v>500</v>
      </c>
      <c r="F473" t="s">
        <v>589</v>
      </c>
      <c r="G473" t="s">
        <v>1161</v>
      </c>
      <c r="H473" s="38">
        <v>46247</v>
      </c>
      <c r="I473" cm="1">
        <f t="array" ref="I473">IFERROR(INDEX('ALL STUDENTS'!$A:$A, MATCH(1, ('ALL STUDENTS'!$B:$B = B473) * ('ALL STUDENTS'!$C:$C = C473), 0)), "NOT FOUND")</f>
        <v>3066</v>
      </c>
      <c r="J473" t="str">
        <f>IF(Table26[[#This Row],[Fee]]&gt;500,Table26[[#This Row],[Fee]],"")</f>
        <v/>
      </c>
    </row>
    <row r="474" spans="1:10" hidden="1">
      <c r="A474">
        <v>473</v>
      </c>
      <c r="B474" t="s">
        <v>193</v>
      </c>
      <c r="C474" t="s">
        <v>185</v>
      </c>
      <c r="D474" t="str">
        <f t="array" ref="D474">TEXT(Table26[[#This Row],[Date]],"MMMM")</f>
        <v>August</v>
      </c>
      <c r="E474">
        <v>500</v>
      </c>
      <c r="F474" t="s">
        <v>589</v>
      </c>
      <c r="G474" t="s">
        <v>1162</v>
      </c>
      <c r="H474" s="38">
        <v>46247</v>
      </c>
      <c r="I474" cm="1">
        <f t="array" ref="I474">IFERROR(INDEX('ALL STUDENTS'!$A:$A, MATCH(1, ('ALL STUDENTS'!$B:$B = B474) * ('ALL STUDENTS'!$C:$C = C474), 0)), "NOT FOUND")</f>
        <v>1805</v>
      </c>
      <c r="J474" t="str">
        <f>IF(Table26[[#This Row],[Fee]]&gt;500,Table26[[#This Row],[Fee]],"")</f>
        <v/>
      </c>
    </row>
    <row r="475" spans="1:10" hidden="1">
      <c r="A475">
        <v>474</v>
      </c>
      <c r="B475" t="s">
        <v>193</v>
      </c>
      <c r="C475" t="s">
        <v>185</v>
      </c>
      <c r="D475" t="str">
        <f t="array" ref="D475">TEXT(Table26[[#This Row],[Date]],"MMMM")</f>
        <v>August</v>
      </c>
      <c r="E475">
        <v>500</v>
      </c>
      <c r="F475" t="s">
        <v>589</v>
      </c>
      <c r="G475" t="s">
        <v>1163</v>
      </c>
      <c r="H475" s="38">
        <v>46247</v>
      </c>
      <c r="I475" cm="1">
        <f t="array" ref="I475">IFERROR(INDEX('ALL STUDENTS'!$A:$A, MATCH(1, ('ALL STUDENTS'!$B:$B = B475) * ('ALL STUDENTS'!$C:$C = C475), 0)), "NOT FOUND")</f>
        <v>1805</v>
      </c>
      <c r="J475" t="str">
        <f>IF(Table26[[#This Row],[Fee]]&gt;500,Table26[[#This Row],[Fee]],"")</f>
        <v/>
      </c>
    </row>
    <row r="476" spans="1:10" hidden="1">
      <c r="A476">
        <v>475</v>
      </c>
      <c r="B476" t="s">
        <v>27</v>
      </c>
      <c r="C476" t="s">
        <v>20</v>
      </c>
      <c r="D476" t="str">
        <f t="array" ref="D476">TEXT(Table26[[#This Row],[Date]],"MMMM")</f>
        <v>August</v>
      </c>
      <c r="E476">
        <v>500</v>
      </c>
      <c r="F476" t="s">
        <v>589</v>
      </c>
      <c r="G476" t="s">
        <v>1164</v>
      </c>
      <c r="H476" s="38">
        <v>46246</v>
      </c>
      <c r="I476" cm="1">
        <f t="array" ref="I476">IFERROR(INDEX('ALL STUDENTS'!$A:$A, MATCH(1, ('ALL STUDENTS'!$B:$B = B476) * ('ALL STUDENTS'!$C:$C = C476), 0)), "NOT FOUND")</f>
        <v>3062</v>
      </c>
      <c r="J476" t="str">
        <f>IF(Table26[[#This Row],[Fee]]&gt;500,Table26[[#This Row],[Fee]],"")</f>
        <v/>
      </c>
    </row>
    <row r="477" spans="1:10" hidden="1">
      <c r="A477">
        <v>476</v>
      </c>
      <c r="B477" t="s">
        <v>180</v>
      </c>
      <c r="C477" s="3" t="s">
        <v>175</v>
      </c>
      <c r="D477" t="str">
        <f t="array" ref="D477">TEXT(Table26[[#This Row],[Date]],"MMMM")</f>
        <v>August</v>
      </c>
      <c r="E477">
        <v>500</v>
      </c>
      <c r="F477" t="s">
        <v>589</v>
      </c>
      <c r="G477" t="s">
        <v>1165</v>
      </c>
      <c r="H477" s="38">
        <v>46246</v>
      </c>
      <c r="I477" cm="1">
        <f t="array" ref="I477">IFERROR(INDEX('ALL STUDENTS'!$A:$A, MATCH(1, ('ALL STUDENTS'!$B:$B = B477) * ('ALL STUDENTS'!$C:$C = C477), 0)), "NOT FOUND")</f>
        <v>1872</v>
      </c>
      <c r="J477" t="str">
        <f>IF(Table26[[#This Row],[Fee]]&gt;500,Table26[[#This Row],[Fee]],"")</f>
        <v/>
      </c>
    </row>
    <row r="478" spans="1:10" hidden="1">
      <c r="A478">
        <v>477</v>
      </c>
      <c r="B478" t="s">
        <v>139</v>
      </c>
      <c r="C478" t="s">
        <v>520</v>
      </c>
      <c r="D478" t="str">
        <f t="array" ref="D478">TEXT(Table26[[#This Row],[Date]],"MMMM")</f>
        <v>August</v>
      </c>
      <c r="E478">
        <v>500</v>
      </c>
      <c r="F478" t="s">
        <v>589</v>
      </c>
      <c r="G478" t="s">
        <v>1166</v>
      </c>
      <c r="H478" s="38">
        <v>46244</v>
      </c>
      <c r="I478" cm="1">
        <f t="array" ref="I478">IFERROR(INDEX('ALL STUDENTS'!$A:$A, MATCH(1, ('ALL STUDENTS'!$B:$B = B478) * ('ALL STUDENTS'!$C:$C = C478), 0)), "NOT FOUND")</f>
        <v>74</v>
      </c>
      <c r="J478" t="str">
        <f>IF(Table26[[#This Row],[Fee]]&gt;500,Table26[[#This Row],[Fee]],"")</f>
        <v/>
      </c>
    </row>
    <row r="479" spans="1:10" hidden="1">
      <c r="A479">
        <v>478</v>
      </c>
      <c r="B479" t="s">
        <v>201</v>
      </c>
      <c r="C479" t="s">
        <v>195</v>
      </c>
      <c r="D479" t="str">
        <f t="array" ref="D479">TEXT(Table26[[#This Row],[Date]],"MMMM")</f>
        <v>August</v>
      </c>
      <c r="E479">
        <v>500</v>
      </c>
      <c r="F479" t="s">
        <v>589</v>
      </c>
      <c r="G479" t="s">
        <v>1167</v>
      </c>
      <c r="H479" s="38">
        <v>46244</v>
      </c>
      <c r="I479" cm="1">
        <f t="array" ref="I479">IFERROR(INDEX('ALL STUDENTS'!$A:$A, MATCH(1, ('ALL STUDENTS'!$B:$B = B479) * ('ALL STUDENTS'!$C:$C = C479), 0)), "NOT FOUND")</f>
        <v>1910</v>
      </c>
      <c r="J479" t="str">
        <f>IF(Table26[[#This Row],[Fee]]&gt;500,Table26[[#This Row],[Fee]],"")</f>
        <v/>
      </c>
    </row>
    <row r="480" spans="1:10" hidden="1">
      <c r="A480">
        <v>479</v>
      </c>
      <c r="B480" t="s">
        <v>28</v>
      </c>
      <c r="C480" t="s">
        <v>20</v>
      </c>
      <c r="D480" t="str">
        <f t="array" ref="D480">TEXT(Table26[[#This Row],[Date]],"MMMM")</f>
        <v>August</v>
      </c>
      <c r="E480">
        <v>500</v>
      </c>
      <c r="F480" t="s">
        <v>589</v>
      </c>
      <c r="G480" t="s">
        <v>1168</v>
      </c>
      <c r="H480" s="38">
        <v>46246</v>
      </c>
      <c r="I480" cm="1">
        <f t="array" ref="I480">IFERROR(INDEX('ALL STUDENTS'!$A:$A, MATCH(1, ('ALL STUDENTS'!$B:$B = B480) * ('ALL STUDENTS'!$C:$C = C480), 0)), "NOT FOUND")</f>
        <v>3055</v>
      </c>
      <c r="J480" t="str">
        <f>IF(Table26[[#This Row],[Fee]]&gt;500,Table26[[#This Row],[Fee]],"")</f>
        <v/>
      </c>
    </row>
    <row r="481" spans="1:10" hidden="1">
      <c r="A481">
        <v>480</v>
      </c>
      <c r="B481" t="s">
        <v>413</v>
      </c>
      <c r="C481" t="s">
        <v>409</v>
      </c>
      <c r="D481" t="str">
        <f t="array" ref="D481">TEXT(Table26[[#This Row],[Date]],"MMMM")</f>
        <v>August</v>
      </c>
      <c r="E481">
        <v>500</v>
      </c>
      <c r="F481" t="s">
        <v>589</v>
      </c>
      <c r="G481" t="s">
        <v>1169</v>
      </c>
      <c r="H481" s="38">
        <v>46243</v>
      </c>
      <c r="I481" cm="1">
        <f t="array" ref="I481">IFERROR(INDEX('ALL STUDENTS'!$A:$A, MATCH(1, ('ALL STUDENTS'!$B:$B = B481) * ('ALL STUDENTS'!$C:$C = C481), 0)), "NOT FOUND")</f>
        <v>950</v>
      </c>
      <c r="J481" t="str">
        <f>IF(Table26[[#This Row],[Fee]]&gt;500,Table26[[#This Row],[Fee]],"")</f>
        <v/>
      </c>
    </row>
    <row r="482" spans="1:10" hidden="1">
      <c r="A482">
        <v>481</v>
      </c>
      <c r="B482" t="s">
        <v>267</v>
      </c>
      <c r="C482" t="s">
        <v>265</v>
      </c>
      <c r="D482" t="str">
        <f t="array" ref="D482">TEXT(Table26[[#This Row],[Date]],"MMMM")</f>
        <v>August</v>
      </c>
      <c r="E482">
        <v>500</v>
      </c>
      <c r="F482" t="s">
        <v>589</v>
      </c>
      <c r="G482" t="s">
        <v>1170</v>
      </c>
      <c r="H482" s="38">
        <v>46240</v>
      </c>
      <c r="I482" cm="1">
        <f t="array" ref="I482">IFERROR(INDEX('ALL STUDENTS'!$A:$A, MATCH(1, ('ALL STUDENTS'!$B:$B = B482) * ('ALL STUDENTS'!$C:$C = C482), 0)), "NOT FOUND")</f>
        <v>2176</v>
      </c>
      <c r="J482" t="str">
        <f>IF(Table26[[#This Row],[Fee]]&gt;500,Table26[[#This Row],[Fee]],"")</f>
        <v/>
      </c>
    </row>
    <row r="483" spans="1:10" hidden="1">
      <c r="A483">
        <v>482</v>
      </c>
      <c r="B483" t="s">
        <v>348</v>
      </c>
      <c r="C483" t="s">
        <v>340</v>
      </c>
      <c r="D483" t="str">
        <f t="array" ref="D483">TEXT(Table26[[#This Row],[Date]],"MMMM")</f>
        <v>August</v>
      </c>
      <c r="E483">
        <v>500</v>
      </c>
      <c r="F483" t="s">
        <v>589</v>
      </c>
      <c r="G483" t="s">
        <v>1171</v>
      </c>
      <c r="H483" s="38">
        <v>46246</v>
      </c>
      <c r="I483" cm="1">
        <f t="array" ref="I483">IFERROR(INDEX('ALL STUDENTS'!$A:$A, MATCH(1, ('ALL STUDENTS'!$B:$B = B483) * ('ALL STUDENTS'!$C:$C = C483), 0)), "NOT FOUND")</f>
        <v>2498</v>
      </c>
      <c r="J483" t="str">
        <f>IF(Table26[[#This Row],[Fee]]&gt;500,Table26[[#This Row],[Fee]],"")</f>
        <v/>
      </c>
    </row>
    <row r="484" spans="1:10" hidden="1">
      <c r="A484">
        <v>483</v>
      </c>
      <c r="B484" t="s">
        <v>348</v>
      </c>
      <c r="C484" t="s">
        <v>340</v>
      </c>
      <c r="D484" t="str">
        <f t="array" ref="D484">TEXT(Table26[[#This Row],[Date]],"MMMM")</f>
        <v>August</v>
      </c>
      <c r="E484">
        <v>500</v>
      </c>
      <c r="F484" t="s">
        <v>589</v>
      </c>
      <c r="G484" t="s">
        <v>1172</v>
      </c>
      <c r="H484" s="38">
        <v>46246</v>
      </c>
      <c r="I484" cm="1">
        <f t="array" ref="I484">IFERROR(INDEX('ALL STUDENTS'!$A:$A, MATCH(1, ('ALL STUDENTS'!$B:$B = B484) * ('ALL STUDENTS'!$C:$C = C484), 0)), "NOT FOUND")</f>
        <v>2498</v>
      </c>
      <c r="J484" t="str">
        <f>IF(Table26[[#This Row],[Fee]]&gt;500,Table26[[#This Row],[Fee]],"")</f>
        <v/>
      </c>
    </row>
    <row r="485" spans="1:10" hidden="1">
      <c r="A485">
        <v>484</v>
      </c>
      <c r="B485" t="s">
        <v>348</v>
      </c>
      <c r="C485" t="s">
        <v>340</v>
      </c>
      <c r="D485" t="str">
        <f t="array" ref="D485">TEXT(Table26[[#This Row],[Date]],"MMMM")</f>
        <v>August</v>
      </c>
      <c r="E485">
        <v>500</v>
      </c>
      <c r="F485" t="s">
        <v>589</v>
      </c>
      <c r="G485" t="s">
        <v>1173</v>
      </c>
      <c r="H485" s="38">
        <v>46246</v>
      </c>
      <c r="I485" cm="1">
        <f t="array" ref="I485">IFERROR(INDEX('ALL STUDENTS'!$A:$A, MATCH(1, ('ALL STUDENTS'!$B:$B = B485) * ('ALL STUDENTS'!$C:$C = C485), 0)), "NOT FOUND")</f>
        <v>2498</v>
      </c>
      <c r="J485" t="str">
        <f>IF(Table26[[#This Row],[Fee]]&gt;500,Table26[[#This Row],[Fee]],"")</f>
        <v/>
      </c>
    </row>
    <row r="486" spans="1:10">
      <c r="A486">
        <v>485</v>
      </c>
      <c r="B486" t="s">
        <v>338</v>
      </c>
      <c r="C486" t="s">
        <v>334</v>
      </c>
      <c r="D486" t="str">
        <f t="array" ref="D486">TEXT(Table26[[#This Row],[Date]],"MMMM")</f>
        <v>August</v>
      </c>
      <c r="E486">
        <v>500</v>
      </c>
      <c r="F486" t="s">
        <v>589</v>
      </c>
      <c r="G486" t="s">
        <v>1174</v>
      </c>
      <c r="H486" s="38">
        <v>46246</v>
      </c>
      <c r="I486" t="str" cm="1">
        <f t="array" ref="I486">IFERROR(INDEX('ALL STUDENTS'!$A:$A, MATCH(1, ('ALL STUDENTS'!$B:$B = B486) * ('ALL STUDENTS'!$C:$C = C486), 0)), "NOT FOUND")</f>
        <v>NOT FOUND</v>
      </c>
      <c r="J486" t="str">
        <f>IF(Table26[[#This Row],[Fee]]&gt;500,Table26[[#This Row],[Fee]],"")</f>
        <v/>
      </c>
    </row>
    <row r="487" spans="1:10" hidden="1">
      <c r="A487">
        <v>486</v>
      </c>
      <c r="B487" t="s">
        <v>41</v>
      </c>
      <c r="C487" t="s">
        <v>32</v>
      </c>
      <c r="D487" t="str">
        <f t="array" ref="D487">TEXT(Table26[[#This Row],[Date]],"MMMM")</f>
        <v>August</v>
      </c>
      <c r="E487">
        <v>500</v>
      </c>
      <c r="F487" t="s">
        <v>589</v>
      </c>
      <c r="G487" t="s">
        <v>1175</v>
      </c>
      <c r="H487" s="38">
        <v>46246</v>
      </c>
      <c r="I487" cm="1">
        <f t="array" ref="I487">IFERROR(INDEX('ALL STUDENTS'!$A:$A, MATCH(1, ('ALL STUDENTS'!$B:$B = B487) * ('ALL STUDENTS'!$C:$C = C487), 0)), "NOT FOUND")</f>
        <v>3069</v>
      </c>
      <c r="J487" t="str">
        <f>IF(Table26[[#This Row],[Fee]]&gt;500,Table26[[#This Row],[Fee]],"")</f>
        <v/>
      </c>
    </row>
    <row r="488" spans="1:10" hidden="1">
      <c r="A488">
        <v>487</v>
      </c>
      <c r="B488" t="s">
        <v>41</v>
      </c>
      <c r="C488" t="s">
        <v>32</v>
      </c>
      <c r="D488" t="str">
        <f t="array" ref="D488">TEXT(Table26[[#This Row],[Date]],"MMMM")</f>
        <v>August</v>
      </c>
      <c r="E488">
        <v>500</v>
      </c>
      <c r="F488" t="s">
        <v>589</v>
      </c>
      <c r="G488" t="s">
        <v>1176</v>
      </c>
      <c r="H488" s="38">
        <v>46246</v>
      </c>
      <c r="I488" cm="1">
        <f t="array" ref="I488">IFERROR(INDEX('ALL STUDENTS'!$A:$A, MATCH(1, ('ALL STUDENTS'!$B:$B = B488) * ('ALL STUDENTS'!$C:$C = C488), 0)), "NOT FOUND")</f>
        <v>3069</v>
      </c>
      <c r="J488" t="str">
        <f>IF(Table26[[#This Row],[Fee]]&gt;500,Table26[[#This Row],[Fee]],"")</f>
        <v/>
      </c>
    </row>
    <row r="489" spans="1:10" hidden="1">
      <c r="A489">
        <v>488</v>
      </c>
      <c r="B489" t="s">
        <v>41</v>
      </c>
      <c r="C489" t="s">
        <v>32</v>
      </c>
      <c r="D489" t="str">
        <f t="array" ref="D489">TEXT(Table26[[#This Row],[Date]],"MMMM")</f>
        <v>August</v>
      </c>
      <c r="E489">
        <v>500</v>
      </c>
      <c r="F489" t="s">
        <v>589</v>
      </c>
      <c r="G489" t="s">
        <v>1177</v>
      </c>
      <c r="H489" s="38">
        <v>46246</v>
      </c>
      <c r="I489" cm="1">
        <f t="array" ref="I489">IFERROR(INDEX('ALL STUDENTS'!$A:$A, MATCH(1, ('ALL STUDENTS'!$B:$B = B489) * ('ALL STUDENTS'!$C:$C = C489), 0)), "NOT FOUND")</f>
        <v>3069</v>
      </c>
      <c r="J489" t="str">
        <f>IF(Table26[[#This Row],[Fee]]&gt;500,Table26[[#This Row],[Fee]],"")</f>
        <v/>
      </c>
    </row>
    <row r="490" spans="1:10" hidden="1">
      <c r="A490">
        <v>489</v>
      </c>
      <c r="B490" t="s">
        <v>405</v>
      </c>
      <c r="C490" t="s">
        <v>397</v>
      </c>
      <c r="D490" t="str">
        <f t="array" ref="D490">TEXT(Table26[[#This Row],[Date]],"MMMM")</f>
        <v>August</v>
      </c>
      <c r="E490">
        <v>500</v>
      </c>
      <c r="F490" t="s">
        <v>589</v>
      </c>
      <c r="G490" t="s">
        <v>1178</v>
      </c>
      <c r="H490" s="38">
        <v>46246</v>
      </c>
      <c r="I490" cm="1">
        <f t="array" ref="I490">IFERROR(INDEX('ALL STUDENTS'!$A:$A, MATCH(1, ('ALL STUDENTS'!$B:$B = B490) * ('ALL STUDENTS'!$C:$C = C490), 0)), "NOT FOUND")</f>
        <v>931</v>
      </c>
      <c r="J490" t="str">
        <f>IF(Table26[[#This Row],[Fee]]&gt;500,Table26[[#This Row],[Fee]],"")</f>
        <v/>
      </c>
    </row>
    <row r="491" spans="1:10" hidden="1">
      <c r="A491">
        <v>490</v>
      </c>
      <c r="B491" t="s">
        <v>405</v>
      </c>
      <c r="C491" t="s">
        <v>397</v>
      </c>
      <c r="D491" t="str">
        <f t="array" ref="D491">TEXT(Table26[[#This Row],[Date]],"MMMM")</f>
        <v>August</v>
      </c>
      <c r="E491">
        <v>500</v>
      </c>
      <c r="F491" t="s">
        <v>589</v>
      </c>
      <c r="G491" t="s">
        <v>1179</v>
      </c>
      <c r="H491" s="38">
        <v>46246</v>
      </c>
      <c r="I491" cm="1">
        <f t="array" ref="I491">IFERROR(INDEX('ALL STUDENTS'!$A:$A, MATCH(1, ('ALL STUDENTS'!$B:$B = B491) * ('ALL STUDENTS'!$C:$C = C491), 0)), "NOT FOUND")</f>
        <v>931</v>
      </c>
      <c r="J491" t="str">
        <f>IF(Table26[[#This Row],[Fee]]&gt;500,Table26[[#This Row],[Fee]],"")</f>
        <v/>
      </c>
    </row>
    <row r="492" spans="1:10" hidden="1">
      <c r="A492">
        <v>491</v>
      </c>
      <c r="B492" t="s">
        <v>405</v>
      </c>
      <c r="C492" t="s">
        <v>397</v>
      </c>
      <c r="D492" t="str">
        <f t="array" ref="D492">TEXT(Table26[[#This Row],[Date]],"MMMM")</f>
        <v>August</v>
      </c>
      <c r="E492">
        <v>500</v>
      </c>
      <c r="F492" t="s">
        <v>589</v>
      </c>
      <c r="G492" t="s">
        <v>1180</v>
      </c>
      <c r="H492" s="38">
        <v>46246</v>
      </c>
      <c r="I492" cm="1">
        <f t="array" ref="I492">IFERROR(INDEX('ALL STUDENTS'!$A:$A, MATCH(1, ('ALL STUDENTS'!$B:$B = B492) * ('ALL STUDENTS'!$C:$C = C492), 0)), "NOT FOUND")</f>
        <v>931</v>
      </c>
      <c r="J492" t="str">
        <f>IF(Table26[[#This Row],[Fee]]&gt;500,Table26[[#This Row],[Fee]],"")</f>
        <v/>
      </c>
    </row>
    <row r="493" spans="1:10" hidden="1">
      <c r="A493">
        <v>492</v>
      </c>
      <c r="B493" t="s">
        <v>124</v>
      </c>
      <c r="C493" t="s">
        <v>119</v>
      </c>
      <c r="D493" t="str">
        <f t="array" ref="D493">TEXT(Table26[[#This Row],[Date]],"MMMM")</f>
        <v>August</v>
      </c>
      <c r="E493">
        <v>500</v>
      </c>
      <c r="F493" t="s">
        <v>589</v>
      </c>
      <c r="G493" t="s">
        <v>1181</v>
      </c>
      <c r="H493" s="38">
        <v>46246</v>
      </c>
      <c r="I493" cm="1">
        <f t="array" ref="I493">IFERROR(INDEX('ALL STUDENTS'!$A:$A, MATCH(1, ('ALL STUDENTS'!$B:$B = B493) * ('ALL STUDENTS'!$C:$C = C493), 0)), "NOT FOUND")</f>
        <v>1687</v>
      </c>
      <c r="J493" t="str">
        <f>IF(Table26[[#This Row],[Fee]]&gt;500,Table26[[#This Row],[Fee]],"")</f>
        <v/>
      </c>
    </row>
    <row r="494" spans="1:10" hidden="1">
      <c r="A494">
        <v>493</v>
      </c>
      <c r="B494" t="s">
        <v>124</v>
      </c>
      <c r="C494" t="s">
        <v>119</v>
      </c>
      <c r="D494" t="str">
        <f t="array" ref="D494">TEXT(Table26[[#This Row],[Date]],"MMMM")</f>
        <v>August</v>
      </c>
      <c r="E494">
        <v>500</v>
      </c>
      <c r="F494" t="s">
        <v>589</v>
      </c>
      <c r="G494" t="s">
        <v>1182</v>
      </c>
      <c r="H494" s="38">
        <v>46246</v>
      </c>
      <c r="I494" cm="1">
        <f t="array" ref="I494">IFERROR(INDEX('ALL STUDENTS'!$A:$A, MATCH(1, ('ALL STUDENTS'!$B:$B = B494) * ('ALL STUDENTS'!$C:$C = C494), 0)), "NOT FOUND")</f>
        <v>1687</v>
      </c>
      <c r="J494" t="str">
        <f>IF(Table26[[#This Row],[Fee]]&gt;500,Table26[[#This Row],[Fee]],"")</f>
        <v/>
      </c>
    </row>
    <row r="495" spans="1:10" hidden="1">
      <c r="A495">
        <v>494</v>
      </c>
      <c r="B495" t="s">
        <v>124</v>
      </c>
      <c r="C495" t="s">
        <v>119</v>
      </c>
      <c r="D495" t="str">
        <f t="array" ref="D495">TEXT(Table26[[#This Row],[Date]],"MMMM")</f>
        <v>August</v>
      </c>
      <c r="E495">
        <v>500</v>
      </c>
      <c r="F495" t="s">
        <v>589</v>
      </c>
      <c r="G495" t="s">
        <v>1183</v>
      </c>
      <c r="H495" s="38">
        <v>46246</v>
      </c>
      <c r="I495" cm="1">
        <f t="array" ref="I495">IFERROR(INDEX('ALL STUDENTS'!$A:$A, MATCH(1, ('ALL STUDENTS'!$B:$B = B495) * ('ALL STUDENTS'!$C:$C = C495), 0)), "NOT FOUND")</f>
        <v>1687</v>
      </c>
      <c r="J495" t="str">
        <f>IF(Table26[[#This Row],[Fee]]&gt;500,Table26[[#This Row],[Fee]],"")</f>
        <v/>
      </c>
    </row>
    <row r="496" spans="1:10" hidden="1">
      <c r="A496">
        <v>495</v>
      </c>
      <c r="B496" t="s">
        <v>181</v>
      </c>
      <c r="C496" s="3" t="s">
        <v>175</v>
      </c>
      <c r="D496" t="str">
        <f t="array" ref="D496">TEXT(Table26[[#This Row],[Date]],"MMMM")</f>
        <v>August</v>
      </c>
      <c r="E496">
        <v>500</v>
      </c>
      <c r="F496" t="s">
        <v>589</v>
      </c>
      <c r="G496" t="s">
        <v>1184</v>
      </c>
      <c r="H496" s="38">
        <v>46246</v>
      </c>
      <c r="I496" cm="1">
        <f t="array" ref="I496">IFERROR(INDEX('ALL STUDENTS'!$A:$A, MATCH(1, ('ALL STUDENTS'!$B:$B = B496) * ('ALL STUDENTS'!$C:$C = C496), 0)), "NOT FOUND")</f>
        <v>1904</v>
      </c>
      <c r="J496" t="str">
        <f>IF(Table26[[#This Row],[Fee]]&gt;500,Table26[[#This Row],[Fee]],"")</f>
        <v/>
      </c>
    </row>
    <row r="497" spans="1:10" hidden="1">
      <c r="A497">
        <v>496</v>
      </c>
      <c r="B497" t="s">
        <v>354</v>
      </c>
      <c r="C497" t="s">
        <v>351</v>
      </c>
      <c r="D497" t="str">
        <f t="array" ref="D497">TEXT(Table26[[#This Row],[Date]],"MMMM")</f>
        <v>August</v>
      </c>
      <c r="E497">
        <v>500</v>
      </c>
      <c r="F497" t="s">
        <v>589</v>
      </c>
      <c r="G497" t="s">
        <v>1185</v>
      </c>
      <c r="H497" s="38">
        <v>46246</v>
      </c>
      <c r="I497" cm="1">
        <f t="array" ref="I497">IFERROR(INDEX('ALL STUDENTS'!$A:$A, MATCH(1, ('ALL STUDENTS'!$B:$B = B497) * ('ALL STUDENTS'!$C:$C = C497), 0)), "NOT FOUND")</f>
        <v>2550</v>
      </c>
      <c r="J497" t="str">
        <f>IF(Table26[[#This Row],[Fee]]&gt;500,Table26[[#This Row],[Fee]],"")</f>
        <v/>
      </c>
    </row>
    <row r="498" spans="1:10" hidden="1">
      <c r="A498">
        <v>497</v>
      </c>
      <c r="B498" t="s">
        <v>476</v>
      </c>
      <c r="C498" t="s">
        <v>467</v>
      </c>
      <c r="D498" t="str">
        <f t="array" ref="D498">TEXT(Table26[[#This Row],[Date]],"MMMM")</f>
        <v>August</v>
      </c>
      <c r="E498">
        <v>500</v>
      </c>
      <c r="F498" t="s">
        <v>589</v>
      </c>
      <c r="G498" t="s">
        <v>1186</v>
      </c>
      <c r="H498" s="38">
        <v>46246</v>
      </c>
      <c r="I498" cm="1">
        <f t="array" ref="I498">IFERROR(INDEX('ALL STUDENTS'!$A:$A, MATCH(1, ('ALL STUDENTS'!$B:$B = B498) * ('ALL STUDENTS'!$C:$C = C498), 0)), "NOT FOUND")</f>
        <v>254</v>
      </c>
      <c r="J498" t="str">
        <f>IF(Table26[[#This Row],[Fee]]&gt;500,Table26[[#This Row],[Fee]],"")</f>
        <v/>
      </c>
    </row>
    <row r="499" spans="1:10" hidden="1">
      <c r="A499">
        <v>498</v>
      </c>
      <c r="B499" t="s">
        <v>570</v>
      </c>
      <c r="C499" t="s">
        <v>569</v>
      </c>
      <c r="D499" t="str">
        <f t="array" ref="D499">TEXT(Table26[[#This Row],[Date]],"MMMM")</f>
        <v>August</v>
      </c>
      <c r="E499">
        <v>500</v>
      </c>
      <c r="F499" t="s">
        <v>589</v>
      </c>
      <c r="G499" t="s">
        <v>1187</v>
      </c>
      <c r="H499" s="38">
        <v>46246</v>
      </c>
      <c r="I499" cm="1">
        <f t="array" ref="I499">IFERROR(INDEX('ALL STUDENTS'!$A:$A, MATCH(1, ('ALL STUDENTS'!$B:$B = B499) * ('ALL STUDENTS'!$C:$C = C499), 0)), "NOT FOUND")</f>
        <v>1330</v>
      </c>
      <c r="J499" t="str">
        <f>IF(Table26[[#This Row],[Fee]]&gt;500,Table26[[#This Row],[Fee]],"")</f>
        <v/>
      </c>
    </row>
    <row r="500" spans="1:10" hidden="1">
      <c r="A500">
        <v>499</v>
      </c>
      <c r="B500" t="s">
        <v>449</v>
      </c>
      <c r="C500" t="s">
        <v>447</v>
      </c>
      <c r="D500" t="str">
        <f t="array" ref="D500">TEXT(Table26[[#This Row],[Date]],"MMMM")</f>
        <v>August</v>
      </c>
      <c r="E500">
        <v>500</v>
      </c>
      <c r="F500" t="s">
        <v>589</v>
      </c>
      <c r="G500" t="s">
        <v>689</v>
      </c>
      <c r="H500" s="38">
        <v>46246</v>
      </c>
      <c r="I500" cm="1">
        <f t="array" ref="I500">IFERROR(INDEX('ALL STUDENTS'!$A:$A, MATCH(1, ('ALL STUDENTS'!$B:$B = B500) * ('ALL STUDENTS'!$C:$C = C500), 0)), "NOT FOUND")</f>
        <v>663</v>
      </c>
      <c r="J500" t="str">
        <f>IF(Table26[[#This Row],[Fee]]&gt;500,Table26[[#This Row],[Fee]],"")</f>
        <v/>
      </c>
    </row>
    <row r="501" spans="1:10" hidden="1">
      <c r="A501">
        <v>500</v>
      </c>
      <c r="B501" t="s">
        <v>449</v>
      </c>
      <c r="C501" t="s">
        <v>447</v>
      </c>
      <c r="D501" t="str">
        <f t="array" ref="D501">TEXT(Table26[[#This Row],[Date]],"MMMM")</f>
        <v>August</v>
      </c>
      <c r="E501">
        <v>500</v>
      </c>
      <c r="F501" t="s">
        <v>589</v>
      </c>
      <c r="G501" t="s">
        <v>1188</v>
      </c>
      <c r="H501" s="38">
        <v>46246</v>
      </c>
      <c r="I501" cm="1">
        <f t="array" ref="I501">IFERROR(INDEX('ALL STUDENTS'!$A:$A, MATCH(1, ('ALL STUDENTS'!$B:$B = B501) * ('ALL STUDENTS'!$C:$C = C501), 0)), "NOT FOUND")</f>
        <v>663</v>
      </c>
      <c r="J501" t="str">
        <f>IF(Table26[[#This Row],[Fee]]&gt;500,Table26[[#This Row],[Fee]],"")</f>
        <v/>
      </c>
    </row>
    <row r="502" spans="1:10" hidden="1">
      <c r="A502">
        <v>501</v>
      </c>
      <c r="B502" t="s">
        <v>449</v>
      </c>
      <c r="C502" t="s">
        <v>447</v>
      </c>
      <c r="D502" t="str">
        <f t="array" ref="D502">TEXT(Table26[[#This Row],[Date]],"MMMM")</f>
        <v>August</v>
      </c>
      <c r="E502">
        <v>500</v>
      </c>
      <c r="F502" t="s">
        <v>589</v>
      </c>
      <c r="G502" t="s">
        <v>1189</v>
      </c>
      <c r="H502" s="38">
        <v>46246</v>
      </c>
      <c r="I502" cm="1">
        <f t="array" ref="I502">IFERROR(INDEX('ALL STUDENTS'!$A:$A, MATCH(1, ('ALL STUDENTS'!$B:$B = B502) * ('ALL STUDENTS'!$C:$C = C502), 0)), "NOT FOUND")</f>
        <v>663</v>
      </c>
      <c r="J502" t="str">
        <f>IF(Table26[[#This Row],[Fee]]&gt;500,Table26[[#This Row],[Fee]],"")</f>
        <v/>
      </c>
    </row>
    <row r="503" spans="1:10" hidden="1">
      <c r="A503">
        <v>502</v>
      </c>
      <c r="B503" t="s">
        <v>450</v>
      </c>
      <c r="C503" t="s">
        <v>447</v>
      </c>
      <c r="D503" t="str">
        <f t="array" ref="D503">TEXT(Table26[[#This Row],[Date]],"MMMM")</f>
        <v>August</v>
      </c>
      <c r="E503">
        <v>500</v>
      </c>
      <c r="F503" t="s">
        <v>589</v>
      </c>
      <c r="G503" t="s">
        <v>1190</v>
      </c>
      <c r="H503" s="38">
        <v>46246</v>
      </c>
      <c r="I503" cm="1">
        <f t="array" ref="I503">IFERROR(INDEX('ALL STUDENTS'!$A:$A, MATCH(1, ('ALL STUDENTS'!$B:$B = B503) * ('ALL STUDENTS'!$C:$C = C503), 0)), "NOT FOUND")</f>
        <v>662</v>
      </c>
      <c r="J503" t="str">
        <f>IF(Table26[[#This Row],[Fee]]&gt;500,Table26[[#This Row],[Fee]],"")</f>
        <v/>
      </c>
    </row>
    <row r="504" spans="1:10" hidden="1">
      <c r="A504">
        <v>503</v>
      </c>
      <c r="B504" t="s">
        <v>450</v>
      </c>
      <c r="C504" t="s">
        <v>447</v>
      </c>
      <c r="D504" t="str">
        <f t="array" ref="D504">TEXT(Table26[[#This Row],[Date]],"MMMM")</f>
        <v>August</v>
      </c>
      <c r="E504">
        <v>500</v>
      </c>
      <c r="F504" t="s">
        <v>589</v>
      </c>
      <c r="G504" t="s">
        <v>1191</v>
      </c>
      <c r="H504" s="38">
        <v>46246</v>
      </c>
      <c r="I504" cm="1">
        <f t="array" ref="I504">IFERROR(INDEX('ALL STUDENTS'!$A:$A, MATCH(1, ('ALL STUDENTS'!$B:$B = B504) * ('ALL STUDENTS'!$C:$C = C504), 0)), "NOT FOUND")</f>
        <v>662</v>
      </c>
      <c r="J504" t="str">
        <f>IF(Table26[[#This Row],[Fee]]&gt;500,Table26[[#This Row],[Fee]],"")</f>
        <v/>
      </c>
    </row>
    <row r="505" spans="1:10" hidden="1">
      <c r="A505">
        <v>504</v>
      </c>
      <c r="B505" t="s">
        <v>450</v>
      </c>
      <c r="C505" t="s">
        <v>447</v>
      </c>
      <c r="D505" t="str">
        <f t="array" ref="D505">TEXT(Table26[[#This Row],[Date]],"MMMM")</f>
        <v>August</v>
      </c>
      <c r="E505">
        <v>500</v>
      </c>
      <c r="F505" t="s">
        <v>589</v>
      </c>
      <c r="G505" t="s">
        <v>1192</v>
      </c>
      <c r="H505" s="38">
        <v>46246</v>
      </c>
      <c r="I505" cm="1">
        <f t="array" ref="I505">IFERROR(INDEX('ALL STUDENTS'!$A:$A, MATCH(1, ('ALL STUDENTS'!$B:$B = B505) * ('ALL STUDENTS'!$C:$C = C505), 0)), "NOT FOUND")</f>
        <v>662</v>
      </c>
      <c r="J505" t="str">
        <f>IF(Table26[[#This Row],[Fee]]&gt;500,Table26[[#This Row],[Fee]],"")</f>
        <v/>
      </c>
    </row>
    <row r="506" spans="1:10" hidden="1">
      <c r="A506">
        <v>505</v>
      </c>
      <c r="B506" t="s">
        <v>52</v>
      </c>
      <c r="C506" t="s">
        <v>51</v>
      </c>
      <c r="D506" t="str">
        <f t="array" ref="D506">TEXT(Table26[[#This Row],[Date]],"MMMM")</f>
        <v>August</v>
      </c>
      <c r="E506">
        <v>500</v>
      </c>
      <c r="F506" t="s">
        <v>589</v>
      </c>
      <c r="G506" t="s">
        <v>1193</v>
      </c>
      <c r="H506" s="38">
        <v>46246</v>
      </c>
      <c r="I506" cm="1">
        <f t="array" ref="I506">IFERROR(INDEX('ALL STUDENTS'!$A:$A, MATCH(1, ('ALL STUDENTS'!$B:$B = B506) * ('ALL STUDENTS'!$C:$C = C506), 0)), "NOT FOUND")</f>
        <v>3112</v>
      </c>
      <c r="J506" t="str">
        <f>IF(Table26[[#This Row],[Fee]]&gt;500,Table26[[#This Row],[Fee]],"")</f>
        <v/>
      </c>
    </row>
    <row r="507" spans="1:10" hidden="1">
      <c r="A507">
        <v>506</v>
      </c>
      <c r="B507" t="s">
        <v>541</v>
      </c>
      <c r="C507" t="s">
        <v>538</v>
      </c>
      <c r="D507" t="str">
        <f t="array" ref="D507">TEXT(Table26[[#This Row],[Date]],"MMMM")</f>
        <v>August</v>
      </c>
      <c r="E507">
        <v>500</v>
      </c>
      <c r="F507" t="s">
        <v>589</v>
      </c>
      <c r="G507" t="s">
        <v>1194</v>
      </c>
      <c r="H507" s="38">
        <v>46246</v>
      </c>
      <c r="I507" cm="1">
        <f t="array" ref="I507">IFERROR(INDEX('ALL STUDENTS'!$A:$A, MATCH(1, ('ALL STUDENTS'!$B:$B = B507) * ('ALL STUDENTS'!$C:$C = C507), 0)), "NOT FOUND")</f>
        <v>23</v>
      </c>
      <c r="J507" t="str">
        <f>IF(Table26[[#This Row],[Fee]]&gt;500,Table26[[#This Row],[Fee]],"")</f>
        <v/>
      </c>
    </row>
    <row r="508" spans="1:10" hidden="1">
      <c r="A508">
        <v>507</v>
      </c>
      <c r="B508" t="s">
        <v>279</v>
      </c>
      <c r="C508" t="s">
        <v>273</v>
      </c>
      <c r="D508" t="str">
        <f t="array" ref="D508">TEXT(Table26[[#This Row],[Date]],"MMMM")</f>
        <v>August</v>
      </c>
      <c r="E508">
        <v>500</v>
      </c>
      <c r="F508" t="s">
        <v>589</v>
      </c>
      <c r="G508" t="s">
        <v>1195</v>
      </c>
      <c r="H508" s="38">
        <v>46246</v>
      </c>
      <c r="I508" cm="1">
        <f t="array" ref="I508">IFERROR(INDEX('ALL STUDENTS'!$A:$A, MATCH(1, ('ALL STUDENTS'!$B:$B = B508) * ('ALL STUDENTS'!$C:$C = C508), 0)), "NOT FOUND")</f>
        <v>2205</v>
      </c>
      <c r="J508" t="str">
        <f>IF(Table26[[#This Row],[Fee]]&gt;500,Table26[[#This Row],[Fee]],"")</f>
        <v/>
      </c>
    </row>
    <row r="509" spans="1:10" hidden="1">
      <c r="A509">
        <v>508</v>
      </c>
      <c r="B509" t="s">
        <v>274</v>
      </c>
      <c r="C509" t="s">
        <v>273</v>
      </c>
      <c r="D509" t="str">
        <f t="array" ref="D509">TEXT(Table26[[#This Row],[Date]],"MMMM")</f>
        <v>September</v>
      </c>
      <c r="E509">
        <v>500</v>
      </c>
      <c r="F509" t="s">
        <v>589</v>
      </c>
      <c r="G509" t="s">
        <v>1196</v>
      </c>
      <c r="H509" s="38">
        <v>46286</v>
      </c>
      <c r="I509" cm="1">
        <f t="array" ref="I509">IFERROR(INDEX('ALL STUDENTS'!$A:$A, MATCH(1, ('ALL STUDENTS'!$B:$B = B509) * ('ALL STUDENTS'!$C:$C = C509), 0)), "NOT FOUND")</f>
        <v>2203</v>
      </c>
      <c r="J509" t="str">
        <f>IF(Table26[[#This Row],[Fee]]&gt;500,Table26[[#This Row],[Fee]],"")</f>
        <v/>
      </c>
    </row>
    <row r="510" spans="1:10" hidden="1">
      <c r="A510">
        <v>509</v>
      </c>
      <c r="B510" t="s">
        <v>274</v>
      </c>
      <c r="C510" t="s">
        <v>273</v>
      </c>
      <c r="D510" t="str">
        <f t="array" ref="D510">TEXT(Table26[[#This Row],[Date]],"MMMM")</f>
        <v>September</v>
      </c>
      <c r="E510">
        <v>500</v>
      </c>
      <c r="F510" t="s">
        <v>589</v>
      </c>
      <c r="G510" t="s">
        <v>1197</v>
      </c>
      <c r="H510" s="38">
        <v>46286</v>
      </c>
      <c r="I510" cm="1">
        <f t="array" ref="I510">IFERROR(INDEX('ALL STUDENTS'!$A:$A, MATCH(1, ('ALL STUDENTS'!$B:$B = B510) * ('ALL STUDENTS'!$C:$C = C510), 0)), "NOT FOUND")</f>
        <v>2203</v>
      </c>
      <c r="J510" t="str">
        <f>IF(Table26[[#This Row],[Fee]]&gt;500,Table26[[#This Row],[Fee]],"")</f>
        <v/>
      </c>
    </row>
    <row r="511" spans="1:10" hidden="1">
      <c r="A511">
        <v>510</v>
      </c>
      <c r="B511" t="s">
        <v>143</v>
      </c>
      <c r="C511" t="s">
        <v>138</v>
      </c>
      <c r="D511" t="str">
        <f t="array" ref="D511">TEXT(Table26[[#This Row],[Date]],"MMMM")</f>
        <v>August</v>
      </c>
      <c r="E511">
        <v>500</v>
      </c>
      <c r="F511" t="s">
        <v>589</v>
      </c>
      <c r="G511" t="s">
        <v>1198</v>
      </c>
      <c r="H511" s="38">
        <v>46247</v>
      </c>
      <c r="I511" cm="1">
        <f t="array" ref="I511">IFERROR(INDEX('ALL STUDENTS'!$A:$A, MATCH(1, ('ALL STUDENTS'!$B:$B = B511) * ('ALL STUDENTS'!$C:$C = C511), 0)), "NOT FOUND")</f>
        <v>1769</v>
      </c>
      <c r="J511" t="str">
        <f>IF(Table26[[#This Row],[Fee]]&gt;500,Table26[[#This Row],[Fee]],"")</f>
        <v/>
      </c>
    </row>
    <row r="512" spans="1:10" hidden="1">
      <c r="A512">
        <v>511</v>
      </c>
      <c r="B512" t="s">
        <v>143</v>
      </c>
      <c r="C512" t="s">
        <v>138</v>
      </c>
      <c r="D512" t="str">
        <f t="array" ref="D512">TEXT(Table26[[#This Row],[Date]],"MMMM")</f>
        <v>August</v>
      </c>
      <c r="E512">
        <v>500</v>
      </c>
      <c r="F512" t="s">
        <v>589</v>
      </c>
      <c r="G512" t="s">
        <v>1199</v>
      </c>
      <c r="H512" s="38">
        <v>46247</v>
      </c>
      <c r="I512" cm="1">
        <f t="array" ref="I512">IFERROR(INDEX('ALL STUDENTS'!$A:$A, MATCH(1, ('ALL STUDENTS'!$B:$B = B512) * ('ALL STUDENTS'!$C:$C = C512), 0)), "NOT FOUND")</f>
        <v>1769</v>
      </c>
      <c r="J512" t="str">
        <f>IF(Table26[[#This Row],[Fee]]&gt;500,Table26[[#This Row],[Fee]],"")</f>
        <v/>
      </c>
    </row>
    <row r="513" spans="1:10" hidden="1">
      <c r="A513">
        <v>512</v>
      </c>
      <c r="B513" t="s">
        <v>143</v>
      </c>
      <c r="C513" t="s">
        <v>138</v>
      </c>
      <c r="D513" t="str">
        <f t="array" ref="D513">TEXT(Table26[[#This Row],[Date]],"MMMM")</f>
        <v>August</v>
      </c>
      <c r="E513">
        <v>500</v>
      </c>
      <c r="F513" t="s">
        <v>589</v>
      </c>
      <c r="G513" t="s">
        <v>1200</v>
      </c>
      <c r="H513" s="38">
        <v>46247</v>
      </c>
      <c r="I513" cm="1">
        <f t="array" ref="I513">IFERROR(INDEX('ALL STUDENTS'!$A:$A, MATCH(1, ('ALL STUDENTS'!$B:$B = B513) * ('ALL STUDENTS'!$C:$C = C513), 0)), "NOT FOUND")</f>
        <v>1769</v>
      </c>
      <c r="J513" t="str">
        <f>IF(Table26[[#This Row],[Fee]]&gt;500,Table26[[#This Row],[Fee]],"")</f>
        <v/>
      </c>
    </row>
    <row r="514" spans="1:10" hidden="1">
      <c r="A514">
        <v>513</v>
      </c>
      <c r="B514" t="s">
        <v>42</v>
      </c>
      <c r="C514" t="s">
        <v>32</v>
      </c>
      <c r="D514" t="str">
        <f t="array" ref="D514">TEXT(Table26[[#This Row],[Date]],"MMMM")</f>
        <v>August</v>
      </c>
      <c r="E514">
        <v>500</v>
      </c>
      <c r="F514" t="s">
        <v>591</v>
      </c>
      <c r="G514" t="s">
        <v>1201</v>
      </c>
      <c r="H514" s="38">
        <v>46246</v>
      </c>
      <c r="I514" cm="1">
        <f t="array" ref="I514">IFERROR(INDEX('ALL STUDENTS'!$A:$A, MATCH(1, ('ALL STUDENTS'!$B:$B = B514) * ('ALL STUDENTS'!$C:$C = C514), 0)), "NOT FOUND")</f>
        <v>3067</v>
      </c>
      <c r="J514" t="str">
        <f>IF(Table26[[#This Row],[Fee]]&gt;500,Table26[[#This Row],[Fee]],"")</f>
        <v/>
      </c>
    </row>
    <row r="515" spans="1:10" hidden="1">
      <c r="A515">
        <v>514</v>
      </c>
      <c r="B515" t="s">
        <v>3267</v>
      </c>
      <c r="C515" t="s">
        <v>252</v>
      </c>
      <c r="D515" t="str">
        <f t="array" ref="D515">TEXT(Table26[[#This Row],[Date]],"MMMM")</f>
        <v>August</v>
      </c>
      <c r="E515">
        <v>500</v>
      </c>
      <c r="F515" t="s">
        <v>591</v>
      </c>
      <c r="G515" t="s">
        <v>1202</v>
      </c>
      <c r="H515" s="38">
        <v>46246</v>
      </c>
      <c r="I515" cm="1">
        <f t="array" ref="I515">IFERROR(INDEX('ALL STUDENTS'!$A:$A, MATCH(1, ('ALL STUDENTS'!$B:$B = B515) * ('ALL STUDENTS'!$C:$C = C515), 0)), "NOT FOUND")</f>
        <v>2144</v>
      </c>
      <c r="J515" t="str">
        <f>IF(Table26[[#This Row],[Fee]]&gt;500,Table26[[#This Row],[Fee]],"")</f>
        <v/>
      </c>
    </row>
    <row r="516" spans="1:10" hidden="1">
      <c r="A516">
        <v>515</v>
      </c>
      <c r="B516" t="s">
        <v>426</v>
      </c>
      <c r="C516" t="s">
        <v>421</v>
      </c>
      <c r="D516" t="str">
        <f t="array" ref="D516">TEXT(Table26[[#This Row],[Date]],"MMMM")</f>
        <v>August</v>
      </c>
      <c r="E516">
        <v>500</v>
      </c>
      <c r="F516" t="s">
        <v>591</v>
      </c>
      <c r="G516" t="s">
        <v>1203</v>
      </c>
      <c r="H516" s="38">
        <v>46246</v>
      </c>
      <c r="I516" cm="1">
        <f t="array" ref="I516">IFERROR(INDEX('ALL STUDENTS'!$A:$A, MATCH(1, ('ALL STUDENTS'!$B:$B = B516) * ('ALL STUDENTS'!$C:$C = C516), 0)), "NOT FOUND")</f>
        <v>557</v>
      </c>
      <c r="J516" t="str">
        <f>IF(Table26[[#This Row],[Fee]]&gt;500,Table26[[#This Row],[Fee]],"")</f>
        <v/>
      </c>
    </row>
    <row r="517" spans="1:10">
      <c r="A517">
        <v>516</v>
      </c>
      <c r="B517" t="s">
        <v>308</v>
      </c>
      <c r="C517" t="s">
        <v>304</v>
      </c>
      <c r="D517" t="str">
        <f t="array" ref="D517">TEXT(Table26[[#This Row],[Date]],"MMMM")</f>
        <v>August</v>
      </c>
      <c r="E517">
        <v>500</v>
      </c>
      <c r="F517" t="s">
        <v>589</v>
      </c>
      <c r="G517" t="s">
        <v>1204</v>
      </c>
      <c r="H517" s="38">
        <v>46248</v>
      </c>
      <c r="I517" t="str" cm="1">
        <f t="array" ref="I517">IFERROR(INDEX('ALL STUDENTS'!$A:$A, MATCH(1, ('ALL STUDENTS'!$B:$B = B517) * ('ALL STUDENTS'!$C:$C = C517), 0)), "NOT FOUND")</f>
        <v>NOT FOUND</v>
      </c>
      <c r="J517" t="str">
        <f>IF(Table26[[#This Row],[Fee]]&gt;500,Table26[[#This Row],[Fee]],"")</f>
        <v/>
      </c>
    </row>
    <row r="518" spans="1:10">
      <c r="A518">
        <v>517</v>
      </c>
      <c r="B518" t="s">
        <v>308</v>
      </c>
      <c r="C518" t="s">
        <v>304</v>
      </c>
      <c r="D518" t="str">
        <f t="array" ref="D518">TEXT(Table26[[#This Row],[Date]],"MMMM")</f>
        <v>August</v>
      </c>
      <c r="E518">
        <v>500</v>
      </c>
      <c r="F518" t="s">
        <v>589</v>
      </c>
      <c r="G518" t="s">
        <v>1205</v>
      </c>
      <c r="H518" s="38">
        <v>46248</v>
      </c>
      <c r="I518" t="str" cm="1">
        <f t="array" ref="I518">IFERROR(INDEX('ALL STUDENTS'!$A:$A, MATCH(1, ('ALL STUDENTS'!$B:$B = B518) * ('ALL STUDENTS'!$C:$C = C518), 0)), "NOT FOUND")</f>
        <v>NOT FOUND</v>
      </c>
      <c r="J518" t="str">
        <f>IF(Table26[[#This Row],[Fee]]&gt;500,Table26[[#This Row],[Fee]],"")</f>
        <v/>
      </c>
    </row>
    <row r="519" spans="1:10">
      <c r="A519">
        <v>518</v>
      </c>
      <c r="B519" t="s">
        <v>308</v>
      </c>
      <c r="C519" t="s">
        <v>304</v>
      </c>
      <c r="D519" t="str">
        <f t="array" ref="D519">TEXT(Table26[[#This Row],[Date]],"MMMM")</f>
        <v>August</v>
      </c>
      <c r="E519">
        <v>500</v>
      </c>
      <c r="F519" t="s">
        <v>589</v>
      </c>
      <c r="G519" t="s">
        <v>1206</v>
      </c>
      <c r="H519" s="38">
        <v>46248</v>
      </c>
      <c r="I519" t="str" cm="1">
        <f t="array" ref="I519">IFERROR(INDEX('ALL STUDENTS'!$A:$A, MATCH(1, ('ALL STUDENTS'!$B:$B = B519) * ('ALL STUDENTS'!$C:$C = C519), 0)), "NOT FOUND")</f>
        <v>NOT FOUND</v>
      </c>
      <c r="J519" t="str">
        <f>IF(Table26[[#This Row],[Fee]]&gt;500,Table26[[#This Row],[Fee]],"")</f>
        <v/>
      </c>
    </row>
    <row r="520" spans="1:10">
      <c r="A520">
        <v>519</v>
      </c>
      <c r="B520" t="s">
        <v>239</v>
      </c>
      <c r="C520" t="s">
        <v>232</v>
      </c>
      <c r="D520" t="str">
        <f t="array" ref="D520">TEXT(Table26[[#This Row],[Date]],"MMMM")</f>
        <v>August</v>
      </c>
      <c r="E520">
        <v>500</v>
      </c>
      <c r="F520" t="s">
        <v>589</v>
      </c>
      <c r="G520" t="s">
        <v>1207</v>
      </c>
      <c r="H520" s="38">
        <v>46247</v>
      </c>
      <c r="I520" t="str" cm="1">
        <f t="array" ref="I520">IFERROR(INDEX('ALL STUDENTS'!$A:$A, MATCH(1, ('ALL STUDENTS'!$B:$B = B520) * ('ALL STUDENTS'!$C:$C = C520), 0)), "NOT FOUND")</f>
        <v>NOT FOUND</v>
      </c>
      <c r="J520" t="str">
        <f>IF(Table26[[#This Row],[Fee]]&gt;500,Table26[[#This Row],[Fee]],"")</f>
        <v/>
      </c>
    </row>
    <row r="521" spans="1:10">
      <c r="A521">
        <v>520</v>
      </c>
      <c r="B521" t="s">
        <v>309</v>
      </c>
      <c r="C521" t="s">
        <v>304</v>
      </c>
      <c r="D521" t="str">
        <f t="array" ref="D521">TEXT(Table26[[#This Row],[Date]],"MMMM")</f>
        <v>August</v>
      </c>
      <c r="E521">
        <v>500</v>
      </c>
      <c r="F521" t="s">
        <v>589</v>
      </c>
      <c r="G521" t="s">
        <v>1208</v>
      </c>
      <c r="H521" s="38">
        <v>46247</v>
      </c>
      <c r="I521" t="str" cm="1">
        <f t="array" ref="I521">IFERROR(INDEX('ALL STUDENTS'!$A:$A, MATCH(1, ('ALL STUDENTS'!$B:$B = B521) * ('ALL STUDENTS'!$C:$C = C521), 0)), "NOT FOUND")</f>
        <v>NOT FOUND</v>
      </c>
      <c r="J521" t="str">
        <f>IF(Table26[[#This Row],[Fee]]&gt;500,Table26[[#This Row],[Fee]],"")</f>
        <v/>
      </c>
    </row>
    <row r="522" spans="1:10" hidden="1">
      <c r="A522">
        <v>521</v>
      </c>
      <c r="B522" t="s">
        <v>210</v>
      </c>
      <c r="C522" t="s">
        <v>205</v>
      </c>
      <c r="D522" t="str">
        <f t="array" ref="D522">TEXT(Table26[[#This Row],[Date]],"MMMM")</f>
        <v>August</v>
      </c>
      <c r="E522">
        <v>500</v>
      </c>
      <c r="F522" t="s">
        <v>589</v>
      </c>
      <c r="G522" t="s">
        <v>1209</v>
      </c>
      <c r="H522" s="38">
        <v>46247</v>
      </c>
      <c r="I522" cm="1">
        <f t="array" ref="I522">IFERROR(INDEX('ALL STUDENTS'!$A:$A, MATCH(1, ('ALL STUDENTS'!$B:$B = B522) * ('ALL STUDENTS'!$C:$C = C522), 0)), "NOT FOUND")</f>
        <v>1959</v>
      </c>
      <c r="J522" t="str">
        <f>IF(Table26[[#This Row],[Fee]]&gt;500,Table26[[#This Row],[Fee]],"")</f>
        <v/>
      </c>
    </row>
    <row r="523" spans="1:10" hidden="1">
      <c r="A523">
        <v>522</v>
      </c>
      <c r="B523" t="s">
        <v>210</v>
      </c>
      <c r="C523" t="s">
        <v>205</v>
      </c>
      <c r="D523" t="str">
        <f t="array" ref="D523">TEXT(Table26[[#This Row],[Date]],"MMMM")</f>
        <v>August</v>
      </c>
      <c r="E523">
        <v>500</v>
      </c>
      <c r="F523" t="s">
        <v>589</v>
      </c>
      <c r="G523" t="s">
        <v>1210</v>
      </c>
      <c r="H523" s="38">
        <v>46247</v>
      </c>
      <c r="I523" cm="1">
        <f t="array" ref="I523">IFERROR(INDEX('ALL STUDENTS'!$A:$A, MATCH(1, ('ALL STUDENTS'!$B:$B = B523) * ('ALL STUDENTS'!$C:$C = C523), 0)), "NOT FOUND")</f>
        <v>1959</v>
      </c>
      <c r="J523" t="str">
        <f>IF(Table26[[#This Row],[Fee]]&gt;500,Table26[[#This Row],[Fee]],"")</f>
        <v/>
      </c>
    </row>
    <row r="524" spans="1:10" hidden="1">
      <c r="A524">
        <v>523</v>
      </c>
      <c r="B524" t="s">
        <v>210</v>
      </c>
      <c r="C524" t="s">
        <v>205</v>
      </c>
      <c r="D524" t="str">
        <f t="array" ref="D524">TEXT(Table26[[#This Row],[Date]],"MMMM")</f>
        <v>August</v>
      </c>
      <c r="E524">
        <v>500</v>
      </c>
      <c r="F524" t="s">
        <v>589</v>
      </c>
      <c r="G524" t="s">
        <v>1211</v>
      </c>
      <c r="H524" s="38">
        <v>46247</v>
      </c>
      <c r="I524" cm="1">
        <f t="array" ref="I524">IFERROR(INDEX('ALL STUDENTS'!$A:$A, MATCH(1, ('ALL STUDENTS'!$B:$B = B524) * ('ALL STUDENTS'!$C:$C = C524), 0)), "NOT FOUND")</f>
        <v>1959</v>
      </c>
      <c r="J524" t="str">
        <f>IF(Table26[[#This Row],[Fee]]&gt;500,Table26[[#This Row],[Fee]],"")</f>
        <v/>
      </c>
    </row>
    <row r="525" spans="1:10" hidden="1">
      <c r="A525">
        <v>524</v>
      </c>
      <c r="B525" t="s">
        <v>125</v>
      </c>
      <c r="C525" t="s">
        <v>119</v>
      </c>
      <c r="D525" t="str">
        <f t="array" ref="D525">TEXT(Table26[[#This Row],[Date]],"MMMM")</f>
        <v>August</v>
      </c>
      <c r="E525">
        <v>500</v>
      </c>
      <c r="F525" t="s">
        <v>589</v>
      </c>
      <c r="G525" t="s">
        <v>1212</v>
      </c>
      <c r="H525" s="38">
        <v>46247</v>
      </c>
      <c r="I525" cm="1">
        <f t="array" ref="I525">IFERROR(INDEX('ALL STUDENTS'!$A:$A, MATCH(1, ('ALL STUDENTS'!$B:$B = B525) * ('ALL STUDENTS'!$C:$C = C525), 0)), "NOT FOUND")</f>
        <v>1689</v>
      </c>
      <c r="J525" t="str">
        <f>IF(Table26[[#This Row],[Fee]]&gt;500,Table26[[#This Row],[Fee]],"")</f>
        <v/>
      </c>
    </row>
    <row r="526" spans="1:10" hidden="1">
      <c r="A526">
        <v>525</v>
      </c>
      <c r="B526" t="s">
        <v>542</v>
      </c>
      <c r="C526" t="s">
        <v>538</v>
      </c>
      <c r="D526" t="str">
        <f t="array" ref="D526">TEXT(Table26[[#This Row],[Date]],"MMMM")</f>
        <v>August</v>
      </c>
      <c r="E526">
        <v>500</v>
      </c>
      <c r="F526" t="s">
        <v>589</v>
      </c>
      <c r="G526" t="s">
        <v>1213</v>
      </c>
      <c r="H526" s="38">
        <v>46247</v>
      </c>
      <c r="I526" cm="1">
        <f t="array" ref="I526">IFERROR(INDEX('ALL STUDENTS'!$A:$A, MATCH(1, ('ALL STUDENTS'!$B:$B = B526) * ('ALL STUDENTS'!$C:$C = C526), 0)), "NOT FOUND")</f>
        <v>27</v>
      </c>
      <c r="J526" t="str">
        <f>IF(Table26[[#This Row],[Fee]]&gt;500,Table26[[#This Row],[Fee]],"")</f>
        <v/>
      </c>
    </row>
    <row r="527" spans="1:10" hidden="1">
      <c r="A527">
        <v>526</v>
      </c>
      <c r="B527" t="s">
        <v>77</v>
      </c>
      <c r="C527" t="s">
        <v>68</v>
      </c>
      <c r="D527" t="str">
        <f t="array" ref="D527">TEXT(Table26[[#This Row],[Date]],"MMMM")</f>
        <v>August</v>
      </c>
      <c r="E527">
        <v>500</v>
      </c>
      <c r="F527" t="s">
        <v>589</v>
      </c>
      <c r="G527" t="s">
        <v>1214</v>
      </c>
      <c r="H527" s="38">
        <v>46248</v>
      </c>
      <c r="I527" cm="1">
        <f t="array" ref="I527">IFERROR(INDEX('ALL STUDENTS'!$A:$A, MATCH(1, ('ALL STUDENTS'!$B:$B = B527) * ('ALL STUDENTS'!$C:$C = C527), 0)), "NOT FOUND")</f>
        <v>1511</v>
      </c>
      <c r="J527" t="str">
        <f>IF(Table26[[#This Row],[Fee]]&gt;500,Table26[[#This Row],[Fee]],"")</f>
        <v/>
      </c>
    </row>
    <row r="528" spans="1:10" hidden="1">
      <c r="A528">
        <v>527</v>
      </c>
      <c r="B528" t="s">
        <v>132</v>
      </c>
      <c r="C528" t="s">
        <v>128</v>
      </c>
      <c r="D528" t="str">
        <f t="array" ref="D528">TEXT(Table26[[#This Row],[Date]],"MMMM")</f>
        <v>August</v>
      </c>
      <c r="E528">
        <v>500</v>
      </c>
      <c r="F528" t="s">
        <v>591</v>
      </c>
      <c r="G528" t="s">
        <v>1215</v>
      </c>
      <c r="H528" s="38">
        <v>46247</v>
      </c>
      <c r="I528" cm="1">
        <f t="array" ref="I528">IFERROR(INDEX('ALL STUDENTS'!$A:$A, MATCH(1, ('ALL STUDENTS'!$B:$B = B528) * ('ALL STUDENTS'!$C:$C = C528), 0)), "NOT FOUND")</f>
        <v>1732</v>
      </c>
      <c r="J528" t="str">
        <f>IF(Table26[[#This Row],[Fee]]&gt;500,Table26[[#This Row],[Fee]],"")</f>
        <v/>
      </c>
    </row>
    <row r="529" spans="1:10" hidden="1">
      <c r="A529">
        <v>528</v>
      </c>
      <c r="B529" t="s">
        <v>380</v>
      </c>
      <c r="C529" t="s">
        <v>374</v>
      </c>
      <c r="D529" t="str">
        <f t="array" ref="D529">TEXT(Table26[[#This Row],[Date]],"MMMM")</f>
        <v>August</v>
      </c>
      <c r="E529">
        <v>500</v>
      </c>
      <c r="F529" t="s">
        <v>591</v>
      </c>
      <c r="G529" t="s">
        <v>1216</v>
      </c>
      <c r="H529" s="38">
        <v>46247</v>
      </c>
      <c r="I529" cm="1">
        <f t="array" ref="I529">IFERROR(INDEX('ALL STUDENTS'!$A:$A, MATCH(1, ('ALL STUDENTS'!$B:$B = B529) * ('ALL STUDENTS'!$C:$C = C529), 0)), "NOT FOUND")</f>
        <v>862</v>
      </c>
      <c r="J529" t="str">
        <f>IF(Table26[[#This Row],[Fee]]&gt;500,Table26[[#This Row],[Fee]],"")</f>
        <v/>
      </c>
    </row>
    <row r="530" spans="1:10" hidden="1">
      <c r="A530">
        <v>529</v>
      </c>
      <c r="B530" t="s">
        <v>380</v>
      </c>
      <c r="C530" t="s">
        <v>374</v>
      </c>
      <c r="D530" t="str">
        <f t="array" ref="D530">TEXT(Table26[[#This Row],[Date]],"MMMM")</f>
        <v>August</v>
      </c>
      <c r="E530">
        <v>500</v>
      </c>
      <c r="F530" t="s">
        <v>591</v>
      </c>
      <c r="G530" t="s">
        <v>1217</v>
      </c>
      <c r="H530" s="38">
        <v>46247</v>
      </c>
      <c r="I530" cm="1">
        <f t="array" ref="I530">IFERROR(INDEX('ALL STUDENTS'!$A:$A, MATCH(1, ('ALL STUDENTS'!$B:$B = B530) * ('ALL STUDENTS'!$C:$C = C530), 0)), "NOT FOUND")</f>
        <v>862</v>
      </c>
      <c r="J530" t="str">
        <f>IF(Table26[[#This Row],[Fee]]&gt;500,Table26[[#This Row],[Fee]],"")</f>
        <v/>
      </c>
    </row>
    <row r="531" spans="1:10" hidden="1">
      <c r="A531">
        <v>530</v>
      </c>
      <c r="B531" t="s">
        <v>380</v>
      </c>
      <c r="C531" t="s">
        <v>374</v>
      </c>
      <c r="D531" t="str">
        <f t="array" ref="D531">TEXT(Table26[[#This Row],[Date]],"MMMM")</f>
        <v>August</v>
      </c>
      <c r="E531">
        <v>500</v>
      </c>
      <c r="F531" t="s">
        <v>591</v>
      </c>
      <c r="G531" t="s">
        <v>1218</v>
      </c>
      <c r="H531" s="38">
        <v>46247</v>
      </c>
      <c r="I531" cm="1">
        <f t="array" ref="I531">IFERROR(INDEX('ALL STUDENTS'!$A:$A, MATCH(1, ('ALL STUDENTS'!$B:$B = B531) * ('ALL STUDENTS'!$C:$C = C531), 0)), "NOT FOUND")</f>
        <v>862</v>
      </c>
      <c r="J531" t="str">
        <f>IF(Table26[[#This Row],[Fee]]&gt;500,Table26[[#This Row],[Fee]],"")</f>
        <v/>
      </c>
    </row>
    <row r="532" spans="1:10" hidden="1">
      <c r="A532">
        <v>531</v>
      </c>
      <c r="B532" t="s">
        <v>546</v>
      </c>
      <c r="C532" t="s">
        <v>543</v>
      </c>
      <c r="D532" t="str">
        <f t="array" ref="D532">TEXT(Table26[[#This Row],[Date]],"MMMM")</f>
        <v>August</v>
      </c>
      <c r="E532">
        <v>500</v>
      </c>
      <c r="F532" t="s">
        <v>589</v>
      </c>
      <c r="G532" t="s">
        <v>1219</v>
      </c>
      <c r="H532" s="38">
        <v>46248</v>
      </c>
      <c r="I532" cm="1">
        <f t="array" ref="I532">IFERROR(INDEX('ALL STUDENTS'!$A:$A, MATCH(1, ('ALL STUDENTS'!$B:$B = B532) * ('ALL STUDENTS'!$C:$C = C532), 0)), "NOT FOUND")</f>
        <v>132</v>
      </c>
      <c r="J532" t="str">
        <f>IF(Table26[[#This Row],[Fee]]&gt;500,Table26[[#This Row],[Fee]],"")</f>
        <v/>
      </c>
    </row>
    <row r="533" spans="1:10" hidden="1">
      <c r="A533">
        <v>532</v>
      </c>
      <c r="B533" t="s">
        <v>418</v>
      </c>
      <c r="C533" t="s">
        <v>415</v>
      </c>
      <c r="D533" t="str">
        <f t="array" ref="D533">TEXT(Table26[[#This Row],[Date]],"MMMM")</f>
        <v>August</v>
      </c>
      <c r="E533">
        <v>500</v>
      </c>
      <c r="F533" t="s">
        <v>589</v>
      </c>
      <c r="G533" t="s">
        <v>1220</v>
      </c>
      <c r="H533" s="38">
        <v>46248</v>
      </c>
      <c r="I533" cm="1">
        <f t="array" ref="I533">IFERROR(INDEX('ALL STUDENTS'!$A:$A, MATCH(1, ('ALL STUDENTS'!$B:$B = B533) * ('ALL STUDENTS'!$C:$C = C533), 0)), "NOT FOUND")</f>
        <v>984</v>
      </c>
      <c r="J533" t="str">
        <f>IF(Table26[[#This Row],[Fee]]&gt;500,Table26[[#This Row],[Fee]],"")</f>
        <v/>
      </c>
    </row>
    <row r="534" spans="1:10" hidden="1">
      <c r="A534">
        <v>533</v>
      </c>
      <c r="B534" t="s">
        <v>418</v>
      </c>
      <c r="C534" t="s">
        <v>415</v>
      </c>
      <c r="D534" t="str">
        <f t="array" ref="D534">TEXT(Table26[[#This Row],[Date]],"MMMM")</f>
        <v>August</v>
      </c>
      <c r="E534">
        <v>500</v>
      </c>
      <c r="F534" t="s">
        <v>589</v>
      </c>
      <c r="G534" t="s">
        <v>1221</v>
      </c>
      <c r="H534" s="38">
        <v>46248</v>
      </c>
      <c r="I534" cm="1">
        <f t="array" ref="I534">IFERROR(INDEX('ALL STUDENTS'!$A:$A, MATCH(1, ('ALL STUDENTS'!$B:$B = B534) * ('ALL STUDENTS'!$C:$C = C534), 0)), "NOT FOUND")</f>
        <v>984</v>
      </c>
      <c r="J534" t="str">
        <f>IF(Table26[[#This Row],[Fee]]&gt;500,Table26[[#This Row],[Fee]],"")</f>
        <v/>
      </c>
    </row>
    <row r="535" spans="1:10" hidden="1">
      <c r="A535">
        <v>534</v>
      </c>
      <c r="B535" t="s">
        <v>418</v>
      </c>
      <c r="C535" t="s">
        <v>415</v>
      </c>
      <c r="D535" t="str">
        <f t="array" ref="D535">TEXT(Table26[[#This Row],[Date]],"MMMM")</f>
        <v>August</v>
      </c>
      <c r="E535">
        <v>500</v>
      </c>
      <c r="F535" t="s">
        <v>589</v>
      </c>
      <c r="G535" t="s">
        <v>1222</v>
      </c>
      <c r="H535" s="38">
        <v>46248</v>
      </c>
      <c r="I535" cm="1">
        <f t="array" ref="I535">IFERROR(INDEX('ALL STUDENTS'!$A:$A, MATCH(1, ('ALL STUDENTS'!$B:$B = B535) * ('ALL STUDENTS'!$C:$C = C535), 0)), "NOT FOUND")</f>
        <v>984</v>
      </c>
      <c r="J535" t="str">
        <f>IF(Table26[[#This Row],[Fee]]&gt;500,Table26[[#This Row],[Fee]],"")</f>
        <v/>
      </c>
    </row>
    <row r="536" spans="1:10" hidden="1">
      <c r="A536">
        <v>535</v>
      </c>
      <c r="B536" t="s">
        <v>329</v>
      </c>
      <c r="C536" t="s">
        <v>324</v>
      </c>
      <c r="D536" t="str">
        <f t="array" ref="D536">TEXT(Table26[[#This Row],[Date]],"MMMM")</f>
        <v>August</v>
      </c>
      <c r="E536">
        <v>500</v>
      </c>
      <c r="F536" t="s">
        <v>589</v>
      </c>
      <c r="G536" t="s">
        <v>1223</v>
      </c>
      <c r="H536" s="38">
        <v>46248</v>
      </c>
      <c r="I536" cm="1">
        <f t="array" ref="I536">IFERROR(INDEX('ALL STUDENTS'!$A:$A, MATCH(1, ('ALL STUDENTS'!$B:$B = B536) * ('ALL STUDENTS'!$C:$C = C536), 0)), "NOT FOUND")</f>
        <v>2436</v>
      </c>
      <c r="J536" t="str">
        <f>IF(Table26[[#This Row],[Fee]]&gt;500,Table26[[#This Row],[Fee]],"")</f>
        <v/>
      </c>
    </row>
    <row r="537" spans="1:10" hidden="1">
      <c r="A537">
        <v>536</v>
      </c>
      <c r="B537" t="s">
        <v>329</v>
      </c>
      <c r="C537" t="s">
        <v>324</v>
      </c>
      <c r="D537" t="str">
        <f t="array" ref="D537">TEXT(Table26[[#This Row],[Date]],"MMMM")</f>
        <v>August</v>
      </c>
      <c r="E537">
        <v>500</v>
      </c>
      <c r="F537" t="s">
        <v>589</v>
      </c>
      <c r="G537" t="s">
        <v>1224</v>
      </c>
      <c r="H537" s="38">
        <v>46248</v>
      </c>
      <c r="I537" cm="1">
        <f t="array" ref="I537">IFERROR(INDEX('ALL STUDENTS'!$A:$A, MATCH(1, ('ALL STUDENTS'!$B:$B = B537) * ('ALL STUDENTS'!$C:$C = C537), 0)), "NOT FOUND")</f>
        <v>2436</v>
      </c>
      <c r="J537" t="str">
        <f>IF(Table26[[#This Row],[Fee]]&gt;500,Table26[[#This Row],[Fee]],"")</f>
        <v/>
      </c>
    </row>
    <row r="538" spans="1:10" hidden="1">
      <c r="A538">
        <v>537</v>
      </c>
      <c r="B538" t="s">
        <v>329</v>
      </c>
      <c r="C538" t="s">
        <v>324</v>
      </c>
      <c r="D538" t="str">
        <f t="array" ref="D538">TEXT(Table26[[#This Row],[Date]],"MMMM")</f>
        <v>August</v>
      </c>
      <c r="E538">
        <v>500</v>
      </c>
      <c r="F538" t="s">
        <v>589</v>
      </c>
      <c r="G538" t="s">
        <v>1225</v>
      </c>
      <c r="H538" s="38">
        <v>46248</v>
      </c>
      <c r="I538" cm="1">
        <f t="array" ref="I538">IFERROR(INDEX('ALL STUDENTS'!$A:$A, MATCH(1, ('ALL STUDENTS'!$B:$B = B538) * ('ALL STUDENTS'!$C:$C = C538), 0)), "NOT FOUND")</f>
        <v>2436</v>
      </c>
      <c r="J538" t="str">
        <f>IF(Table26[[#This Row],[Fee]]&gt;500,Table26[[#This Row],[Fee]],"")</f>
        <v/>
      </c>
    </row>
    <row r="539" spans="1:10" hidden="1">
      <c r="A539">
        <v>538</v>
      </c>
      <c r="B539" t="s">
        <v>174</v>
      </c>
      <c r="C539" t="s">
        <v>171</v>
      </c>
      <c r="D539" t="str">
        <f t="array" ref="D539">TEXT(Table26[[#This Row],[Date]],"MMMM")</f>
        <v>August</v>
      </c>
      <c r="E539">
        <v>500</v>
      </c>
      <c r="F539" t="s">
        <v>589</v>
      </c>
      <c r="G539" t="s">
        <v>1226</v>
      </c>
      <c r="H539" s="38">
        <v>46248</v>
      </c>
      <c r="I539" cm="1">
        <f t="array" ref="I539">IFERROR(INDEX('ALL STUDENTS'!$A:$A, MATCH(1, ('ALL STUDENTS'!$B:$B = B539) * ('ALL STUDENTS'!$C:$C = C539), 0)), "NOT FOUND")</f>
        <v>1863</v>
      </c>
      <c r="J539" t="str">
        <f>IF(Table26[[#This Row],[Fee]]&gt;500,Table26[[#This Row],[Fee]],"")</f>
        <v/>
      </c>
    </row>
    <row r="540" spans="1:10" hidden="1">
      <c r="A540">
        <v>539</v>
      </c>
      <c r="B540" t="s">
        <v>174</v>
      </c>
      <c r="C540" t="s">
        <v>171</v>
      </c>
      <c r="D540" t="str">
        <f t="array" ref="D540">TEXT(Table26[[#This Row],[Date]],"MMMM")</f>
        <v>August</v>
      </c>
      <c r="E540">
        <v>500</v>
      </c>
      <c r="F540" t="s">
        <v>589</v>
      </c>
      <c r="G540" t="s">
        <v>1227</v>
      </c>
      <c r="H540" s="38">
        <v>46248</v>
      </c>
      <c r="I540" cm="1">
        <f t="array" ref="I540">IFERROR(INDEX('ALL STUDENTS'!$A:$A, MATCH(1, ('ALL STUDENTS'!$B:$B = B540) * ('ALL STUDENTS'!$C:$C = C540), 0)), "NOT FOUND")</f>
        <v>1863</v>
      </c>
      <c r="J540" t="str">
        <f>IF(Table26[[#This Row],[Fee]]&gt;500,Table26[[#This Row],[Fee]],"")</f>
        <v/>
      </c>
    </row>
    <row r="541" spans="1:10" hidden="1">
      <c r="A541">
        <v>540</v>
      </c>
      <c r="B541" t="s">
        <v>174</v>
      </c>
      <c r="C541" t="s">
        <v>171</v>
      </c>
      <c r="D541" t="str">
        <f t="array" ref="D541">TEXT(Table26[[#This Row],[Date]],"MMMM")</f>
        <v>August</v>
      </c>
      <c r="E541">
        <v>500</v>
      </c>
      <c r="F541" t="s">
        <v>589</v>
      </c>
      <c r="G541" t="s">
        <v>1228</v>
      </c>
      <c r="H541" s="38">
        <v>46248</v>
      </c>
      <c r="I541" cm="1">
        <f t="array" ref="I541">IFERROR(INDEX('ALL STUDENTS'!$A:$A, MATCH(1, ('ALL STUDENTS'!$B:$B = B541) * ('ALL STUDENTS'!$C:$C = C541), 0)), "NOT FOUND")</f>
        <v>1863</v>
      </c>
      <c r="J541" t="str">
        <f>IF(Table26[[#This Row],[Fee]]&gt;500,Table26[[#This Row],[Fee]],"")</f>
        <v/>
      </c>
    </row>
    <row r="542" spans="1:10">
      <c r="A542">
        <v>541</v>
      </c>
      <c r="B542" t="s">
        <v>567</v>
      </c>
      <c r="C542" t="s">
        <v>565</v>
      </c>
      <c r="D542" t="str">
        <f t="array" ref="D542">TEXT(Table26[[#This Row],[Date]],"MMMM")</f>
        <v>August</v>
      </c>
      <c r="E542">
        <v>500</v>
      </c>
      <c r="F542" t="s">
        <v>589</v>
      </c>
      <c r="G542" t="s">
        <v>1229</v>
      </c>
      <c r="H542" s="38">
        <v>46248</v>
      </c>
      <c r="I542" t="str" cm="1">
        <f t="array" ref="I542">IFERROR(INDEX('ALL STUDENTS'!$A:$A, MATCH(1, ('ALL STUDENTS'!$B:$B = B542) * ('ALL STUDENTS'!$C:$C = C542), 0)), "NOT FOUND")</f>
        <v>NOT FOUND</v>
      </c>
      <c r="J542" t="str">
        <f>IF(Table26[[#This Row],[Fee]]&gt;500,Table26[[#This Row],[Fee]],"")</f>
        <v/>
      </c>
    </row>
    <row r="543" spans="1:10">
      <c r="A543">
        <v>542</v>
      </c>
      <c r="B543" t="s">
        <v>567</v>
      </c>
      <c r="C543" t="s">
        <v>565</v>
      </c>
      <c r="D543" t="str">
        <f t="array" ref="D543">TEXT(Table26[[#This Row],[Date]],"MMMM")</f>
        <v>August</v>
      </c>
      <c r="E543">
        <v>500</v>
      </c>
      <c r="F543" t="s">
        <v>589</v>
      </c>
      <c r="G543" t="s">
        <v>1230</v>
      </c>
      <c r="H543" s="38">
        <v>46248</v>
      </c>
      <c r="I543" t="str" cm="1">
        <f t="array" ref="I543">IFERROR(INDEX('ALL STUDENTS'!$A:$A, MATCH(1, ('ALL STUDENTS'!$B:$B = B543) * ('ALL STUDENTS'!$C:$C = C543), 0)), "NOT FOUND")</f>
        <v>NOT FOUND</v>
      </c>
      <c r="J543" t="str">
        <f>IF(Table26[[#This Row],[Fee]]&gt;500,Table26[[#This Row],[Fee]],"")</f>
        <v/>
      </c>
    </row>
    <row r="544" spans="1:10">
      <c r="A544">
        <v>543</v>
      </c>
      <c r="B544" t="s">
        <v>567</v>
      </c>
      <c r="C544" t="s">
        <v>565</v>
      </c>
      <c r="D544" t="str">
        <f t="array" ref="D544">TEXT(Table26[[#This Row],[Date]],"MMMM")</f>
        <v>August</v>
      </c>
      <c r="E544">
        <v>500</v>
      </c>
      <c r="F544" t="s">
        <v>589</v>
      </c>
      <c r="G544" t="s">
        <v>1231</v>
      </c>
      <c r="H544" s="38">
        <v>46248</v>
      </c>
      <c r="I544" t="str" cm="1">
        <f t="array" ref="I544">IFERROR(INDEX('ALL STUDENTS'!$A:$A, MATCH(1, ('ALL STUDENTS'!$B:$B = B544) * ('ALL STUDENTS'!$C:$C = C544), 0)), "NOT FOUND")</f>
        <v>NOT FOUND</v>
      </c>
      <c r="J544" t="str">
        <f>IF(Table26[[#This Row],[Fee]]&gt;500,Table26[[#This Row],[Fee]],"")</f>
        <v/>
      </c>
    </row>
    <row r="545" spans="1:10" hidden="1">
      <c r="A545">
        <v>544</v>
      </c>
      <c r="B545" t="s">
        <v>154</v>
      </c>
      <c r="C545" t="s">
        <v>149</v>
      </c>
      <c r="D545" t="str">
        <f t="array" ref="D545">TEXT(Table26[[#This Row],[Date]],"MMMM")</f>
        <v>August</v>
      </c>
      <c r="E545">
        <v>500</v>
      </c>
      <c r="F545" t="s">
        <v>589</v>
      </c>
      <c r="G545" t="s">
        <v>1232</v>
      </c>
      <c r="H545" s="38">
        <v>46251</v>
      </c>
      <c r="I545" cm="1">
        <f t="array" ref="I545">IFERROR(INDEX('ALL STUDENTS'!$A:$A, MATCH(1, ('ALL STUDENTS'!$B:$B = B545) * ('ALL STUDENTS'!$C:$C = C545), 0)), "NOT FOUND")</f>
        <v>1784</v>
      </c>
      <c r="J545" t="str">
        <f>IF(Table26[[#This Row],[Fee]]&gt;500,Table26[[#This Row],[Fee]],"")</f>
        <v/>
      </c>
    </row>
    <row r="546" spans="1:10" hidden="1">
      <c r="A546">
        <v>545</v>
      </c>
      <c r="B546" t="s">
        <v>229</v>
      </c>
      <c r="C546" t="s">
        <v>227</v>
      </c>
      <c r="D546" t="str">
        <f t="array" ref="D546">TEXT(Table26[[#This Row],[Date]],"MMMM")</f>
        <v>August</v>
      </c>
      <c r="E546">
        <v>500</v>
      </c>
      <c r="F546" t="s">
        <v>589</v>
      </c>
      <c r="G546" t="s">
        <v>1233</v>
      </c>
      <c r="H546" s="38">
        <v>46251</v>
      </c>
      <c r="I546" cm="1">
        <f t="array" ref="I546">IFERROR(INDEX('ALL STUDENTS'!$A:$A, MATCH(1, ('ALL STUDENTS'!$B:$B = B546) * ('ALL STUDENTS'!$C:$C = C546), 0)), "NOT FOUND")</f>
        <v>2062</v>
      </c>
      <c r="J546" t="str">
        <f>IF(Table26[[#This Row],[Fee]]&gt;500,Table26[[#This Row],[Fee]],"")</f>
        <v/>
      </c>
    </row>
    <row r="547" spans="1:10" hidden="1">
      <c r="A547">
        <v>546</v>
      </c>
      <c r="B547" t="s">
        <v>465</v>
      </c>
      <c r="C547" t="s">
        <v>463</v>
      </c>
      <c r="D547" t="str">
        <f t="array" ref="D547">TEXT(Table26[[#This Row],[Date]],"MMMM")</f>
        <v>August</v>
      </c>
      <c r="E547">
        <v>500</v>
      </c>
      <c r="F547" t="s">
        <v>589</v>
      </c>
      <c r="G547" t="s">
        <v>1234</v>
      </c>
      <c r="H547" s="38">
        <v>46251</v>
      </c>
      <c r="I547" cm="1">
        <f t="array" ref="I547">IFERROR(INDEX('ALL STUDENTS'!$A:$A, MATCH(1, ('ALL STUDENTS'!$B:$B = B547) * ('ALL STUDENTS'!$C:$C = C547), 0)), "NOT FOUND")</f>
        <v>741</v>
      </c>
      <c r="J547" t="str">
        <f>IF(Table26[[#This Row],[Fee]]&gt;500,Table26[[#This Row],[Fee]],"")</f>
        <v/>
      </c>
    </row>
    <row r="548" spans="1:10" hidden="1">
      <c r="A548">
        <v>547</v>
      </c>
      <c r="B548" t="s">
        <v>155</v>
      </c>
      <c r="C548" t="s">
        <v>149</v>
      </c>
      <c r="D548" t="str">
        <f t="array" ref="D548">TEXT(Table26[[#This Row],[Date]],"MMMM")</f>
        <v>August</v>
      </c>
      <c r="E548">
        <v>500</v>
      </c>
      <c r="F548" t="s">
        <v>589</v>
      </c>
      <c r="G548" t="s">
        <v>1235</v>
      </c>
      <c r="H548" s="38">
        <v>46251</v>
      </c>
      <c r="I548" cm="1">
        <f t="array" ref="I548">IFERROR(INDEX('ALL STUDENTS'!$A:$A, MATCH(1, ('ALL STUDENTS'!$B:$B = B548) * ('ALL STUDENTS'!$C:$C = C548), 0)), "NOT FOUND")</f>
        <v>1775</v>
      </c>
      <c r="J548" t="str">
        <f>IF(Table26[[#This Row],[Fee]]&gt;500,Table26[[#This Row],[Fee]],"")</f>
        <v/>
      </c>
    </row>
    <row r="549" spans="1:10" hidden="1">
      <c r="A549">
        <v>548</v>
      </c>
      <c r="B549" t="s">
        <v>427</v>
      </c>
      <c r="C549" t="s">
        <v>421</v>
      </c>
      <c r="D549" t="str">
        <f t="array" ref="D549">TEXT(Table26[[#This Row],[Date]],"MMMM")</f>
        <v>August</v>
      </c>
      <c r="E549">
        <v>500</v>
      </c>
      <c r="F549" t="s">
        <v>589</v>
      </c>
      <c r="G549" t="s">
        <v>1236</v>
      </c>
      <c r="H549" s="38">
        <v>46249</v>
      </c>
      <c r="I549" cm="1">
        <f t="array" ref="I549">IFERROR(INDEX('ALL STUDENTS'!$A:$A, MATCH(1, ('ALL STUDENTS'!$B:$B = B549) * ('ALL STUDENTS'!$C:$C = C549), 0)), "NOT FOUND")</f>
        <v>543</v>
      </c>
      <c r="J549" t="str">
        <f>IF(Table26[[#This Row],[Fee]]&gt;500,Table26[[#This Row],[Fee]],"")</f>
        <v/>
      </c>
    </row>
    <row r="550" spans="1:10" hidden="1">
      <c r="A550">
        <v>549</v>
      </c>
      <c r="B550" t="s">
        <v>268</v>
      </c>
      <c r="C550" t="s">
        <v>265</v>
      </c>
      <c r="D550" t="str">
        <f t="array" ref="D550">TEXT(Table26[[#This Row],[Date]],"MMMM")</f>
        <v>August</v>
      </c>
      <c r="E550">
        <v>500</v>
      </c>
      <c r="F550" t="s">
        <v>589</v>
      </c>
      <c r="G550" t="s">
        <v>1237</v>
      </c>
      <c r="H550" s="38">
        <v>46251</v>
      </c>
      <c r="I550" cm="1">
        <f t="array" ref="I550">IFERROR(INDEX('ALL STUDENTS'!$A:$A, MATCH(1, ('ALL STUDENTS'!$B:$B = B550) * ('ALL STUDENTS'!$C:$C = C550), 0)), "NOT FOUND")</f>
        <v>2160</v>
      </c>
      <c r="J550" t="str">
        <f>IF(Table26[[#This Row],[Fee]]&gt;500,Table26[[#This Row],[Fee]],"")</f>
        <v/>
      </c>
    </row>
    <row r="551" spans="1:10" hidden="1">
      <c r="A551">
        <v>550</v>
      </c>
      <c r="B551" t="s">
        <v>133</v>
      </c>
      <c r="C551" t="s">
        <v>128</v>
      </c>
      <c r="D551" t="str">
        <f t="array" ref="D551">TEXT(Table26[[#This Row],[Date]],"MMMM")</f>
        <v>August</v>
      </c>
      <c r="E551">
        <v>500</v>
      </c>
      <c r="F551" t="s">
        <v>589</v>
      </c>
      <c r="G551" t="s">
        <v>1238</v>
      </c>
      <c r="H551" s="38">
        <v>46251</v>
      </c>
      <c r="I551" cm="1">
        <f t="array" ref="I551">IFERROR(INDEX('ALL STUDENTS'!$A:$A, MATCH(1, ('ALL STUDENTS'!$B:$B = B551) * ('ALL STUDENTS'!$C:$C = C551), 0)), "NOT FOUND")</f>
        <v>1711</v>
      </c>
      <c r="J551" t="str">
        <f>IF(Table26[[#This Row],[Fee]]&gt;500,Table26[[#This Row],[Fee]],"")</f>
        <v/>
      </c>
    </row>
    <row r="552" spans="1:10" hidden="1">
      <c r="A552">
        <v>551</v>
      </c>
      <c r="B552" t="s">
        <v>126</v>
      </c>
      <c r="C552" t="s">
        <v>119</v>
      </c>
      <c r="D552" t="str">
        <f t="array" ref="D552">TEXT(Table26[[#This Row],[Date]],"MMMM")</f>
        <v>August</v>
      </c>
      <c r="E552">
        <v>500</v>
      </c>
      <c r="F552" t="s">
        <v>589</v>
      </c>
      <c r="G552" t="s">
        <v>1239</v>
      </c>
      <c r="H552" s="38">
        <v>46251</v>
      </c>
      <c r="I552" cm="1">
        <f t="array" ref="I552">IFERROR(INDEX('ALL STUDENTS'!$A:$A, MATCH(1, ('ALL STUDENTS'!$B:$B = B552) * ('ALL STUDENTS'!$C:$C = C552), 0)), "NOT FOUND")</f>
        <v>1678</v>
      </c>
      <c r="J552" t="str">
        <f>IF(Table26[[#This Row],[Fee]]&gt;500,Table26[[#This Row],[Fee]],"")</f>
        <v/>
      </c>
    </row>
    <row r="553" spans="1:10">
      <c r="A553">
        <v>552</v>
      </c>
      <c r="B553" t="s">
        <v>269</v>
      </c>
      <c r="C553" t="s">
        <v>265</v>
      </c>
      <c r="D553" t="str">
        <f t="array" ref="D553">TEXT(Table26[[#This Row],[Date]],"MMMM")</f>
        <v>August</v>
      </c>
      <c r="E553">
        <v>500</v>
      </c>
      <c r="F553" t="s">
        <v>589</v>
      </c>
      <c r="G553" t="s">
        <v>1240</v>
      </c>
      <c r="H553" s="38">
        <v>46251</v>
      </c>
      <c r="I553" t="str" cm="1">
        <f t="array" ref="I553">IFERROR(INDEX('ALL STUDENTS'!$A:$A, MATCH(1, ('ALL STUDENTS'!$B:$B = B553) * ('ALL STUDENTS'!$C:$C = C553), 0)), "NOT FOUND")</f>
        <v>NOT FOUND</v>
      </c>
      <c r="J553" t="str">
        <f>IF(Table26[[#This Row],[Fee]]&gt;500,Table26[[#This Row],[Fee]],"")</f>
        <v/>
      </c>
    </row>
    <row r="554" spans="1:10" hidden="1">
      <c r="A554">
        <v>553</v>
      </c>
      <c r="B554" t="s">
        <v>466</v>
      </c>
      <c r="C554" t="s">
        <v>463</v>
      </c>
      <c r="D554" t="str">
        <f t="array" ref="D554">TEXT(Table26[[#This Row],[Date]],"MMMM")</f>
        <v>August</v>
      </c>
      <c r="E554">
        <v>500</v>
      </c>
      <c r="F554" t="s">
        <v>589</v>
      </c>
      <c r="G554" t="s">
        <v>1241</v>
      </c>
      <c r="H554" s="38">
        <v>46251</v>
      </c>
      <c r="I554" cm="1">
        <f t="array" ref="I554">IFERROR(INDEX('ALL STUDENTS'!$A:$A, MATCH(1, ('ALL STUDENTS'!$B:$B = B554) * ('ALL STUDENTS'!$C:$C = C554), 0)), "NOT FOUND")</f>
        <v>733</v>
      </c>
      <c r="J554" t="str">
        <f>IF(Table26[[#This Row],[Fee]]&gt;500,Table26[[#This Row],[Fee]],"")</f>
        <v/>
      </c>
    </row>
    <row r="555" spans="1:10" hidden="1">
      <c r="A555">
        <v>554</v>
      </c>
      <c r="B555" t="s">
        <v>393</v>
      </c>
      <c r="C555" t="s">
        <v>386</v>
      </c>
      <c r="D555" t="str">
        <f t="array" ref="D555">TEXT(Table26[[#This Row],[Date]],"MMMM")</f>
        <v>August</v>
      </c>
      <c r="E555">
        <v>500</v>
      </c>
      <c r="F555" t="s">
        <v>589</v>
      </c>
      <c r="G555" t="s">
        <v>1242</v>
      </c>
      <c r="H555" s="38">
        <v>46252</v>
      </c>
      <c r="I555" cm="1">
        <f t="array" ref="I555">IFERROR(INDEX('ALL STUDENTS'!$A:$A, MATCH(1, ('ALL STUDENTS'!$B:$B = B555) * ('ALL STUDENTS'!$C:$C = C555), 0)), "NOT FOUND")</f>
        <v>905</v>
      </c>
      <c r="J555" t="str">
        <f>IF(Table26[[#This Row],[Fee]]&gt;500,Table26[[#This Row],[Fee]],"")</f>
        <v/>
      </c>
    </row>
    <row r="556" spans="1:10" hidden="1">
      <c r="A556">
        <v>555</v>
      </c>
      <c r="B556" t="s">
        <v>362</v>
      </c>
      <c r="C556" t="s">
        <v>356</v>
      </c>
      <c r="D556" t="str">
        <f t="array" ref="D556">TEXT(Table26[[#This Row],[Date]],"MMMM")</f>
        <v>August</v>
      </c>
      <c r="E556">
        <v>500</v>
      </c>
      <c r="F556" t="s">
        <v>589</v>
      </c>
      <c r="G556" t="s">
        <v>1243</v>
      </c>
      <c r="H556" s="38">
        <v>46252</v>
      </c>
      <c r="I556" cm="1">
        <f t="array" ref="I556">IFERROR(INDEX('ALL STUDENTS'!$A:$A, MATCH(1, ('ALL STUDENTS'!$B:$B = B556) * ('ALL STUDENTS'!$C:$C = C556), 0)), "NOT FOUND")</f>
        <v>781</v>
      </c>
      <c r="J556" t="str">
        <f>IF(Table26[[#This Row],[Fee]]&gt;500,Table26[[#This Row],[Fee]],"")</f>
        <v/>
      </c>
    </row>
    <row r="557" spans="1:10" hidden="1">
      <c r="A557">
        <v>556</v>
      </c>
      <c r="B557" t="s">
        <v>535</v>
      </c>
      <c r="C557" t="s">
        <v>526</v>
      </c>
      <c r="D557" t="str">
        <f t="array" ref="D557">TEXT(Table26[[#This Row],[Date]],"MMMM")</f>
        <v>August</v>
      </c>
      <c r="E557">
        <v>500</v>
      </c>
      <c r="F557" t="s">
        <v>591</v>
      </c>
      <c r="G557" t="s">
        <v>1244</v>
      </c>
      <c r="H557" s="38">
        <v>46251</v>
      </c>
      <c r="I557" cm="1">
        <f t="array" ref="I557">IFERROR(INDEX('ALL STUDENTS'!$A:$A, MATCH(1, ('ALL STUDENTS'!$B:$B = B557) * ('ALL STUDENTS'!$C:$C = C557), 0)), "NOT FOUND")</f>
        <v>104</v>
      </c>
      <c r="J557" t="str">
        <f>IF(Table26[[#This Row],[Fee]]&gt;500,Table26[[#This Row],[Fee]],"")</f>
        <v/>
      </c>
    </row>
    <row r="558" spans="1:10" hidden="1">
      <c r="A558">
        <v>557</v>
      </c>
      <c r="B558" t="s">
        <v>108</v>
      </c>
      <c r="C558" t="s">
        <v>102</v>
      </c>
      <c r="D558" t="str">
        <f t="array" ref="D558">TEXT(Table26[[#This Row],[Date]],"MMMM")</f>
        <v>August</v>
      </c>
      <c r="E558">
        <v>500</v>
      </c>
      <c r="F558" t="s">
        <v>589</v>
      </c>
      <c r="G558" t="s">
        <v>1245</v>
      </c>
      <c r="H558" s="38">
        <v>46252</v>
      </c>
      <c r="I558" cm="1">
        <f t="array" ref="I558">IFERROR(INDEX('ALL STUDENTS'!$A:$A, MATCH(1, ('ALL STUDENTS'!$B:$B = B558) * ('ALL STUDENTS'!$C:$C = C558), 0)), "NOT FOUND")</f>
        <v>1600</v>
      </c>
      <c r="J558" t="str">
        <f>IF(Table26[[#This Row],[Fee]]&gt;500,Table26[[#This Row],[Fee]],"")</f>
        <v/>
      </c>
    </row>
    <row r="559" spans="1:10" hidden="1">
      <c r="A559">
        <v>558</v>
      </c>
      <c r="B559" t="s">
        <v>15</v>
      </c>
      <c r="C559" t="s">
        <v>4</v>
      </c>
      <c r="D559" t="str">
        <f t="array" ref="D559">TEXT(Table26[[#This Row],[Date]],"MMMM")</f>
        <v>August</v>
      </c>
      <c r="E559">
        <v>500</v>
      </c>
      <c r="F559" t="s">
        <v>589</v>
      </c>
      <c r="G559" t="s">
        <v>1246</v>
      </c>
      <c r="H559" s="38">
        <v>46252</v>
      </c>
      <c r="I559" cm="1">
        <f t="array" ref="I559">IFERROR(INDEX('ALL STUDENTS'!$A:$A, MATCH(1, ('ALL STUDENTS'!$B:$B = B559) * ('ALL STUDENTS'!$C:$C = C559), 0)), "NOT FOUND")</f>
        <v>3018</v>
      </c>
      <c r="J559" t="str">
        <f>IF(Table26[[#This Row],[Fee]]&gt;500,Table26[[#This Row],[Fee]],"")</f>
        <v/>
      </c>
    </row>
    <row r="560" spans="1:10" hidden="1">
      <c r="A560">
        <v>559</v>
      </c>
      <c r="B560" t="s">
        <v>15</v>
      </c>
      <c r="C560" t="s">
        <v>4</v>
      </c>
      <c r="D560" t="str">
        <f t="array" ref="D560">TEXT(Table26[[#This Row],[Date]],"MMMM")</f>
        <v>August</v>
      </c>
      <c r="E560">
        <v>500</v>
      </c>
      <c r="F560" t="s">
        <v>589</v>
      </c>
      <c r="G560" t="s">
        <v>1247</v>
      </c>
      <c r="H560" s="38">
        <v>46252</v>
      </c>
      <c r="I560" cm="1">
        <f t="array" ref="I560">IFERROR(INDEX('ALL STUDENTS'!$A:$A, MATCH(1, ('ALL STUDENTS'!$B:$B = B560) * ('ALL STUDENTS'!$C:$C = C560), 0)), "NOT FOUND")</f>
        <v>3018</v>
      </c>
      <c r="J560" t="str">
        <f>IF(Table26[[#This Row],[Fee]]&gt;500,Table26[[#This Row],[Fee]],"")</f>
        <v/>
      </c>
    </row>
    <row r="561" spans="1:10" hidden="1">
      <c r="A561">
        <v>560</v>
      </c>
      <c r="B561" t="s">
        <v>15</v>
      </c>
      <c r="C561" t="s">
        <v>4</v>
      </c>
      <c r="D561" t="str">
        <f t="array" ref="D561">TEXT(Table26[[#This Row],[Date]],"MMMM")</f>
        <v>August</v>
      </c>
      <c r="E561">
        <v>500</v>
      </c>
      <c r="F561" t="s">
        <v>589</v>
      </c>
      <c r="G561" t="s">
        <v>1248</v>
      </c>
      <c r="H561" s="38">
        <v>46252</v>
      </c>
      <c r="I561" cm="1">
        <f t="array" ref="I561">IFERROR(INDEX('ALL STUDENTS'!$A:$A, MATCH(1, ('ALL STUDENTS'!$B:$B = B561) * ('ALL STUDENTS'!$C:$C = C561), 0)), "NOT FOUND")</f>
        <v>3018</v>
      </c>
      <c r="J561" t="str">
        <f>IF(Table26[[#This Row],[Fee]]&gt;500,Table26[[#This Row],[Fee]],"")</f>
        <v/>
      </c>
    </row>
    <row r="562" spans="1:10" hidden="1">
      <c r="A562">
        <v>561</v>
      </c>
      <c r="B562" t="s">
        <v>109</v>
      </c>
      <c r="C562" t="s">
        <v>102</v>
      </c>
      <c r="D562" t="str">
        <f t="array" ref="D562">TEXT(Table26[[#This Row],[Date]],"MMMM")</f>
        <v>August</v>
      </c>
      <c r="E562">
        <v>500</v>
      </c>
      <c r="F562" t="s">
        <v>589</v>
      </c>
      <c r="G562" t="s">
        <v>1249</v>
      </c>
      <c r="H562" s="38">
        <v>46252</v>
      </c>
      <c r="I562" cm="1">
        <f t="array" ref="I562">IFERROR(INDEX('ALL STUDENTS'!$A:$A, MATCH(1, ('ALL STUDENTS'!$B:$B = B562) * ('ALL STUDENTS'!$C:$C = C562), 0)), "NOT FOUND")</f>
        <v>2677</v>
      </c>
      <c r="J562" t="str">
        <f>IF(Table26[[#This Row],[Fee]]&gt;500,Table26[[#This Row],[Fee]],"")</f>
        <v/>
      </c>
    </row>
    <row r="563" spans="1:10" hidden="1">
      <c r="A563">
        <v>562</v>
      </c>
      <c r="B563" t="s">
        <v>99</v>
      </c>
      <c r="C563" t="s">
        <v>87</v>
      </c>
      <c r="D563" t="str">
        <f t="array" ref="D563">TEXT(Table26[[#This Row],[Date]],"MMMM")</f>
        <v>August</v>
      </c>
      <c r="E563">
        <v>500</v>
      </c>
      <c r="F563" t="s">
        <v>589</v>
      </c>
      <c r="G563" t="s">
        <v>1250</v>
      </c>
      <c r="H563" s="38">
        <v>46252</v>
      </c>
      <c r="I563" cm="1">
        <f t="array" ref="I563">IFERROR(INDEX('ALL STUDENTS'!$A:$A, MATCH(1, ('ALL STUDENTS'!$B:$B = B563) * ('ALL STUDENTS'!$C:$C = C563), 0)), "NOT FOUND")</f>
        <v>1575</v>
      </c>
      <c r="J563" t="str">
        <f>IF(Table26[[#This Row],[Fee]]&gt;500,Table26[[#This Row],[Fee]],"")</f>
        <v/>
      </c>
    </row>
    <row r="564" spans="1:10" hidden="1">
      <c r="A564">
        <v>563</v>
      </c>
      <c r="B564" t="s">
        <v>575</v>
      </c>
      <c r="C564" t="s">
        <v>574</v>
      </c>
      <c r="D564" t="str">
        <f t="array" ref="D564">TEXT(Table26[[#This Row],[Date]],"MMMM")</f>
        <v>August</v>
      </c>
      <c r="E564">
        <v>500</v>
      </c>
      <c r="F564" t="s">
        <v>589</v>
      </c>
      <c r="G564" t="s">
        <v>1251</v>
      </c>
      <c r="H564" s="38">
        <v>46251</v>
      </c>
      <c r="I564" cm="1">
        <f t="array" ref="I564">IFERROR(INDEX('ALL STUDENTS'!$A:$A, MATCH(1, ('ALL STUDENTS'!$B:$B = B564) * ('ALL STUDENTS'!$C:$C = C564), 0)), "NOT FOUND")</f>
        <v>1309</v>
      </c>
      <c r="J564" t="str">
        <f>IF(Table26[[#This Row],[Fee]]&gt;500,Table26[[#This Row],[Fee]],"")</f>
        <v/>
      </c>
    </row>
    <row r="565" spans="1:10" hidden="1">
      <c r="A565">
        <v>564</v>
      </c>
      <c r="B565" t="s">
        <v>575</v>
      </c>
      <c r="C565" t="s">
        <v>574</v>
      </c>
      <c r="D565" t="str">
        <f t="array" ref="D565">TEXT(Table26[[#This Row],[Date]],"MMMM")</f>
        <v>August</v>
      </c>
      <c r="E565">
        <v>500</v>
      </c>
      <c r="F565" t="s">
        <v>589</v>
      </c>
      <c r="G565" t="s">
        <v>1252</v>
      </c>
      <c r="H565" s="38">
        <v>46251</v>
      </c>
      <c r="I565" cm="1">
        <f t="array" ref="I565">IFERROR(INDEX('ALL STUDENTS'!$A:$A, MATCH(1, ('ALL STUDENTS'!$B:$B = B565) * ('ALL STUDENTS'!$C:$C = C565), 0)), "NOT FOUND")</f>
        <v>1309</v>
      </c>
      <c r="J565" t="str">
        <f>IF(Table26[[#This Row],[Fee]]&gt;500,Table26[[#This Row],[Fee]],"")</f>
        <v/>
      </c>
    </row>
    <row r="566" spans="1:10" hidden="1">
      <c r="A566">
        <v>565</v>
      </c>
      <c r="B566" t="s">
        <v>575</v>
      </c>
      <c r="C566" t="s">
        <v>574</v>
      </c>
      <c r="D566" t="str">
        <f t="array" ref="D566">TEXT(Table26[[#This Row],[Date]],"MMMM")</f>
        <v>August</v>
      </c>
      <c r="E566">
        <v>500</v>
      </c>
      <c r="F566" t="s">
        <v>589</v>
      </c>
      <c r="G566" t="s">
        <v>1253</v>
      </c>
      <c r="H566" s="38">
        <v>46251</v>
      </c>
      <c r="I566" cm="1">
        <f t="array" ref="I566">IFERROR(INDEX('ALL STUDENTS'!$A:$A, MATCH(1, ('ALL STUDENTS'!$B:$B = B566) * ('ALL STUDENTS'!$C:$C = C566), 0)), "NOT FOUND")</f>
        <v>1309</v>
      </c>
      <c r="J566" t="str">
        <f>IF(Table26[[#This Row],[Fee]]&gt;500,Table26[[#This Row],[Fee]],"")</f>
        <v/>
      </c>
    </row>
    <row r="567" spans="1:10" hidden="1">
      <c r="A567">
        <v>566</v>
      </c>
      <c r="B567" t="s">
        <v>419</v>
      </c>
      <c r="C567" t="s">
        <v>415</v>
      </c>
      <c r="D567" t="str">
        <f t="array" ref="D567">TEXT(Table26[[#This Row],[Date]],"MMMM")</f>
        <v>August</v>
      </c>
      <c r="E567">
        <v>500</v>
      </c>
      <c r="F567" t="s">
        <v>589</v>
      </c>
      <c r="G567" t="s">
        <v>1254</v>
      </c>
      <c r="H567" s="38">
        <v>46253</v>
      </c>
      <c r="I567" cm="1">
        <f t="array" ref="I567">IFERROR(INDEX('ALL STUDENTS'!$A:$A, MATCH(1, ('ALL STUDENTS'!$B:$B = B567) * ('ALL STUDENTS'!$C:$C = C567), 0)), "NOT FOUND")</f>
        <v>977</v>
      </c>
      <c r="J567" t="str">
        <f>IF(Table26[[#This Row],[Fee]]&gt;500,Table26[[#This Row],[Fee]],"")</f>
        <v/>
      </c>
    </row>
    <row r="568" spans="1:10">
      <c r="A568">
        <v>567</v>
      </c>
      <c r="B568" t="s">
        <v>59</v>
      </c>
      <c r="C568" t="s">
        <v>58</v>
      </c>
      <c r="D568" t="str">
        <f t="array" ref="D568">TEXT(Table26[[#This Row],[Date]],"MMMM")</f>
        <v>August</v>
      </c>
      <c r="E568">
        <v>500</v>
      </c>
      <c r="F568" t="s">
        <v>589</v>
      </c>
      <c r="G568" t="s">
        <v>1255</v>
      </c>
      <c r="H568" s="38">
        <v>46253</v>
      </c>
      <c r="I568" t="str" cm="1">
        <f t="array" ref="I568">IFERROR(INDEX('ALL STUDENTS'!$A:$A, MATCH(1, ('ALL STUDENTS'!$B:$B = B568) * ('ALL STUDENTS'!$C:$C = C568), 0)), "NOT FOUND")</f>
        <v>NOT FOUND</v>
      </c>
      <c r="J568" t="str">
        <f>IF(Table26[[#This Row],[Fee]]&gt;500,Table26[[#This Row],[Fee]],"")</f>
        <v/>
      </c>
    </row>
    <row r="569" spans="1:10" hidden="1">
      <c r="A569">
        <v>568</v>
      </c>
      <c r="B569" t="s">
        <v>562</v>
      </c>
      <c r="C569" t="s">
        <v>556</v>
      </c>
      <c r="D569" t="str">
        <f t="array" ref="D569">TEXT(Table26[[#This Row],[Date]],"MMMM")</f>
        <v>August</v>
      </c>
      <c r="E569">
        <v>500</v>
      </c>
      <c r="F569" t="s">
        <v>589</v>
      </c>
      <c r="G569" t="s">
        <v>1256</v>
      </c>
      <c r="H569" s="38">
        <v>46253</v>
      </c>
      <c r="I569" cm="1">
        <f t="array" ref="I569">IFERROR(INDEX('ALL STUDENTS'!$A:$A, MATCH(1, ('ALL STUDENTS'!$B:$B = B569) * ('ALL STUDENTS'!$C:$C = C569), 0)), "NOT FOUND")</f>
        <v>199</v>
      </c>
      <c r="J569" t="str">
        <f>IF(Table26[[#This Row],[Fee]]&gt;500,Table26[[#This Row],[Fee]],"")</f>
        <v/>
      </c>
    </row>
    <row r="570" spans="1:10" hidden="1">
      <c r="A570">
        <v>569</v>
      </c>
      <c r="B570" t="s">
        <v>445</v>
      </c>
      <c r="C570" t="s">
        <v>440</v>
      </c>
      <c r="D570" t="str">
        <f t="array" ref="D570">TEXT(Table26[[#This Row],[Date]],"MMMM")</f>
        <v>August</v>
      </c>
      <c r="E570">
        <v>500</v>
      </c>
      <c r="F570" t="s">
        <v>589</v>
      </c>
      <c r="G570" t="s">
        <v>1257</v>
      </c>
      <c r="H570" s="38">
        <v>46254</v>
      </c>
      <c r="I570" cm="1">
        <f t="array" ref="I570">IFERROR(INDEX('ALL STUDENTS'!$A:$A, MATCH(1, ('ALL STUDENTS'!$B:$B = B570) * ('ALL STUDENTS'!$C:$C = C570), 0)), "NOT FOUND")</f>
        <v>648</v>
      </c>
      <c r="J570" t="str">
        <f>IF(Table26[[#This Row],[Fee]]&gt;500,Table26[[#This Row],[Fee]],"")</f>
        <v/>
      </c>
    </row>
    <row r="571" spans="1:10" hidden="1">
      <c r="A571">
        <v>570</v>
      </c>
      <c r="B571" t="s">
        <v>134</v>
      </c>
      <c r="C571" t="s">
        <v>128</v>
      </c>
      <c r="D571" t="str">
        <f t="array" ref="D571">TEXT(Table26[[#This Row],[Date]],"MMMM")</f>
        <v>August</v>
      </c>
      <c r="E571">
        <v>500</v>
      </c>
      <c r="F571" t="s">
        <v>589</v>
      </c>
      <c r="G571" t="s">
        <v>1258</v>
      </c>
      <c r="H571" s="38">
        <v>46254</v>
      </c>
      <c r="I571" cm="1">
        <f t="array" ref="I571">IFERROR(INDEX('ALL STUDENTS'!$A:$A, MATCH(1, ('ALL STUDENTS'!$B:$B = B571) * ('ALL STUDENTS'!$C:$C = C571), 0)), "NOT FOUND")</f>
        <v>1709</v>
      </c>
      <c r="J571" t="str">
        <f>IF(Table26[[#This Row],[Fee]]&gt;500,Table26[[#This Row],[Fee]],"")</f>
        <v/>
      </c>
    </row>
    <row r="572" spans="1:10">
      <c r="A572">
        <v>571</v>
      </c>
      <c r="B572" t="s">
        <v>280</v>
      </c>
      <c r="C572" t="s">
        <v>273</v>
      </c>
      <c r="D572" t="str">
        <f t="array" ref="D572">TEXT(Table26[[#This Row],[Date]],"MMMM")</f>
        <v>August</v>
      </c>
      <c r="E572">
        <v>500</v>
      </c>
      <c r="F572" t="s">
        <v>589</v>
      </c>
      <c r="G572" t="s">
        <v>1259</v>
      </c>
      <c r="H572" s="38">
        <v>46252</v>
      </c>
      <c r="I572" t="str" cm="1">
        <f t="array" ref="I572">IFERROR(INDEX('ALL STUDENTS'!$A:$A, MATCH(1, ('ALL STUDENTS'!$B:$B = B572) * ('ALL STUDENTS'!$C:$C = C572), 0)), "NOT FOUND")</f>
        <v>NOT FOUND</v>
      </c>
      <c r="J572" t="str">
        <f>IF(Table26[[#This Row],[Fee]]&gt;500,Table26[[#This Row],[Fee]],"")</f>
        <v/>
      </c>
    </row>
    <row r="573" spans="1:10" hidden="1">
      <c r="A573">
        <v>572</v>
      </c>
      <c r="B573" t="s">
        <v>156</v>
      </c>
      <c r="C573" t="s">
        <v>149</v>
      </c>
      <c r="D573" t="str">
        <f t="array" ref="D573">TEXT(Table26[[#This Row],[Date]],"MMMM")</f>
        <v>August</v>
      </c>
      <c r="E573">
        <v>500</v>
      </c>
      <c r="F573" t="s">
        <v>589</v>
      </c>
      <c r="G573" t="s">
        <v>1260</v>
      </c>
      <c r="H573" s="38">
        <v>46253</v>
      </c>
      <c r="I573" cm="1">
        <f t="array" ref="I573">IFERROR(INDEX('ALL STUDENTS'!$A:$A, MATCH(1, ('ALL STUDENTS'!$B:$B = B573) * ('ALL STUDENTS'!$C:$C = C573), 0)), "NOT FOUND")</f>
        <v>1774</v>
      </c>
      <c r="J573" t="str">
        <f>IF(Table26[[#This Row],[Fee]]&gt;500,Table26[[#This Row],[Fee]],"")</f>
        <v/>
      </c>
    </row>
    <row r="574" spans="1:10" hidden="1">
      <c r="A574">
        <v>573</v>
      </c>
      <c r="B574" t="s">
        <v>156</v>
      </c>
      <c r="C574" t="s">
        <v>149</v>
      </c>
      <c r="D574" t="str">
        <f t="array" ref="D574">TEXT(Table26[[#This Row],[Date]],"MMMM")</f>
        <v>August</v>
      </c>
      <c r="E574">
        <v>500</v>
      </c>
      <c r="F574" t="s">
        <v>589</v>
      </c>
      <c r="G574" t="s">
        <v>1261</v>
      </c>
      <c r="H574" s="38">
        <v>46253</v>
      </c>
      <c r="I574" cm="1">
        <f t="array" ref="I574">IFERROR(INDEX('ALL STUDENTS'!$A:$A, MATCH(1, ('ALL STUDENTS'!$B:$B = B574) * ('ALL STUDENTS'!$C:$C = C574), 0)), "NOT FOUND")</f>
        <v>1774</v>
      </c>
      <c r="J574" t="str">
        <f>IF(Table26[[#This Row],[Fee]]&gt;500,Table26[[#This Row],[Fee]],"")</f>
        <v/>
      </c>
    </row>
    <row r="575" spans="1:10" hidden="1">
      <c r="A575">
        <v>574</v>
      </c>
      <c r="B575" t="s">
        <v>156</v>
      </c>
      <c r="C575" t="s">
        <v>149</v>
      </c>
      <c r="D575" t="str">
        <f t="array" ref="D575">TEXT(Table26[[#This Row],[Date]],"MMMM")</f>
        <v>August</v>
      </c>
      <c r="E575">
        <v>500</v>
      </c>
      <c r="F575" t="s">
        <v>589</v>
      </c>
      <c r="G575" t="s">
        <v>1262</v>
      </c>
      <c r="H575" s="38">
        <v>46253</v>
      </c>
      <c r="I575" cm="1">
        <f t="array" ref="I575">IFERROR(INDEX('ALL STUDENTS'!$A:$A, MATCH(1, ('ALL STUDENTS'!$B:$B = B575) * ('ALL STUDENTS'!$C:$C = C575), 0)), "NOT FOUND")</f>
        <v>1774</v>
      </c>
      <c r="J575" t="str">
        <f>IF(Table26[[#This Row],[Fee]]&gt;500,Table26[[#This Row],[Fee]],"")</f>
        <v/>
      </c>
    </row>
    <row r="576" spans="1:10" hidden="1">
      <c r="A576">
        <v>575</v>
      </c>
      <c r="B576" t="s">
        <v>240</v>
      </c>
      <c r="C576" t="s">
        <v>232</v>
      </c>
      <c r="D576" t="str">
        <f t="array" ref="D576">TEXT(Table26[[#This Row],[Date]],"MMMM")</f>
        <v>August</v>
      </c>
      <c r="E576">
        <v>500</v>
      </c>
      <c r="F576" t="s">
        <v>591</v>
      </c>
      <c r="G576" t="s">
        <v>1263</v>
      </c>
      <c r="H576" s="38">
        <v>46252</v>
      </c>
      <c r="I576" cm="1">
        <f t="array" ref="I576">IFERROR(INDEX('ALL STUDENTS'!$A:$A, MATCH(1, ('ALL STUDENTS'!$B:$B = B576) * ('ALL STUDENTS'!$C:$C = C576), 0)), "NOT FOUND")</f>
        <v>2097</v>
      </c>
      <c r="J576" t="str">
        <f>IF(Table26[[#This Row],[Fee]]&gt;500,Table26[[#This Row],[Fee]],"")</f>
        <v/>
      </c>
    </row>
    <row r="577" spans="1:10" hidden="1">
      <c r="A577">
        <v>576</v>
      </c>
      <c r="B577" t="s">
        <v>260</v>
      </c>
      <c r="C577" t="s">
        <v>252</v>
      </c>
      <c r="D577" t="str">
        <f t="array" ref="D577">TEXT(Table26[[#This Row],[Date]],"MMMM")</f>
        <v>August</v>
      </c>
      <c r="E577">
        <v>500</v>
      </c>
      <c r="F577" t="s">
        <v>591</v>
      </c>
      <c r="G577" t="s">
        <v>1264</v>
      </c>
      <c r="H577" s="38">
        <v>46253</v>
      </c>
      <c r="I577" cm="1">
        <f t="array" ref="I577">IFERROR(INDEX('ALL STUDENTS'!$A:$A, MATCH(1, ('ALL STUDENTS'!$B:$B = B577) * ('ALL STUDENTS'!$C:$C = C577), 0)), "NOT FOUND")</f>
        <v>2122</v>
      </c>
      <c r="J577" t="str">
        <f>IF(Table26[[#This Row],[Fee]]&gt;500,Table26[[#This Row],[Fee]],"")</f>
        <v/>
      </c>
    </row>
    <row r="578" spans="1:10" hidden="1">
      <c r="A578">
        <v>577</v>
      </c>
      <c r="B578" t="s">
        <v>260</v>
      </c>
      <c r="C578" t="s">
        <v>252</v>
      </c>
      <c r="D578" t="str">
        <f t="array" ref="D578">TEXT(Table26[[#This Row],[Date]],"MMMM")</f>
        <v>August</v>
      </c>
      <c r="E578">
        <v>500</v>
      </c>
      <c r="F578" t="s">
        <v>591</v>
      </c>
      <c r="G578" t="s">
        <v>1265</v>
      </c>
      <c r="H578" s="38">
        <v>46253</v>
      </c>
      <c r="I578" cm="1">
        <f t="array" ref="I578">IFERROR(INDEX('ALL STUDENTS'!$A:$A, MATCH(1, ('ALL STUDENTS'!$B:$B = B578) * ('ALL STUDENTS'!$C:$C = C578), 0)), "NOT FOUND")</f>
        <v>2122</v>
      </c>
      <c r="J578" t="str">
        <f>IF(Table26[[#This Row],[Fee]]&gt;500,Table26[[#This Row],[Fee]],"")</f>
        <v/>
      </c>
    </row>
    <row r="579" spans="1:10" hidden="1">
      <c r="A579">
        <v>578</v>
      </c>
      <c r="B579" t="s">
        <v>260</v>
      </c>
      <c r="C579" t="s">
        <v>252</v>
      </c>
      <c r="D579" t="str">
        <f t="array" ref="D579">TEXT(Table26[[#This Row],[Date]],"MMMM")</f>
        <v>August</v>
      </c>
      <c r="E579">
        <v>500</v>
      </c>
      <c r="F579" t="s">
        <v>591</v>
      </c>
      <c r="G579" t="s">
        <v>1266</v>
      </c>
      <c r="H579" s="38">
        <v>46253</v>
      </c>
      <c r="I579" cm="1">
        <f t="array" ref="I579">IFERROR(INDEX('ALL STUDENTS'!$A:$A, MATCH(1, ('ALL STUDENTS'!$B:$B = B579) * ('ALL STUDENTS'!$C:$C = C579), 0)), "NOT FOUND")</f>
        <v>2122</v>
      </c>
      <c r="J579" t="str">
        <f>IF(Table26[[#This Row],[Fee]]&gt;500,Table26[[#This Row],[Fee]],"")</f>
        <v/>
      </c>
    </row>
    <row r="580" spans="1:10" hidden="1">
      <c r="A580">
        <v>579</v>
      </c>
      <c r="B580" t="s">
        <v>381</v>
      </c>
      <c r="C580" t="s">
        <v>374</v>
      </c>
      <c r="D580" t="str">
        <f t="array" ref="D580">TEXT(Table26[[#This Row],[Date]],"MMMM")</f>
        <v>August</v>
      </c>
      <c r="E580">
        <v>500</v>
      </c>
      <c r="F580" t="s">
        <v>591</v>
      </c>
      <c r="G580" t="s">
        <v>1267</v>
      </c>
      <c r="H580" s="38">
        <v>46253</v>
      </c>
      <c r="I580" cm="1">
        <f t="array" ref="I580">IFERROR(INDEX('ALL STUDENTS'!$A:$A, MATCH(1, ('ALL STUDENTS'!$B:$B = B580) * ('ALL STUDENTS'!$C:$C = C580), 0)), "NOT FOUND")</f>
        <v>850</v>
      </c>
      <c r="J580" t="str">
        <f>IF(Table26[[#This Row],[Fee]]&gt;500,Table26[[#This Row],[Fee]],"")</f>
        <v/>
      </c>
    </row>
    <row r="581" spans="1:10" hidden="1">
      <c r="A581">
        <v>580</v>
      </c>
      <c r="B581" t="s">
        <v>381</v>
      </c>
      <c r="C581" t="s">
        <v>374</v>
      </c>
      <c r="D581" t="str">
        <f t="array" ref="D581">TEXT(Table26[[#This Row],[Date]],"MMMM")</f>
        <v>August</v>
      </c>
      <c r="E581">
        <v>500</v>
      </c>
      <c r="F581" t="s">
        <v>591</v>
      </c>
      <c r="G581" t="s">
        <v>1268</v>
      </c>
      <c r="H581" s="38">
        <v>46253</v>
      </c>
      <c r="I581" cm="1">
        <f t="array" ref="I581">IFERROR(INDEX('ALL STUDENTS'!$A:$A, MATCH(1, ('ALL STUDENTS'!$B:$B = B581) * ('ALL STUDENTS'!$C:$C = C581), 0)), "NOT FOUND")</f>
        <v>850</v>
      </c>
      <c r="J581" t="str">
        <f>IF(Table26[[#This Row],[Fee]]&gt;500,Table26[[#This Row],[Fee]],"")</f>
        <v/>
      </c>
    </row>
    <row r="582" spans="1:10" hidden="1">
      <c r="A582">
        <v>581</v>
      </c>
      <c r="B582" t="s">
        <v>381</v>
      </c>
      <c r="C582" t="s">
        <v>374</v>
      </c>
      <c r="D582" t="str">
        <f t="array" ref="D582">TEXT(Table26[[#This Row],[Date]],"MMMM")</f>
        <v>August</v>
      </c>
      <c r="E582">
        <v>500</v>
      </c>
      <c r="F582" t="s">
        <v>591</v>
      </c>
      <c r="G582" t="s">
        <v>1269</v>
      </c>
      <c r="H582" s="38">
        <v>46253</v>
      </c>
      <c r="I582" cm="1">
        <f t="array" ref="I582">IFERROR(INDEX('ALL STUDENTS'!$A:$A, MATCH(1, ('ALL STUDENTS'!$B:$B = B582) * ('ALL STUDENTS'!$C:$C = C582), 0)), "NOT FOUND")</f>
        <v>850</v>
      </c>
      <c r="J582" t="str">
        <f>IF(Table26[[#This Row],[Fee]]&gt;500,Table26[[#This Row],[Fee]],"")</f>
        <v/>
      </c>
    </row>
    <row r="583" spans="1:10" hidden="1">
      <c r="A583">
        <v>582</v>
      </c>
      <c r="B583" t="s">
        <v>563</v>
      </c>
      <c r="C583" t="s">
        <v>556</v>
      </c>
      <c r="D583" t="str">
        <f t="array" ref="D583">TEXT(Table26[[#This Row],[Date]],"MMMM")</f>
        <v>August</v>
      </c>
      <c r="E583">
        <v>500</v>
      </c>
      <c r="F583" t="s">
        <v>589</v>
      </c>
      <c r="G583" t="s">
        <v>1270</v>
      </c>
      <c r="H583" s="38">
        <v>46254</v>
      </c>
      <c r="I583" cm="1">
        <f t="array" ref="I583">IFERROR(INDEX('ALL STUDENTS'!$A:$A, MATCH(1, ('ALL STUDENTS'!$B:$B = B583) * ('ALL STUDENTS'!$C:$C = C583), 0)), "NOT FOUND")</f>
        <v>225</v>
      </c>
      <c r="J583" t="str">
        <f>IF(Table26[[#This Row],[Fee]]&gt;500,Table26[[#This Row],[Fee]],"")</f>
        <v/>
      </c>
    </row>
    <row r="584" spans="1:10" hidden="1">
      <c r="A584">
        <v>583</v>
      </c>
      <c r="B584" t="s">
        <v>563</v>
      </c>
      <c r="C584" t="s">
        <v>556</v>
      </c>
      <c r="D584" t="str">
        <f t="array" ref="D584">TEXT(Table26[[#This Row],[Date]],"MMMM")</f>
        <v>August</v>
      </c>
      <c r="E584">
        <v>500</v>
      </c>
      <c r="F584" t="s">
        <v>589</v>
      </c>
      <c r="G584" t="s">
        <v>1271</v>
      </c>
      <c r="H584" s="38">
        <v>46254</v>
      </c>
      <c r="I584" cm="1">
        <f t="array" ref="I584">IFERROR(INDEX('ALL STUDENTS'!$A:$A, MATCH(1, ('ALL STUDENTS'!$B:$B = B584) * ('ALL STUDENTS'!$C:$C = C584), 0)), "NOT FOUND")</f>
        <v>225</v>
      </c>
      <c r="J584" t="str">
        <f>IF(Table26[[#This Row],[Fee]]&gt;500,Table26[[#This Row],[Fee]],"")</f>
        <v/>
      </c>
    </row>
    <row r="585" spans="1:10" hidden="1">
      <c r="A585">
        <v>584</v>
      </c>
      <c r="B585" t="s">
        <v>563</v>
      </c>
      <c r="C585" t="s">
        <v>556</v>
      </c>
      <c r="D585" t="str">
        <f t="array" ref="D585">TEXT(Table26[[#This Row],[Date]],"MMMM")</f>
        <v>August</v>
      </c>
      <c r="E585">
        <v>500</v>
      </c>
      <c r="F585" t="s">
        <v>589</v>
      </c>
      <c r="G585" t="s">
        <v>1272</v>
      </c>
      <c r="H585" s="38">
        <v>46254</v>
      </c>
      <c r="I585" cm="1">
        <f t="array" ref="I585">IFERROR(INDEX('ALL STUDENTS'!$A:$A, MATCH(1, ('ALL STUDENTS'!$B:$B = B585) * ('ALL STUDENTS'!$C:$C = C585), 0)), "NOT FOUND")</f>
        <v>225</v>
      </c>
      <c r="J585" t="str">
        <f>IF(Table26[[#This Row],[Fee]]&gt;500,Table26[[#This Row],[Fee]],"")</f>
        <v/>
      </c>
    </row>
    <row r="586" spans="1:10" hidden="1">
      <c r="A586">
        <v>585</v>
      </c>
      <c r="B586" t="s">
        <v>157</v>
      </c>
      <c r="C586" t="s">
        <v>149</v>
      </c>
      <c r="D586" t="str">
        <f t="array" ref="D586">TEXT(Table26[[#This Row],[Date]],"MMMM")</f>
        <v>August</v>
      </c>
      <c r="E586">
        <v>500</v>
      </c>
      <c r="F586" t="s">
        <v>589</v>
      </c>
      <c r="G586" t="s">
        <v>1273</v>
      </c>
      <c r="H586" s="38">
        <v>46254</v>
      </c>
      <c r="I586" cm="1">
        <f t="array" ref="I586">IFERROR(INDEX('ALL STUDENTS'!$A:$A, MATCH(1, ('ALL STUDENTS'!$B:$B = B586) * ('ALL STUDENTS'!$C:$C = C586), 0)), "NOT FOUND")</f>
        <v>1773</v>
      </c>
      <c r="J586" t="str">
        <f>IF(Table26[[#This Row],[Fee]]&gt;500,Table26[[#This Row],[Fee]],"")</f>
        <v/>
      </c>
    </row>
    <row r="587" spans="1:10" hidden="1">
      <c r="A587">
        <v>586</v>
      </c>
      <c r="B587" t="s">
        <v>382</v>
      </c>
      <c r="C587" t="s">
        <v>374</v>
      </c>
      <c r="D587" t="str">
        <f t="array" ref="D587">TEXT(Table26[[#This Row],[Date]],"MMMM")</f>
        <v>August</v>
      </c>
      <c r="E587">
        <v>500</v>
      </c>
      <c r="F587" t="s">
        <v>589</v>
      </c>
      <c r="G587" t="s">
        <v>1274</v>
      </c>
      <c r="H587" s="38">
        <v>46255</v>
      </c>
      <c r="I587" cm="1">
        <f t="array" ref="I587">IFERROR(INDEX('ALL STUDENTS'!$A:$A, MATCH(1, ('ALL STUDENTS'!$B:$B = B587) * ('ALL STUDENTS'!$C:$C = C587), 0)), "NOT FOUND")</f>
        <v>861</v>
      </c>
      <c r="J587" t="str">
        <f>IF(Table26[[#This Row],[Fee]]&gt;500,Table26[[#This Row],[Fee]],"")</f>
        <v/>
      </c>
    </row>
    <row r="588" spans="1:10" hidden="1">
      <c r="A588">
        <v>587</v>
      </c>
      <c r="B588" t="s">
        <v>224</v>
      </c>
      <c r="C588" t="s">
        <v>221</v>
      </c>
      <c r="D588" t="str">
        <f t="array" ref="D588">TEXT(Table26[[#This Row],[Date]],"MMMM")</f>
        <v>August</v>
      </c>
      <c r="E588">
        <v>500</v>
      </c>
      <c r="F588" t="s">
        <v>589</v>
      </c>
      <c r="G588" t="s">
        <v>1275</v>
      </c>
      <c r="H588" s="38">
        <v>46255</v>
      </c>
      <c r="I588" cm="1">
        <f t="array" ref="I588">IFERROR(INDEX('ALL STUDENTS'!$A:$A, MATCH(1, ('ALL STUDENTS'!$B:$B = B588) * ('ALL STUDENTS'!$C:$C = C588), 0)), "NOT FOUND")</f>
        <v>2723</v>
      </c>
      <c r="J588" t="str">
        <f>IF(Table26[[#This Row],[Fee]]&gt;500,Table26[[#This Row],[Fee]],"")</f>
        <v/>
      </c>
    </row>
    <row r="589" spans="1:10" hidden="1">
      <c r="A589">
        <v>588</v>
      </c>
      <c r="B589" t="s">
        <v>547</v>
      </c>
      <c r="C589" t="s">
        <v>543</v>
      </c>
      <c r="D589" t="str">
        <f t="array" ref="D589">TEXT(Table26[[#This Row],[Date]],"MMMM")</f>
        <v>August</v>
      </c>
      <c r="E589">
        <v>500</v>
      </c>
      <c r="F589" t="s">
        <v>591</v>
      </c>
      <c r="G589" t="s">
        <v>1276</v>
      </c>
      <c r="H589" s="38">
        <v>46254</v>
      </c>
      <c r="I589" cm="1">
        <f t="array" ref="I589">IFERROR(INDEX('ALL STUDENTS'!$A:$A, MATCH(1, ('ALL STUDENTS'!$B:$B = B589) * ('ALL STUDENTS'!$C:$C = C589), 0)), "NOT FOUND")</f>
        <v>139</v>
      </c>
      <c r="J589" t="str">
        <f>IF(Table26[[#This Row],[Fee]]&gt;500,Table26[[#This Row],[Fee]],"")</f>
        <v/>
      </c>
    </row>
    <row r="590" spans="1:10" hidden="1">
      <c r="A590">
        <v>589</v>
      </c>
      <c r="B590" t="s">
        <v>166</v>
      </c>
      <c r="C590" t="s">
        <v>159</v>
      </c>
      <c r="D590" t="str">
        <f t="array" ref="D590">TEXT(Table26[[#This Row],[Date]],"MMMM")</f>
        <v>August</v>
      </c>
      <c r="E590">
        <v>500</v>
      </c>
      <c r="F590" t="s">
        <v>591</v>
      </c>
      <c r="G590" t="s">
        <v>1277</v>
      </c>
      <c r="H590" s="38">
        <v>46254</v>
      </c>
      <c r="I590" cm="1">
        <f t="array" ref="I590">IFERROR(INDEX('ALL STUDENTS'!$A:$A, MATCH(1, ('ALL STUDENTS'!$B:$B = B590) * ('ALL STUDENTS'!$C:$C = C590), 0)), "NOT FOUND")</f>
        <v>2634</v>
      </c>
      <c r="J590" t="str">
        <f>IF(Table26[[#This Row],[Fee]]&gt;500,Table26[[#This Row],[Fee]],"")</f>
        <v/>
      </c>
    </row>
    <row r="591" spans="1:10" hidden="1">
      <c r="A591">
        <v>590</v>
      </c>
      <c r="B591" t="s">
        <v>3234</v>
      </c>
      <c r="C591" t="s">
        <v>232</v>
      </c>
      <c r="D591" t="str">
        <f t="array" ref="D591">TEXT(Table26[[#This Row],[Date]],"MMMM")</f>
        <v>August</v>
      </c>
      <c r="E591">
        <v>500</v>
      </c>
      <c r="F591" t="s">
        <v>589</v>
      </c>
      <c r="G591" t="s">
        <v>1278</v>
      </c>
      <c r="H591" s="38">
        <v>46256</v>
      </c>
      <c r="I591" cm="1">
        <f t="array" ref="I591">IFERROR(INDEX('ALL STUDENTS'!$A:$A, MATCH(1, ('ALL STUDENTS'!$B:$B = B591) * ('ALL STUDENTS'!$C:$C = C591), 0)), "NOT FOUND")</f>
        <v>2087</v>
      </c>
      <c r="J591" t="str">
        <f>IF(Table26[[#This Row],[Fee]]&gt;500,Table26[[#This Row],[Fee]],"")</f>
        <v/>
      </c>
    </row>
    <row r="592" spans="1:10" hidden="1">
      <c r="A592">
        <v>591</v>
      </c>
      <c r="B592" t="s">
        <v>83</v>
      </c>
      <c r="C592" t="s">
        <v>80</v>
      </c>
      <c r="D592" t="str">
        <f t="array" ref="D592">TEXT(Table26[[#This Row],[Date]],"MMMM")</f>
        <v>August</v>
      </c>
      <c r="E592">
        <v>500</v>
      </c>
      <c r="F592" t="s">
        <v>589</v>
      </c>
      <c r="G592" t="s">
        <v>1279</v>
      </c>
      <c r="H592" s="38">
        <v>46256</v>
      </c>
      <c r="I592" cm="1">
        <f t="array" ref="I592">IFERROR(INDEX('ALL STUDENTS'!$A:$A, MATCH(1, ('ALL STUDENTS'!$B:$B = B592) * ('ALL STUDENTS'!$C:$C = C592), 0)), "NOT FOUND")</f>
        <v>1545</v>
      </c>
      <c r="J592" t="str">
        <f>IF(Table26[[#This Row],[Fee]]&gt;500,Table26[[#This Row],[Fee]],"")</f>
        <v/>
      </c>
    </row>
    <row r="593" spans="1:10" hidden="1">
      <c r="A593">
        <v>592</v>
      </c>
      <c r="B593" t="s">
        <v>446</v>
      </c>
      <c r="C593" t="s">
        <v>440</v>
      </c>
      <c r="D593" t="str">
        <f t="array" ref="D593">TEXT(Table26[[#This Row],[Date]],"MMMM")</f>
        <v>August</v>
      </c>
      <c r="E593">
        <v>500</v>
      </c>
      <c r="F593" t="s">
        <v>589</v>
      </c>
      <c r="G593" t="s">
        <v>1280</v>
      </c>
      <c r="H593" s="38">
        <v>46252</v>
      </c>
      <c r="I593" cm="1">
        <f t="array" ref="I593">IFERROR(INDEX('ALL STUDENTS'!$A:$A, MATCH(1, ('ALL STUDENTS'!$B:$B = B593) * ('ALL STUDENTS'!$C:$C = C593), 0)), "NOT FOUND")</f>
        <v>630</v>
      </c>
      <c r="J593" t="str">
        <f>IF(Table26[[#This Row],[Fee]]&gt;500,Table26[[#This Row],[Fee]],"")</f>
        <v/>
      </c>
    </row>
    <row r="594" spans="1:10" hidden="1">
      <c r="A594">
        <v>593</v>
      </c>
      <c r="B594" t="s">
        <v>536</v>
      </c>
      <c r="C594" t="s">
        <v>526</v>
      </c>
      <c r="D594" t="str">
        <f t="array" ref="D594">TEXT(Table26[[#This Row],[Date]],"MMMM")</f>
        <v>August</v>
      </c>
      <c r="E594">
        <v>500</v>
      </c>
      <c r="F594" t="s">
        <v>589</v>
      </c>
      <c r="G594" t="s">
        <v>1281</v>
      </c>
      <c r="H594" s="38">
        <v>46252</v>
      </c>
      <c r="I594" cm="1">
        <f t="array" ref="I594">IFERROR(INDEX('ALL STUDENTS'!$A:$A, MATCH(1, ('ALL STUDENTS'!$B:$B = B594) * ('ALL STUDENTS'!$C:$C = C594), 0)), "NOT FOUND")</f>
        <v>124</v>
      </c>
      <c r="J594" t="str">
        <f>IF(Table26[[#This Row],[Fee]]&gt;500,Table26[[#This Row],[Fee]],"")</f>
        <v/>
      </c>
    </row>
    <row r="595" spans="1:10" hidden="1">
      <c r="A595">
        <v>594</v>
      </c>
      <c r="B595" t="s">
        <v>225</v>
      </c>
      <c r="C595" t="s">
        <v>221</v>
      </c>
      <c r="D595" t="str">
        <f t="array" ref="D595">TEXT(Table26[[#This Row],[Date]],"MMMM")</f>
        <v>August</v>
      </c>
      <c r="E595">
        <v>500</v>
      </c>
      <c r="F595" t="s">
        <v>589</v>
      </c>
      <c r="G595" t="s">
        <v>1282</v>
      </c>
      <c r="H595" s="38">
        <v>46253</v>
      </c>
      <c r="I595" cm="1">
        <f t="array" ref="I595">IFERROR(INDEX('ALL STUDENTS'!$A:$A, MATCH(1, ('ALL STUDENTS'!$B:$B = B595) * ('ALL STUDENTS'!$C:$C = C595), 0)), "NOT FOUND")</f>
        <v>2033</v>
      </c>
      <c r="J595" t="str">
        <f>IF(Table26[[#This Row],[Fee]]&gt;500,Table26[[#This Row],[Fee]],"")</f>
        <v/>
      </c>
    </row>
    <row r="596" spans="1:10" hidden="1">
      <c r="A596">
        <v>595</v>
      </c>
      <c r="B596" t="s">
        <v>225</v>
      </c>
      <c r="C596" t="s">
        <v>221</v>
      </c>
      <c r="D596" t="str">
        <f t="array" ref="D596">TEXT(Table26[[#This Row],[Date]],"MMMM")</f>
        <v>August</v>
      </c>
      <c r="E596">
        <v>500</v>
      </c>
      <c r="F596" t="s">
        <v>589</v>
      </c>
      <c r="G596" t="s">
        <v>1283</v>
      </c>
      <c r="H596" s="38">
        <v>46253</v>
      </c>
      <c r="I596" cm="1">
        <f t="array" ref="I596">IFERROR(INDEX('ALL STUDENTS'!$A:$A, MATCH(1, ('ALL STUDENTS'!$B:$B = B596) * ('ALL STUDENTS'!$C:$C = C596), 0)), "NOT FOUND")</f>
        <v>2033</v>
      </c>
      <c r="J596" t="str">
        <f>IF(Table26[[#This Row],[Fee]]&gt;500,Table26[[#This Row],[Fee]],"")</f>
        <v/>
      </c>
    </row>
    <row r="597" spans="1:10" hidden="1">
      <c r="A597">
        <v>596</v>
      </c>
      <c r="B597" t="s">
        <v>225</v>
      </c>
      <c r="C597" t="s">
        <v>221</v>
      </c>
      <c r="D597" t="str">
        <f t="array" ref="D597">TEXT(Table26[[#This Row],[Date]],"MMMM")</f>
        <v>August</v>
      </c>
      <c r="E597">
        <v>500</v>
      </c>
      <c r="F597" t="s">
        <v>589</v>
      </c>
      <c r="G597" t="s">
        <v>1284</v>
      </c>
      <c r="H597" s="38">
        <v>46253</v>
      </c>
      <c r="I597" cm="1">
        <f t="array" ref="I597">IFERROR(INDEX('ALL STUDENTS'!$A:$A, MATCH(1, ('ALL STUDENTS'!$B:$B = B597) * ('ALL STUDENTS'!$C:$C = C597), 0)), "NOT FOUND")</f>
        <v>2033</v>
      </c>
      <c r="J597" t="str">
        <f>IF(Table26[[#This Row],[Fee]]&gt;500,Table26[[#This Row],[Fee]],"")</f>
        <v/>
      </c>
    </row>
    <row r="598" spans="1:10" hidden="1">
      <c r="A598">
        <v>597</v>
      </c>
      <c r="B598" t="s">
        <v>135</v>
      </c>
      <c r="C598" t="s">
        <v>128</v>
      </c>
      <c r="D598" t="str">
        <f t="array" ref="D598">TEXT(Table26[[#This Row],[Date]],"MMMM")</f>
        <v>August</v>
      </c>
      <c r="E598">
        <v>500</v>
      </c>
      <c r="F598" t="s">
        <v>589</v>
      </c>
      <c r="G598" t="s">
        <v>1285</v>
      </c>
      <c r="H598" s="38">
        <v>46255</v>
      </c>
      <c r="I598" cm="1">
        <f t="array" ref="I598">IFERROR(INDEX('ALL STUDENTS'!$A:$A, MATCH(1, ('ALL STUDENTS'!$B:$B = B598) * ('ALL STUDENTS'!$C:$C = C598), 0)), "NOT FOUND")</f>
        <v>1713</v>
      </c>
      <c r="J598" t="str">
        <f>IF(Table26[[#This Row],[Fee]]&gt;500,Table26[[#This Row],[Fee]],"")</f>
        <v/>
      </c>
    </row>
    <row r="599" spans="1:10" hidden="1">
      <c r="A599">
        <v>598</v>
      </c>
      <c r="B599" t="s">
        <v>135</v>
      </c>
      <c r="C599" t="s">
        <v>128</v>
      </c>
      <c r="D599" t="str">
        <f t="array" ref="D599">TEXT(Table26[[#This Row],[Date]],"MMMM")</f>
        <v>August</v>
      </c>
      <c r="E599">
        <v>500</v>
      </c>
      <c r="F599" t="s">
        <v>589</v>
      </c>
      <c r="G599" t="s">
        <v>1286</v>
      </c>
      <c r="H599" s="38">
        <v>46255</v>
      </c>
      <c r="I599" cm="1">
        <f t="array" ref="I599">IFERROR(INDEX('ALL STUDENTS'!$A:$A, MATCH(1, ('ALL STUDENTS'!$B:$B = B599) * ('ALL STUDENTS'!$C:$C = C599), 0)), "NOT FOUND")</f>
        <v>1713</v>
      </c>
      <c r="J599" t="str">
        <f>IF(Table26[[#This Row],[Fee]]&gt;500,Table26[[#This Row],[Fee]],"")</f>
        <v/>
      </c>
    </row>
    <row r="600" spans="1:10" hidden="1">
      <c r="A600">
        <v>599</v>
      </c>
      <c r="B600" t="s">
        <v>135</v>
      </c>
      <c r="C600" t="s">
        <v>128</v>
      </c>
      <c r="D600" t="str">
        <f t="array" ref="D600">TEXT(Table26[[#This Row],[Date]],"MMMM")</f>
        <v>August</v>
      </c>
      <c r="E600">
        <v>500</v>
      </c>
      <c r="F600" t="s">
        <v>589</v>
      </c>
      <c r="G600" t="s">
        <v>1287</v>
      </c>
      <c r="H600" s="38">
        <v>46255</v>
      </c>
      <c r="I600" cm="1">
        <f t="array" ref="I600">IFERROR(INDEX('ALL STUDENTS'!$A:$A, MATCH(1, ('ALL STUDENTS'!$B:$B = B600) * ('ALL STUDENTS'!$C:$C = C600), 0)), "NOT FOUND")</f>
        <v>1713</v>
      </c>
      <c r="J600" t="str">
        <f>IF(Table26[[#This Row],[Fee]]&gt;500,Table26[[#This Row],[Fee]],"")</f>
        <v/>
      </c>
    </row>
    <row r="601" spans="1:10" hidden="1">
      <c r="A601">
        <v>600</v>
      </c>
      <c r="B601" t="s">
        <v>241</v>
      </c>
      <c r="C601" t="s">
        <v>232</v>
      </c>
      <c r="D601" t="str">
        <f t="array" ref="D601">TEXT(Table26[[#This Row],[Date]],"MMMM")</f>
        <v>August</v>
      </c>
      <c r="E601">
        <v>500</v>
      </c>
      <c r="F601" t="s">
        <v>589</v>
      </c>
      <c r="G601" t="s">
        <v>1288</v>
      </c>
      <c r="H601" s="38">
        <v>46254</v>
      </c>
      <c r="I601" cm="1">
        <f t="array" ref="I601">IFERROR(INDEX('ALL STUDENTS'!$A:$A, MATCH(1, ('ALL STUDENTS'!$B:$B = B601) * ('ALL STUDENTS'!$C:$C = C601), 0)), "NOT FOUND")</f>
        <v>2098</v>
      </c>
      <c r="J601" t="str">
        <f>IF(Table26[[#This Row],[Fee]]&gt;500,Table26[[#This Row],[Fee]],"")</f>
        <v/>
      </c>
    </row>
    <row r="602" spans="1:10" hidden="1">
      <c r="A602">
        <v>601</v>
      </c>
      <c r="B602" t="s">
        <v>43</v>
      </c>
      <c r="C602" t="s">
        <v>32</v>
      </c>
      <c r="D602" t="str">
        <f t="array" ref="D602">TEXT(Table26[[#This Row],[Date]],"MMMM")</f>
        <v>August</v>
      </c>
      <c r="E602">
        <v>500</v>
      </c>
      <c r="F602" t="s">
        <v>589</v>
      </c>
      <c r="G602" t="s">
        <v>1289</v>
      </c>
      <c r="H602" s="38">
        <v>46254</v>
      </c>
      <c r="I602" cm="1">
        <f t="array" ref="I602">IFERROR(INDEX('ALL STUDENTS'!$A:$A, MATCH(1, ('ALL STUDENTS'!$B:$B = B602) * ('ALL STUDENTS'!$C:$C = C602), 0)), "NOT FOUND")</f>
        <v>3084</v>
      </c>
      <c r="J602" t="str">
        <f>IF(Table26[[#This Row],[Fee]]&gt;500,Table26[[#This Row],[Fee]],"")</f>
        <v/>
      </c>
    </row>
    <row r="603" spans="1:10" hidden="1">
      <c r="A603">
        <v>602</v>
      </c>
      <c r="B603" t="s">
        <v>144</v>
      </c>
      <c r="C603" t="s">
        <v>138</v>
      </c>
      <c r="D603" t="str">
        <f t="array" ref="D603">TEXT(Table26[[#This Row],[Date]],"MMMM")</f>
        <v>August</v>
      </c>
      <c r="E603">
        <v>500</v>
      </c>
      <c r="F603" t="s">
        <v>589</v>
      </c>
      <c r="G603" t="s">
        <v>1290</v>
      </c>
      <c r="H603" s="38">
        <v>46237</v>
      </c>
      <c r="I603" cm="1">
        <f t="array" ref="I603">IFERROR(INDEX('ALL STUDENTS'!$A:$A, MATCH(1, ('ALL STUDENTS'!$B:$B = B603) * ('ALL STUDENTS'!$C:$C = C603), 0)), "NOT FOUND")</f>
        <v>1751</v>
      </c>
      <c r="J603" t="str">
        <f>IF(Table26[[#This Row],[Fee]]&gt;500,Table26[[#This Row],[Fee]],"")</f>
        <v/>
      </c>
    </row>
    <row r="604" spans="1:10" hidden="1">
      <c r="A604">
        <v>603</v>
      </c>
      <c r="B604" t="s">
        <v>144</v>
      </c>
      <c r="C604" t="s">
        <v>138</v>
      </c>
      <c r="D604" t="str">
        <f t="array" ref="D604">TEXT(Table26[[#This Row],[Date]],"MMMM")</f>
        <v>August</v>
      </c>
      <c r="E604">
        <v>500</v>
      </c>
      <c r="F604" t="s">
        <v>589</v>
      </c>
      <c r="G604" t="s">
        <v>1291</v>
      </c>
      <c r="H604" s="38">
        <v>46237</v>
      </c>
      <c r="I604" cm="1">
        <f t="array" ref="I604">IFERROR(INDEX('ALL STUDENTS'!$A:$A, MATCH(1, ('ALL STUDENTS'!$B:$B = B604) * ('ALL STUDENTS'!$C:$C = C604), 0)), "NOT FOUND")</f>
        <v>1751</v>
      </c>
      <c r="J604" t="str">
        <f>IF(Table26[[#This Row],[Fee]]&gt;500,Table26[[#This Row],[Fee]],"")</f>
        <v/>
      </c>
    </row>
    <row r="605" spans="1:10" hidden="1">
      <c r="A605">
        <v>604</v>
      </c>
      <c r="B605" t="s">
        <v>144</v>
      </c>
      <c r="C605" t="s">
        <v>138</v>
      </c>
      <c r="D605" t="str">
        <f t="array" ref="D605">TEXT(Table26[[#This Row],[Date]],"MMMM")</f>
        <v>August</v>
      </c>
      <c r="E605">
        <v>500</v>
      </c>
      <c r="F605" t="s">
        <v>589</v>
      </c>
      <c r="G605" t="s">
        <v>1292</v>
      </c>
      <c r="H605" s="38">
        <v>46237</v>
      </c>
      <c r="I605" cm="1">
        <f t="array" ref="I605">IFERROR(INDEX('ALL STUDENTS'!$A:$A, MATCH(1, ('ALL STUDENTS'!$B:$B = B605) * ('ALL STUDENTS'!$C:$C = C605), 0)), "NOT FOUND")</f>
        <v>1751</v>
      </c>
      <c r="J605" t="str">
        <f>IF(Table26[[#This Row],[Fee]]&gt;500,Table26[[#This Row],[Fee]],"")</f>
        <v/>
      </c>
    </row>
    <row r="606" spans="1:10" hidden="1">
      <c r="A606">
        <v>605</v>
      </c>
      <c r="B606" t="s">
        <v>3939</v>
      </c>
      <c r="C606" t="s">
        <v>526</v>
      </c>
      <c r="D606" t="str">
        <f t="array" ref="D606">TEXT(Table26[[#This Row],[Date]],"MMMM")</f>
        <v>August</v>
      </c>
      <c r="E606">
        <v>500</v>
      </c>
      <c r="F606" t="s">
        <v>589</v>
      </c>
      <c r="G606" t="s">
        <v>1293</v>
      </c>
      <c r="H606" s="38">
        <v>46254</v>
      </c>
      <c r="I606" cm="1">
        <f t="array" ref="I606">IFERROR(INDEX('ALL STUDENTS'!$A:$A, MATCH(1, ('ALL STUDENTS'!$B:$B = B606) * ('ALL STUDENTS'!$C:$C = C606), 0)), "NOT FOUND")</f>
        <v>101</v>
      </c>
      <c r="J606" t="str">
        <f>IF(Table26[[#This Row],[Fee]]&gt;500,Table26[[#This Row],[Fee]],"")</f>
        <v/>
      </c>
    </row>
    <row r="607" spans="1:10" hidden="1">
      <c r="A607">
        <v>606</v>
      </c>
      <c r="B607" t="s">
        <v>230</v>
      </c>
      <c r="C607" t="s">
        <v>227</v>
      </c>
      <c r="D607" t="str">
        <f t="array" ref="D607">TEXT(Table26[[#This Row],[Date]],"MMMM")</f>
        <v>August</v>
      </c>
      <c r="E607">
        <v>500</v>
      </c>
      <c r="F607" t="s">
        <v>589</v>
      </c>
      <c r="G607" t="s">
        <v>1294</v>
      </c>
      <c r="H607" s="38">
        <v>46254</v>
      </c>
      <c r="I607" cm="1">
        <f t="array" ref="I607">IFERROR(INDEX('ALL STUDENTS'!$A:$A, MATCH(1, ('ALL STUDENTS'!$B:$B = B607) * ('ALL STUDENTS'!$C:$C = C607), 0)), "NOT FOUND")</f>
        <v>2060</v>
      </c>
      <c r="J607" t="str">
        <f>IF(Table26[[#This Row],[Fee]]&gt;500,Table26[[#This Row],[Fee]],"")</f>
        <v/>
      </c>
    </row>
    <row r="608" spans="1:10">
      <c r="A608">
        <v>607</v>
      </c>
      <c r="B608" t="s">
        <v>310</v>
      </c>
      <c r="C608" t="s">
        <v>304</v>
      </c>
      <c r="D608" t="str">
        <f t="array" ref="D608">TEXT(Table26[[#This Row],[Date]],"MMMM")</f>
        <v>August</v>
      </c>
      <c r="E608">
        <v>500</v>
      </c>
      <c r="F608" t="s">
        <v>589</v>
      </c>
      <c r="G608" t="s">
        <v>1295</v>
      </c>
      <c r="H608" s="38">
        <v>46255</v>
      </c>
      <c r="I608" t="str" cm="1">
        <f t="array" ref="I608">IFERROR(INDEX('ALL STUDENTS'!$A:$A, MATCH(1, ('ALL STUDENTS'!$B:$B = B608) * ('ALL STUDENTS'!$C:$C = C608), 0)), "NOT FOUND")</f>
        <v>NOT FOUND</v>
      </c>
      <c r="J608" t="str">
        <f>IF(Table26[[#This Row],[Fee]]&gt;500,Table26[[#This Row],[Fee]],"")</f>
        <v/>
      </c>
    </row>
    <row r="609" spans="1:10" hidden="1">
      <c r="A609">
        <v>608</v>
      </c>
      <c r="B609" t="s">
        <v>226</v>
      </c>
      <c r="C609" t="s">
        <v>221</v>
      </c>
      <c r="D609" t="str">
        <f t="array" ref="D609">TEXT(Table26[[#This Row],[Date]],"MMMM")</f>
        <v>August</v>
      </c>
      <c r="E609">
        <v>500</v>
      </c>
      <c r="F609" t="s">
        <v>589</v>
      </c>
      <c r="G609" t="s">
        <v>1296</v>
      </c>
      <c r="H609" s="38">
        <v>46255</v>
      </c>
      <c r="I609" cm="1">
        <f t="array" ref="I609">IFERROR(INDEX('ALL STUDENTS'!$A:$A, MATCH(1, ('ALL STUDENTS'!$B:$B = B609) * ('ALL STUDENTS'!$C:$C = C609), 0)), "NOT FOUND")</f>
        <v>2729</v>
      </c>
      <c r="J609" t="str">
        <f>IF(Table26[[#This Row],[Fee]]&gt;500,Table26[[#This Row],[Fee]],"")</f>
        <v/>
      </c>
    </row>
    <row r="610" spans="1:10" hidden="1">
      <c r="A610">
        <v>609</v>
      </c>
      <c r="B610" t="s">
        <v>537</v>
      </c>
      <c r="C610" t="s">
        <v>526</v>
      </c>
      <c r="D610" t="str">
        <f t="array" ref="D610">TEXT(Table26[[#This Row],[Date]],"MMMM")</f>
        <v>August</v>
      </c>
      <c r="E610">
        <v>500</v>
      </c>
      <c r="F610" t="s">
        <v>589</v>
      </c>
      <c r="G610" t="s">
        <v>1297</v>
      </c>
      <c r="H610" s="38">
        <v>46255</v>
      </c>
      <c r="I610" cm="1">
        <f t="array" ref="I610">IFERROR(INDEX('ALL STUDENTS'!$A:$A, MATCH(1, ('ALL STUDENTS'!$B:$B = B610) * ('ALL STUDENTS'!$C:$C = C610), 0)), "NOT FOUND")</f>
        <v>120</v>
      </c>
      <c r="J610" t="str">
        <f>IF(Table26[[#This Row],[Fee]]&gt;500,Table26[[#This Row],[Fee]],"")</f>
        <v/>
      </c>
    </row>
    <row r="611" spans="1:10" hidden="1">
      <c r="A611">
        <v>610</v>
      </c>
      <c r="B611" t="s">
        <v>47</v>
      </c>
      <c r="C611" t="s">
        <v>185</v>
      </c>
      <c r="D611" t="str">
        <f t="array" ref="D611">TEXT(Table26[[#This Row],[Date]],"MMMM")</f>
        <v>August</v>
      </c>
      <c r="E611">
        <v>500</v>
      </c>
      <c r="F611" t="s">
        <v>589</v>
      </c>
      <c r="G611" t="s">
        <v>1298</v>
      </c>
      <c r="H611" s="38">
        <v>46255</v>
      </c>
      <c r="I611" cm="1">
        <f t="array" ref="I611">IFERROR(INDEX('ALL STUDENTS'!$A:$A, MATCH(1, ('ALL STUDENTS'!$B:$B = B611) * ('ALL STUDENTS'!$C:$C = C611), 0)), "NOT FOUND")</f>
        <v>1813</v>
      </c>
      <c r="J611" t="str">
        <f>IF(Table26[[#This Row],[Fee]]&gt;500,Table26[[#This Row],[Fee]],"")</f>
        <v/>
      </c>
    </row>
    <row r="612" spans="1:10" hidden="1">
      <c r="A612">
        <v>611</v>
      </c>
      <c r="B612" t="s">
        <v>44</v>
      </c>
      <c r="C612" t="s">
        <v>32</v>
      </c>
      <c r="D612" t="str">
        <f t="array" ref="D612">TEXT(Table26[[#This Row],[Date]],"MMMM")</f>
        <v>August</v>
      </c>
      <c r="E612">
        <v>500</v>
      </c>
      <c r="F612" t="s">
        <v>589</v>
      </c>
      <c r="G612" t="s">
        <v>1299</v>
      </c>
      <c r="H612" s="38">
        <v>46255</v>
      </c>
      <c r="I612" cm="1">
        <f t="array" ref="I612">IFERROR(INDEX('ALL STUDENTS'!$A:$A, MATCH(1, ('ALL STUDENTS'!$B:$B = B612) * ('ALL STUDENTS'!$C:$C = C612), 0)), "NOT FOUND")</f>
        <v>3079</v>
      </c>
      <c r="J612" t="str">
        <f>IF(Table26[[#This Row],[Fee]]&gt;500,Table26[[#This Row],[Fee]],"")</f>
        <v/>
      </c>
    </row>
    <row r="613" spans="1:10" hidden="1">
      <c r="A613">
        <v>612</v>
      </c>
      <c r="B613" t="s">
        <v>44</v>
      </c>
      <c r="C613" t="s">
        <v>32</v>
      </c>
      <c r="D613" t="str">
        <f t="array" ref="D613">TEXT(Table26[[#This Row],[Date]],"MMMM")</f>
        <v>August</v>
      </c>
      <c r="E613">
        <v>500</v>
      </c>
      <c r="F613" t="s">
        <v>589</v>
      </c>
      <c r="G613" t="s">
        <v>1300</v>
      </c>
      <c r="H613" s="38">
        <v>46255</v>
      </c>
      <c r="I613" cm="1">
        <f t="array" ref="I613">IFERROR(INDEX('ALL STUDENTS'!$A:$A, MATCH(1, ('ALL STUDENTS'!$B:$B = B613) * ('ALL STUDENTS'!$C:$C = C613), 0)), "NOT FOUND")</f>
        <v>3079</v>
      </c>
      <c r="J613" t="str">
        <f>IF(Table26[[#This Row],[Fee]]&gt;500,Table26[[#This Row],[Fee]],"")</f>
        <v/>
      </c>
    </row>
    <row r="614" spans="1:10" hidden="1">
      <c r="A614">
        <v>613</v>
      </c>
      <c r="B614" t="s">
        <v>44</v>
      </c>
      <c r="C614" t="s">
        <v>32</v>
      </c>
      <c r="D614" t="str">
        <f t="array" ref="D614">TEXT(Table26[[#This Row],[Date]],"MMMM")</f>
        <v>August</v>
      </c>
      <c r="E614">
        <v>500</v>
      </c>
      <c r="F614" t="s">
        <v>589</v>
      </c>
      <c r="G614" t="s">
        <v>1301</v>
      </c>
      <c r="H614" s="38">
        <v>46255</v>
      </c>
      <c r="I614" cm="1">
        <f t="array" ref="I614">IFERROR(INDEX('ALL STUDENTS'!$A:$A, MATCH(1, ('ALL STUDENTS'!$B:$B = B614) * ('ALL STUDENTS'!$C:$C = C614), 0)), "NOT FOUND")</f>
        <v>3079</v>
      </c>
      <c r="J614" t="str">
        <f>IF(Table26[[#This Row],[Fee]]&gt;500,Table26[[#This Row],[Fee]],"")</f>
        <v/>
      </c>
    </row>
    <row r="615" spans="1:10" hidden="1">
      <c r="A615">
        <v>614</v>
      </c>
      <c r="B615" t="s">
        <v>145</v>
      </c>
      <c r="C615" t="s">
        <v>138</v>
      </c>
      <c r="D615" t="str">
        <f t="array" ref="D615">TEXT(Table26[[#This Row],[Date]],"MMMM")</f>
        <v>August</v>
      </c>
      <c r="E615">
        <v>500</v>
      </c>
      <c r="F615" t="s">
        <v>589</v>
      </c>
      <c r="G615" t="s">
        <v>1302</v>
      </c>
      <c r="H615" s="38">
        <v>46255</v>
      </c>
      <c r="I615" cm="1">
        <f t="array" ref="I615">IFERROR(INDEX('ALL STUDENTS'!$A:$A, MATCH(1, ('ALL STUDENTS'!$B:$B = B615) * ('ALL STUDENTS'!$C:$C = C615), 0)), "NOT FOUND")</f>
        <v>1742</v>
      </c>
      <c r="J615" t="str">
        <f>IF(Table26[[#This Row],[Fee]]&gt;500,Table26[[#This Row],[Fee]],"")</f>
        <v/>
      </c>
    </row>
    <row r="616" spans="1:10" hidden="1">
      <c r="A616">
        <v>615</v>
      </c>
      <c r="B616" t="s">
        <v>477</v>
      </c>
      <c r="C616" t="s">
        <v>467</v>
      </c>
      <c r="D616" t="str">
        <f t="array" ref="D616">TEXT(Table26[[#This Row],[Date]],"MMMM")</f>
        <v>August</v>
      </c>
      <c r="E616">
        <v>500</v>
      </c>
      <c r="F616" t="s">
        <v>589</v>
      </c>
      <c r="G616" t="s">
        <v>1303</v>
      </c>
      <c r="H616" s="38">
        <v>46255</v>
      </c>
      <c r="I616" cm="1">
        <f t="array" ref="I616">IFERROR(INDEX('ALL STUDENTS'!$A:$A, MATCH(1, ('ALL STUDENTS'!$B:$B = B616) * ('ALL STUDENTS'!$C:$C = C616), 0)), "NOT FOUND")</f>
        <v>249</v>
      </c>
      <c r="J616" t="str">
        <f>IF(Table26[[#This Row],[Fee]]&gt;500,Table26[[#This Row],[Fee]],"")</f>
        <v/>
      </c>
    </row>
    <row r="617" spans="1:10" hidden="1">
      <c r="A617">
        <v>616</v>
      </c>
      <c r="B617" t="s">
        <v>477</v>
      </c>
      <c r="C617" t="s">
        <v>467</v>
      </c>
      <c r="D617" t="str">
        <f t="array" ref="D617">TEXT(Table26[[#This Row],[Date]],"MMMM")</f>
        <v>August</v>
      </c>
      <c r="E617">
        <v>500</v>
      </c>
      <c r="F617" t="s">
        <v>589</v>
      </c>
      <c r="G617" t="s">
        <v>1304</v>
      </c>
      <c r="H617" s="38">
        <v>46255</v>
      </c>
      <c r="I617" cm="1">
        <f t="array" ref="I617">IFERROR(INDEX('ALL STUDENTS'!$A:$A, MATCH(1, ('ALL STUDENTS'!$B:$B = B617) * ('ALL STUDENTS'!$C:$C = C617), 0)), "NOT FOUND")</f>
        <v>249</v>
      </c>
      <c r="J617" t="str">
        <f>IF(Table26[[#This Row],[Fee]]&gt;500,Table26[[#This Row],[Fee]],"")</f>
        <v/>
      </c>
    </row>
    <row r="618" spans="1:10" hidden="1">
      <c r="A618">
        <v>617</v>
      </c>
      <c r="B618" t="s">
        <v>477</v>
      </c>
      <c r="C618" t="s">
        <v>467</v>
      </c>
      <c r="D618" t="str">
        <f t="array" ref="D618">TEXT(Table26[[#This Row],[Date]],"MMMM")</f>
        <v>August</v>
      </c>
      <c r="E618">
        <v>500</v>
      </c>
      <c r="F618" t="s">
        <v>589</v>
      </c>
      <c r="G618" t="s">
        <v>1305</v>
      </c>
      <c r="H618" s="38">
        <v>46255</v>
      </c>
      <c r="I618" cm="1">
        <f t="array" ref="I618">IFERROR(INDEX('ALL STUDENTS'!$A:$A, MATCH(1, ('ALL STUDENTS'!$B:$B = B618) * ('ALL STUDENTS'!$C:$C = C618), 0)), "NOT FOUND")</f>
        <v>249</v>
      </c>
      <c r="J618" t="str">
        <f>IF(Table26[[#This Row],[Fee]]&gt;500,Table26[[#This Row],[Fee]],"")</f>
        <v/>
      </c>
    </row>
    <row r="619" spans="1:10" hidden="1">
      <c r="A619">
        <v>618</v>
      </c>
      <c r="B619" t="s">
        <v>355</v>
      </c>
      <c r="C619" t="s">
        <v>351</v>
      </c>
      <c r="D619" t="str">
        <f t="array" ref="D619">TEXT(Table26[[#This Row],[Date]],"MMMM")</f>
        <v>August</v>
      </c>
      <c r="E619">
        <v>500</v>
      </c>
      <c r="F619" t="s">
        <v>589</v>
      </c>
      <c r="G619" t="s">
        <v>1306</v>
      </c>
      <c r="H619" s="38">
        <v>46255</v>
      </c>
      <c r="I619" cm="1">
        <f t="array" ref="I619">IFERROR(INDEX('ALL STUDENTS'!$A:$A, MATCH(1, ('ALL STUDENTS'!$B:$B = B619) * ('ALL STUDENTS'!$C:$C = C619), 0)), "NOT FOUND")</f>
        <v>2532</v>
      </c>
      <c r="J619" t="str">
        <f>IF(Table26[[#This Row],[Fee]]&gt;500,Table26[[#This Row],[Fee]],"")</f>
        <v/>
      </c>
    </row>
    <row r="620" spans="1:10" hidden="1">
      <c r="A620">
        <v>619</v>
      </c>
      <c r="B620" t="s">
        <v>355</v>
      </c>
      <c r="C620" t="s">
        <v>351</v>
      </c>
      <c r="D620" t="str">
        <f t="array" ref="D620">TEXT(Table26[[#This Row],[Date]],"MMMM")</f>
        <v>August</v>
      </c>
      <c r="E620">
        <v>500</v>
      </c>
      <c r="F620" t="s">
        <v>589</v>
      </c>
      <c r="G620" t="s">
        <v>1307</v>
      </c>
      <c r="H620" s="38">
        <v>46255</v>
      </c>
      <c r="I620" cm="1">
        <f t="array" ref="I620">IFERROR(INDEX('ALL STUDENTS'!$A:$A, MATCH(1, ('ALL STUDENTS'!$B:$B = B620) * ('ALL STUDENTS'!$C:$C = C620), 0)), "NOT FOUND")</f>
        <v>2532</v>
      </c>
      <c r="J620" t="str">
        <f>IF(Table26[[#This Row],[Fee]]&gt;500,Table26[[#This Row],[Fee]],"")</f>
        <v/>
      </c>
    </row>
    <row r="621" spans="1:10" hidden="1">
      <c r="A621">
        <v>620</v>
      </c>
      <c r="B621" t="s">
        <v>355</v>
      </c>
      <c r="C621" t="s">
        <v>351</v>
      </c>
      <c r="D621" t="str">
        <f t="array" ref="D621">TEXT(Table26[[#This Row],[Date]],"MMMM")</f>
        <v>August</v>
      </c>
      <c r="E621">
        <v>500</v>
      </c>
      <c r="F621" t="s">
        <v>589</v>
      </c>
      <c r="G621" t="s">
        <v>1308</v>
      </c>
      <c r="H621" s="38">
        <v>46255</v>
      </c>
      <c r="I621" cm="1">
        <f t="array" ref="I621">IFERROR(INDEX('ALL STUDENTS'!$A:$A, MATCH(1, ('ALL STUDENTS'!$B:$B = B621) * ('ALL STUDENTS'!$C:$C = C621), 0)), "NOT FOUND")</f>
        <v>2532</v>
      </c>
      <c r="J621" t="str">
        <f>IF(Table26[[#This Row],[Fee]]&gt;500,Table26[[#This Row],[Fee]],"")</f>
        <v/>
      </c>
    </row>
    <row r="622" spans="1:10" hidden="1">
      <c r="A622">
        <v>621</v>
      </c>
      <c r="B622" t="s">
        <v>295</v>
      </c>
      <c r="C622" t="s">
        <v>294</v>
      </c>
      <c r="D622" t="str">
        <f t="array" ref="D622">TEXT(Table26[[#This Row],[Date]],"MMMM")</f>
        <v>August</v>
      </c>
      <c r="E622">
        <v>500</v>
      </c>
      <c r="F622" t="s">
        <v>589</v>
      </c>
      <c r="G622" t="s">
        <v>1309</v>
      </c>
      <c r="H622" s="38">
        <v>46255</v>
      </c>
      <c r="I622" cm="1">
        <f t="array" ref="I622">IFERROR(INDEX('ALL STUDENTS'!$A:$A, MATCH(1, ('ALL STUDENTS'!$B:$B = B622) * ('ALL STUDENTS'!$C:$C = C622), 0)), "NOT FOUND")</f>
        <v>2295</v>
      </c>
      <c r="J622" t="str">
        <f>IF(Table26[[#This Row],[Fee]]&gt;500,Table26[[#This Row],[Fee]],"")</f>
        <v/>
      </c>
    </row>
    <row r="623" spans="1:10" hidden="1">
      <c r="A623">
        <v>622</v>
      </c>
      <c r="B623" t="s">
        <v>295</v>
      </c>
      <c r="C623" t="s">
        <v>294</v>
      </c>
      <c r="D623" t="str">
        <f t="array" ref="D623">TEXT(Table26[[#This Row],[Date]],"MMMM")</f>
        <v>August</v>
      </c>
      <c r="E623">
        <v>500</v>
      </c>
      <c r="F623" t="s">
        <v>589</v>
      </c>
      <c r="G623" t="s">
        <v>1310</v>
      </c>
      <c r="H623" s="38">
        <v>46255</v>
      </c>
      <c r="I623" cm="1">
        <f t="array" ref="I623">IFERROR(INDEX('ALL STUDENTS'!$A:$A, MATCH(1, ('ALL STUDENTS'!$B:$B = B623) * ('ALL STUDENTS'!$C:$C = C623), 0)), "NOT FOUND")</f>
        <v>2295</v>
      </c>
      <c r="J623" t="str">
        <f>IF(Table26[[#This Row],[Fee]]&gt;500,Table26[[#This Row],[Fee]],"")</f>
        <v/>
      </c>
    </row>
    <row r="624" spans="1:10" hidden="1">
      <c r="A624">
        <v>623</v>
      </c>
      <c r="B624" t="s">
        <v>406</v>
      </c>
      <c r="C624" t="s">
        <v>397</v>
      </c>
      <c r="D624" t="str">
        <f t="array" ref="D624">TEXT(Table26[[#This Row],[Date]],"MMMM")</f>
        <v>August</v>
      </c>
      <c r="E624">
        <v>500</v>
      </c>
      <c r="F624" t="s">
        <v>589</v>
      </c>
      <c r="G624" t="s">
        <v>1311</v>
      </c>
      <c r="H624" s="38">
        <v>46238</v>
      </c>
      <c r="I624" cm="1">
        <f t="array" ref="I624">IFERROR(INDEX('ALL STUDENTS'!$A:$A, MATCH(1, ('ALL STUDENTS'!$B:$B = B624) * ('ALL STUDENTS'!$C:$C = C624), 0)), "NOT FOUND")</f>
        <v>937</v>
      </c>
      <c r="J624" t="str">
        <f>IF(Table26[[#This Row],[Fee]]&gt;500,Table26[[#This Row],[Fee]],"")</f>
        <v/>
      </c>
    </row>
    <row r="625" spans="1:10" hidden="1">
      <c r="A625">
        <v>624</v>
      </c>
      <c r="B625" t="s">
        <v>517</v>
      </c>
      <c r="C625" t="s">
        <v>515</v>
      </c>
      <c r="D625" t="str">
        <f t="array" ref="D625">TEXT(Table26[[#This Row],[Date]],"MMMM")</f>
        <v>August</v>
      </c>
      <c r="E625">
        <v>500</v>
      </c>
      <c r="F625" t="s">
        <v>589</v>
      </c>
      <c r="G625" t="s">
        <v>1312</v>
      </c>
      <c r="H625" s="38">
        <v>46258</v>
      </c>
      <c r="I625" cm="1">
        <f t="array" ref="I625">IFERROR(INDEX('ALL STUDENTS'!$A:$A, MATCH(1, ('ALL STUDENTS'!$B:$B = B625) * ('ALL STUDENTS'!$C:$C = C625), 0)), "NOT FOUND")</f>
        <v>35</v>
      </c>
      <c r="J625" t="str">
        <f>IF(Table26[[#This Row],[Fee]]&gt;500,Table26[[#This Row],[Fee]],"")</f>
        <v/>
      </c>
    </row>
    <row r="626" spans="1:10" hidden="1">
      <c r="A626">
        <v>625</v>
      </c>
      <c r="B626" t="s">
        <v>517</v>
      </c>
      <c r="C626" t="s">
        <v>515</v>
      </c>
      <c r="D626" t="str">
        <f t="array" ref="D626">TEXT(Table26[[#This Row],[Date]],"MMMM")</f>
        <v>August</v>
      </c>
      <c r="E626">
        <v>500</v>
      </c>
      <c r="F626" t="s">
        <v>589</v>
      </c>
      <c r="G626" t="s">
        <v>1313</v>
      </c>
      <c r="H626" s="38">
        <v>46258</v>
      </c>
      <c r="I626" cm="1">
        <f t="array" ref="I626">IFERROR(INDEX('ALL STUDENTS'!$A:$A, MATCH(1, ('ALL STUDENTS'!$B:$B = B626) * ('ALL STUDENTS'!$C:$C = C626), 0)), "NOT FOUND")</f>
        <v>35</v>
      </c>
      <c r="J626" t="str">
        <f>IF(Table26[[#This Row],[Fee]]&gt;500,Table26[[#This Row],[Fee]],"")</f>
        <v/>
      </c>
    </row>
    <row r="627" spans="1:10" hidden="1">
      <c r="A627">
        <v>626</v>
      </c>
      <c r="B627" t="s">
        <v>517</v>
      </c>
      <c r="C627" t="s">
        <v>515</v>
      </c>
      <c r="D627" t="str">
        <f t="array" ref="D627">TEXT(Table26[[#This Row],[Date]],"MMMM")</f>
        <v>August</v>
      </c>
      <c r="E627">
        <v>500</v>
      </c>
      <c r="F627" t="s">
        <v>589</v>
      </c>
      <c r="G627" t="s">
        <v>1314</v>
      </c>
      <c r="H627" s="38">
        <v>46258</v>
      </c>
      <c r="I627" cm="1">
        <f t="array" ref="I627">IFERROR(INDEX('ALL STUDENTS'!$A:$A, MATCH(1, ('ALL STUDENTS'!$B:$B = B627) * ('ALL STUDENTS'!$C:$C = C627), 0)), "NOT FOUND")</f>
        <v>35</v>
      </c>
      <c r="J627" t="str">
        <f>IF(Table26[[#This Row],[Fee]]&gt;500,Table26[[#This Row],[Fee]],"")</f>
        <v/>
      </c>
    </row>
    <row r="628" spans="1:10">
      <c r="A628">
        <v>627</v>
      </c>
      <c r="B628" t="s">
        <v>242</v>
      </c>
      <c r="C628" t="s">
        <v>232</v>
      </c>
      <c r="D628" t="str">
        <f t="array" ref="D628">TEXT(Table26[[#This Row],[Date]],"MMMM")</f>
        <v>August</v>
      </c>
      <c r="E628">
        <v>500</v>
      </c>
      <c r="F628" t="s">
        <v>589</v>
      </c>
      <c r="G628" t="s">
        <v>1315</v>
      </c>
      <c r="H628" s="38">
        <v>46258</v>
      </c>
      <c r="I628" t="str" cm="1">
        <f t="array" ref="I628">IFERROR(INDEX('ALL STUDENTS'!$A:$A, MATCH(1, ('ALL STUDENTS'!$B:$B = B628) * ('ALL STUDENTS'!$C:$C = C628), 0)), "NOT FOUND")</f>
        <v>NOT FOUND</v>
      </c>
      <c r="J628" t="str">
        <f>IF(Table26[[#This Row],[Fee]]&gt;500,Table26[[#This Row],[Fee]],"")</f>
        <v/>
      </c>
    </row>
    <row r="629" spans="1:10">
      <c r="A629">
        <v>628</v>
      </c>
      <c r="B629" t="s">
        <v>242</v>
      </c>
      <c r="C629" t="s">
        <v>232</v>
      </c>
      <c r="D629" t="str">
        <f t="array" ref="D629">TEXT(Table26[[#This Row],[Date]],"MMMM")</f>
        <v>August</v>
      </c>
      <c r="E629">
        <v>500</v>
      </c>
      <c r="F629" t="s">
        <v>589</v>
      </c>
      <c r="G629" t="s">
        <v>1316</v>
      </c>
      <c r="H629" s="38">
        <v>46258</v>
      </c>
      <c r="I629" t="str" cm="1">
        <f t="array" ref="I629">IFERROR(INDEX('ALL STUDENTS'!$A:$A, MATCH(1, ('ALL STUDENTS'!$B:$B = B629) * ('ALL STUDENTS'!$C:$C = C629), 0)), "NOT FOUND")</f>
        <v>NOT FOUND</v>
      </c>
      <c r="J629" t="str">
        <f>IF(Table26[[#This Row],[Fee]]&gt;500,Table26[[#This Row],[Fee]],"")</f>
        <v/>
      </c>
    </row>
    <row r="630" spans="1:10">
      <c r="A630">
        <v>629</v>
      </c>
      <c r="B630" t="s">
        <v>242</v>
      </c>
      <c r="C630" t="s">
        <v>232</v>
      </c>
      <c r="D630" t="str">
        <f t="array" ref="D630">TEXT(Table26[[#This Row],[Date]],"MMMM")</f>
        <v>August</v>
      </c>
      <c r="E630">
        <v>500</v>
      </c>
      <c r="F630" t="s">
        <v>589</v>
      </c>
      <c r="G630" t="s">
        <v>1317</v>
      </c>
      <c r="H630" s="38">
        <v>46258</v>
      </c>
      <c r="I630" t="str" cm="1">
        <f t="array" ref="I630">IFERROR(INDEX('ALL STUDENTS'!$A:$A, MATCH(1, ('ALL STUDENTS'!$B:$B = B630) * ('ALL STUDENTS'!$C:$C = C630), 0)), "NOT FOUND")</f>
        <v>NOT FOUND</v>
      </c>
      <c r="J630" t="str">
        <f>IF(Table26[[#This Row],[Fee]]&gt;500,Table26[[#This Row],[Fee]],"")</f>
        <v/>
      </c>
    </row>
    <row r="631" spans="1:10">
      <c r="A631">
        <v>630</v>
      </c>
      <c r="B631" t="s">
        <v>243</v>
      </c>
      <c r="C631" t="s">
        <v>232</v>
      </c>
      <c r="D631" t="str">
        <f t="array" ref="D631">TEXT(Table26[[#This Row],[Date]],"MMMM")</f>
        <v>August</v>
      </c>
      <c r="E631">
        <v>500</v>
      </c>
      <c r="F631" t="s">
        <v>589</v>
      </c>
      <c r="G631" t="s">
        <v>1318</v>
      </c>
      <c r="H631" s="38">
        <v>46257</v>
      </c>
      <c r="I631" t="str" cm="1">
        <f t="array" ref="I631">IFERROR(INDEX('ALL STUDENTS'!$A:$A, MATCH(1, ('ALL STUDENTS'!$B:$B = B631) * ('ALL STUDENTS'!$C:$C = C631), 0)), "NOT FOUND")</f>
        <v>NOT FOUND</v>
      </c>
      <c r="J631" t="str">
        <f>IF(Table26[[#This Row],[Fee]]&gt;500,Table26[[#This Row],[Fee]],"")</f>
        <v/>
      </c>
    </row>
    <row r="632" spans="1:10" hidden="1">
      <c r="A632">
        <v>631</v>
      </c>
      <c r="B632" t="s">
        <v>478</v>
      </c>
      <c r="C632" t="s">
        <v>467</v>
      </c>
      <c r="D632" t="str">
        <f t="array" ref="D632">TEXT(Table26[[#This Row],[Date]],"MMMM")</f>
        <v>August</v>
      </c>
      <c r="E632">
        <v>500</v>
      </c>
      <c r="F632" t="s">
        <v>589</v>
      </c>
      <c r="G632" t="s">
        <v>1319</v>
      </c>
      <c r="H632" s="38">
        <v>46257</v>
      </c>
      <c r="I632" cm="1">
        <f t="array" ref="I632">IFERROR(INDEX('ALL STUDENTS'!$A:$A, MATCH(1, ('ALL STUDENTS'!$B:$B = B632) * ('ALL STUDENTS'!$C:$C = C632), 0)), "NOT FOUND")</f>
        <v>241</v>
      </c>
      <c r="J632" t="str">
        <f>IF(Table26[[#This Row],[Fee]]&gt;500,Table26[[#This Row],[Fee]],"")</f>
        <v/>
      </c>
    </row>
    <row r="633" spans="1:10" hidden="1">
      <c r="A633">
        <v>632</v>
      </c>
      <c r="B633" t="s">
        <v>512</v>
      </c>
      <c r="C633" t="s">
        <v>509</v>
      </c>
      <c r="D633" t="str">
        <f t="array" ref="D633">TEXT(Table26[[#This Row],[Date]],"MMMM")</f>
        <v>August</v>
      </c>
      <c r="E633">
        <v>500</v>
      </c>
      <c r="F633" t="s">
        <v>589</v>
      </c>
      <c r="G633" t="s">
        <v>1320</v>
      </c>
      <c r="H633" s="38">
        <v>46257</v>
      </c>
      <c r="I633" cm="1">
        <f t="array" ref="I633">IFERROR(INDEX('ALL STUDENTS'!$A:$A, MATCH(1, ('ALL STUDENTS'!$B:$B = B633) * ('ALL STUDENTS'!$C:$C = C633), 0)), "NOT FOUND")</f>
        <v>473</v>
      </c>
      <c r="J633" t="str">
        <f>IF(Table26[[#This Row],[Fee]]&gt;500,Table26[[#This Row],[Fee]],"")</f>
        <v/>
      </c>
    </row>
    <row r="634" spans="1:10" hidden="1">
      <c r="A634">
        <v>633</v>
      </c>
      <c r="B634" t="s">
        <v>127</v>
      </c>
      <c r="C634" t="s">
        <v>119</v>
      </c>
      <c r="D634" t="str">
        <f t="array" ref="D634">TEXT(Table26[[#This Row],[Date]],"MMMM")</f>
        <v>August</v>
      </c>
      <c r="E634">
        <v>500</v>
      </c>
      <c r="F634" t="s">
        <v>589</v>
      </c>
      <c r="G634" t="s">
        <v>1321</v>
      </c>
      <c r="H634" s="38">
        <v>46256</v>
      </c>
      <c r="I634" cm="1">
        <f t="array" ref="I634">IFERROR(INDEX('ALL STUDENTS'!$A:$A, MATCH(1, ('ALL STUDENTS'!$B:$B = B634) * ('ALL STUDENTS'!$C:$C = C634), 0)), "NOT FOUND")</f>
        <v>1672</v>
      </c>
      <c r="J634" t="str">
        <f>IF(Table26[[#This Row],[Fee]]&gt;500,Table26[[#This Row],[Fee]],"")</f>
        <v/>
      </c>
    </row>
    <row r="635" spans="1:10">
      <c r="A635">
        <v>634</v>
      </c>
      <c r="B635" t="s">
        <v>568</v>
      </c>
      <c r="C635" t="s">
        <v>565</v>
      </c>
      <c r="D635" t="str">
        <f t="array" ref="D635">TEXT(Table26[[#This Row],[Date]],"MMMM")</f>
        <v>August</v>
      </c>
      <c r="E635">
        <v>500</v>
      </c>
      <c r="F635" t="s">
        <v>589</v>
      </c>
      <c r="G635" t="s">
        <v>1322</v>
      </c>
      <c r="H635" s="38">
        <v>46256</v>
      </c>
      <c r="I635" t="str" cm="1">
        <f t="array" ref="I635">IFERROR(INDEX('ALL STUDENTS'!$A:$A, MATCH(1, ('ALL STUDENTS'!$B:$B = B635) * ('ALL STUDENTS'!$C:$C = C635), 0)), "NOT FOUND")</f>
        <v>NOT FOUND</v>
      </c>
      <c r="J635" t="str">
        <f>IF(Table26[[#This Row],[Fee]]&gt;500,Table26[[#This Row],[Fee]],"")</f>
        <v/>
      </c>
    </row>
    <row r="636" spans="1:10" hidden="1">
      <c r="A636">
        <v>635</v>
      </c>
      <c r="B636" t="s">
        <v>407</v>
      </c>
      <c r="C636" t="s">
        <v>397</v>
      </c>
      <c r="D636" t="str">
        <f t="array" ref="D636">TEXT(Table26[[#This Row],[Date]],"MMMM")</f>
        <v>August</v>
      </c>
      <c r="E636">
        <v>500</v>
      </c>
      <c r="F636" t="s">
        <v>589</v>
      </c>
      <c r="G636" t="s">
        <v>1323</v>
      </c>
      <c r="H636" s="38">
        <v>46241</v>
      </c>
      <c r="I636" cm="1">
        <f t="array" ref="I636">IFERROR(INDEX('ALL STUDENTS'!$A:$A, MATCH(1, ('ALL STUDENTS'!$B:$B = B636) * ('ALL STUDENTS'!$C:$C = C636), 0)), "NOT FOUND")</f>
        <v>942</v>
      </c>
      <c r="J636" t="str">
        <f>IF(Table26[[#This Row],[Fee]]&gt;500,Table26[[#This Row],[Fee]],"")</f>
        <v/>
      </c>
    </row>
    <row r="637" spans="1:10" hidden="1">
      <c r="A637">
        <v>636</v>
      </c>
      <c r="B637" t="s">
        <v>261</v>
      </c>
      <c r="C637" t="s">
        <v>252</v>
      </c>
      <c r="D637" t="str">
        <f t="array" ref="D637">TEXT(Table26[[#This Row],[Date]],"MMMM")</f>
        <v>August</v>
      </c>
      <c r="E637">
        <v>500</v>
      </c>
      <c r="F637" t="s">
        <v>589</v>
      </c>
      <c r="G637" t="s">
        <v>1324</v>
      </c>
      <c r="H637" s="38">
        <v>46256</v>
      </c>
      <c r="I637" cm="1">
        <f t="array" ref="I637">IFERROR(INDEX('ALL STUDENTS'!$A:$A, MATCH(1, ('ALL STUDENTS'!$B:$B = B637) * ('ALL STUDENTS'!$C:$C = C637), 0)), "NOT FOUND")</f>
        <v>2111</v>
      </c>
      <c r="J637" t="str">
        <f>IF(Table26[[#This Row],[Fee]]&gt;500,Table26[[#This Row],[Fee]],"")</f>
        <v/>
      </c>
    </row>
    <row r="638" spans="1:10" hidden="1">
      <c r="A638">
        <v>637</v>
      </c>
      <c r="B638" t="s">
        <v>261</v>
      </c>
      <c r="C638" t="s">
        <v>252</v>
      </c>
      <c r="D638" t="str">
        <f t="array" ref="D638">TEXT(Table26[[#This Row],[Date]],"MMMM")</f>
        <v>August</v>
      </c>
      <c r="E638">
        <v>500</v>
      </c>
      <c r="F638" t="s">
        <v>589</v>
      </c>
      <c r="G638" t="s">
        <v>1325</v>
      </c>
      <c r="H638" s="38">
        <v>46256</v>
      </c>
      <c r="I638" cm="1">
        <f t="array" ref="I638">IFERROR(INDEX('ALL STUDENTS'!$A:$A, MATCH(1, ('ALL STUDENTS'!$B:$B = B638) * ('ALL STUDENTS'!$C:$C = C638), 0)), "NOT FOUND")</f>
        <v>2111</v>
      </c>
      <c r="J638" t="str">
        <f>IF(Table26[[#This Row],[Fee]]&gt;500,Table26[[#This Row],[Fee]],"")</f>
        <v/>
      </c>
    </row>
    <row r="639" spans="1:10" hidden="1">
      <c r="A639">
        <v>638</v>
      </c>
      <c r="B639" t="s">
        <v>261</v>
      </c>
      <c r="C639" t="s">
        <v>252</v>
      </c>
      <c r="D639" t="str">
        <f t="array" ref="D639">TEXT(Table26[[#This Row],[Date]],"MMMM")</f>
        <v>August</v>
      </c>
      <c r="E639">
        <v>500</v>
      </c>
      <c r="F639" t="s">
        <v>589</v>
      </c>
      <c r="G639" t="s">
        <v>1326</v>
      </c>
      <c r="H639" s="38">
        <v>46256</v>
      </c>
      <c r="I639" cm="1">
        <f t="array" ref="I639">IFERROR(INDEX('ALL STUDENTS'!$A:$A, MATCH(1, ('ALL STUDENTS'!$B:$B = B639) * ('ALL STUDENTS'!$C:$C = C639), 0)), "NOT FOUND")</f>
        <v>2111</v>
      </c>
      <c r="J639" t="str">
        <f>IF(Table26[[#This Row],[Fee]]&gt;500,Table26[[#This Row],[Fee]],"")</f>
        <v/>
      </c>
    </row>
    <row r="640" spans="1:10" hidden="1">
      <c r="A640">
        <v>639</v>
      </c>
      <c r="B640" t="s">
        <v>370</v>
      </c>
      <c r="C640" t="s">
        <v>366</v>
      </c>
      <c r="D640" t="str">
        <f t="array" ref="D640">TEXT(Table26[[#This Row],[Date]],"MMMM")</f>
        <v>August</v>
      </c>
      <c r="E640">
        <v>500</v>
      </c>
      <c r="F640" t="s">
        <v>589</v>
      </c>
      <c r="G640" t="s">
        <v>1327</v>
      </c>
      <c r="H640" s="38">
        <v>46256</v>
      </c>
      <c r="I640" cm="1">
        <f t="array" ref="I640">IFERROR(INDEX('ALL STUDENTS'!$A:$A, MATCH(1, ('ALL STUDENTS'!$B:$B = B640) * ('ALL STUDENTS'!$C:$C = C640), 0)), "NOT FOUND")</f>
        <v>813</v>
      </c>
      <c r="J640" t="str">
        <f>IF(Table26[[#This Row],[Fee]]&gt;500,Table26[[#This Row],[Fee]],"")</f>
        <v/>
      </c>
    </row>
    <row r="641" spans="1:10" hidden="1">
      <c r="A641">
        <v>640</v>
      </c>
      <c r="B641" t="s">
        <v>370</v>
      </c>
      <c r="C641" t="s">
        <v>366</v>
      </c>
      <c r="D641" t="str">
        <f t="array" ref="D641">TEXT(Table26[[#This Row],[Date]],"MMMM")</f>
        <v>August</v>
      </c>
      <c r="E641">
        <v>500</v>
      </c>
      <c r="F641" t="s">
        <v>589</v>
      </c>
      <c r="G641" t="s">
        <v>1328</v>
      </c>
      <c r="H641" s="38">
        <v>46256</v>
      </c>
      <c r="I641" cm="1">
        <f t="array" ref="I641">IFERROR(INDEX('ALL STUDENTS'!$A:$A, MATCH(1, ('ALL STUDENTS'!$B:$B = B641) * ('ALL STUDENTS'!$C:$C = C641), 0)), "NOT FOUND")</f>
        <v>813</v>
      </c>
      <c r="J641" t="str">
        <f>IF(Table26[[#This Row],[Fee]]&gt;500,Table26[[#This Row],[Fee]],"")</f>
        <v/>
      </c>
    </row>
    <row r="642" spans="1:10" hidden="1">
      <c r="A642">
        <v>641</v>
      </c>
      <c r="B642" t="s">
        <v>370</v>
      </c>
      <c r="C642" t="s">
        <v>366</v>
      </c>
      <c r="D642" t="str">
        <f t="array" ref="D642">TEXT(Table26[[#This Row],[Date]],"MMMM")</f>
        <v>August</v>
      </c>
      <c r="E642">
        <v>500</v>
      </c>
      <c r="F642" t="s">
        <v>589</v>
      </c>
      <c r="G642" t="s">
        <v>1329</v>
      </c>
      <c r="H642" s="38">
        <v>46256</v>
      </c>
      <c r="I642" cm="1">
        <f t="array" ref="I642">IFERROR(INDEX('ALL STUDENTS'!$A:$A, MATCH(1, ('ALL STUDENTS'!$B:$B = B642) * ('ALL STUDENTS'!$C:$C = C642), 0)), "NOT FOUND")</f>
        <v>813</v>
      </c>
      <c r="J642" t="str">
        <f>IF(Table26[[#This Row],[Fee]]&gt;500,Table26[[#This Row],[Fee]],"")</f>
        <v/>
      </c>
    </row>
    <row r="643" spans="1:10" hidden="1">
      <c r="A643">
        <v>642</v>
      </c>
      <c r="B643" t="s">
        <v>100</v>
      </c>
      <c r="C643" t="s">
        <v>87</v>
      </c>
      <c r="D643" t="str">
        <f t="array" ref="D643">TEXT(Table26[[#This Row],[Date]],"MMMM")</f>
        <v>August</v>
      </c>
      <c r="E643">
        <v>500</v>
      </c>
      <c r="F643" t="s">
        <v>589</v>
      </c>
      <c r="G643" t="s">
        <v>1330</v>
      </c>
      <c r="H643" s="38">
        <v>46256</v>
      </c>
      <c r="I643" cm="1">
        <f t="array" ref="I643">IFERROR(INDEX('ALL STUDENTS'!$A:$A, MATCH(1, ('ALL STUDENTS'!$B:$B = B643) * ('ALL STUDENTS'!$C:$C = C643), 0)), "NOT FOUND")</f>
        <v>1559</v>
      </c>
      <c r="J643" t="str">
        <f>IF(Table26[[#This Row],[Fee]]&gt;500,Table26[[#This Row],[Fee]],"")</f>
        <v/>
      </c>
    </row>
    <row r="644" spans="1:10" hidden="1">
      <c r="A644">
        <v>643</v>
      </c>
      <c r="B644" t="s">
        <v>100</v>
      </c>
      <c r="C644" t="s">
        <v>87</v>
      </c>
      <c r="D644" t="str">
        <f t="array" ref="D644">TEXT(Table26[[#This Row],[Date]],"MMMM")</f>
        <v>August</v>
      </c>
      <c r="E644">
        <v>500</v>
      </c>
      <c r="F644" t="s">
        <v>589</v>
      </c>
      <c r="G644" t="s">
        <v>1331</v>
      </c>
      <c r="H644" s="38">
        <v>46256</v>
      </c>
      <c r="I644" cm="1">
        <f t="array" ref="I644">IFERROR(INDEX('ALL STUDENTS'!$A:$A, MATCH(1, ('ALL STUDENTS'!$B:$B = B644) * ('ALL STUDENTS'!$C:$C = C644), 0)), "NOT FOUND")</f>
        <v>1559</v>
      </c>
      <c r="J644" t="str">
        <f>IF(Table26[[#This Row],[Fee]]&gt;500,Table26[[#This Row],[Fee]],"")</f>
        <v/>
      </c>
    </row>
    <row r="645" spans="1:10" hidden="1">
      <c r="A645">
        <v>644</v>
      </c>
      <c r="B645" t="s">
        <v>296</v>
      </c>
      <c r="C645" t="s">
        <v>294</v>
      </c>
      <c r="D645" t="str">
        <f t="array" ref="D645">TEXT(Table26[[#This Row],[Date]],"MMMM")</f>
        <v>August</v>
      </c>
      <c r="E645">
        <v>500</v>
      </c>
      <c r="F645" t="s">
        <v>589</v>
      </c>
      <c r="G645" t="s">
        <v>1332</v>
      </c>
      <c r="H645" s="38">
        <v>46254</v>
      </c>
      <c r="I645" cm="1">
        <f t="array" ref="I645">IFERROR(INDEX('ALL STUDENTS'!$A:$A, MATCH(1, ('ALL STUDENTS'!$B:$B = B645) * ('ALL STUDENTS'!$C:$C = C645), 0)), "NOT FOUND")</f>
        <v>2263</v>
      </c>
      <c r="J645" t="str">
        <f>IF(Table26[[#This Row],[Fee]]&gt;500,Table26[[#This Row],[Fee]],"")</f>
        <v/>
      </c>
    </row>
    <row r="646" spans="1:10" hidden="1">
      <c r="A646">
        <v>645</v>
      </c>
      <c r="B646" t="s">
        <v>296</v>
      </c>
      <c r="C646" t="s">
        <v>294</v>
      </c>
      <c r="D646" t="str">
        <f t="array" ref="D646">TEXT(Table26[[#This Row],[Date]],"MMMM")</f>
        <v>August</v>
      </c>
      <c r="E646">
        <v>500</v>
      </c>
      <c r="F646" t="s">
        <v>589</v>
      </c>
      <c r="G646" t="s">
        <v>1333</v>
      </c>
      <c r="H646" s="38">
        <v>46254</v>
      </c>
      <c r="I646" cm="1">
        <f t="array" ref="I646">IFERROR(INDEX('ALL STUDENTS'!$A:$A, MATCH(1, ('ALL STUDENTS'!$B:$B = B646) * ('ALL STUDENTS'!$C:$C = C646), 0)), "NOT FOUND")</f>
        <v>2263</v>
      </c>
      <c r="J646" t="str">
        <f>IF(Table26[[#This Row],[Fee]]&gt;500,Table26[[#This Row],[Fee]],"")</f>
        <v/>
      </c>
    </row>
    <row r="647" spans="1:10" hidden="1">
      <c r="A647">
        <v>646</v>
      </c>
      <c r="B647" t="s">
        <v>296</v>
      </c>
      <c r="C647" t="s">
        <v>294</v>
      </c>
      <c r="D647" t="str">
        <f t="array" ref="D647">TEXT(Table26[[#This Row],[Date]],"MMMM")</f>
        <v>August</v>
      </c>
      <c r="E647">
        <v>500</v>
      </c>
      <c r="F647" t="s">
        <v>589</v>
      </c>
      <c r="G647" t="s">
        <v>1334</v>
      </c>
      <c r="H647" s="38">
        <v>46254</v>
      </c>
      <c r="I647" cm="1">
        <f t="array" ref="I647">IFERROR(INDEX('ALL STUDENTS'!$A:$A, MATCH(1, ('ALL STUDENTS'!$B:$B = B647) * ('ALL STUDENTS'!$C:$C = C647), 0)), "NOT FOUND")</f>
        <v>2263</v>
      </c>
      <c r="J647" t="str">
        <f>IF(Table26[[#This Row],[Fee]]&gt;500,Table26[[#This Row],[Fee]],"")</f>
        <v/>
      </c>
    </row>
    <row r="648" spans="1:10" hidden="1">
      <c r="A648">
        <v>647</v>
      </c>
      <c r="B648" t="s">
        <v>3240</v>
      </c>
      <c r="C648" t="s">
        <v>232</v>
      </c>
      <c r="D648" t="str">
        <f t="array" ref="D648">TEXT(Table26[[#This Row],[Date]],"MMMM")</f>
        <v>August</v>
      </c>
      <c r="E648">
        <v>500</v>
      </c>
      <c r="F648" t="s">
        <v>589</v>
      </c>
      <c r="G648" t="s">
        <v>1335</v>
      </c>
      <c r="H648" s="38">
        <v>46259</v>
      </c>
      <c r="I648" cm="1">
        <f t="array" ref="I648">IFERROR(INDEX('ALL STUDENTS'!$A:$A, MATCH(1, ('ALL STUDENTS'!$B:$B = B648) * ('ALL STUDENTS'!$C:$C = C648), 0)), "NOT FOUND")</f>
        <v>2100</v>
      </c>
      <c r="J648" t="str">
        <f>IF(Table26[[#This Row],[Fee]]&gt;500,Table26[[#This Row],[Fee]],"")</f>
        <v/>
      </c>
    </row>
    <row r="649" spans="1:10" hidden="1">
      <c r="A649">
        <v>648</v>
      </c>
      <c r="B649" t="s">
        <v>330</v>
      </c>
      <c r="C649" t="s">
        <v>324</v>
      </c>
      <c r="D649" t="str">
        <f t="array" ref="D649">TEXT(Table26[[#This Row],[Date]],"MMMM")</f>
        <v>August</v>
      </c>
      <c r="E649">
        <v>500</v>
      </c>
      <c r="F649" t="s">
        <v>589</v>
      </c>
      <c r="G649" t="s">
        <v>1336</v>
      </c>
      <c r="H649" s="38">
        <v>46258</v>
      </c>
      <c r="I649" cm="1">
        <f t="array" ref="I649">IFERROR(INDEX('ALL STUDENTS'!$A:$A, MATCH(1, ('ALL STUDENTS'!$B:$B = B649) * ('ALL STUDENTS'!$C:$C = C649), 0)), "NOT FOUND")</f>
        <v>2454</v>
      </c>
      <c r="J649" t="str">
        <f>IF(Table26[[#This Row],[Fee]]&gt;500,Table26[[#This Row],[Fee]],"")</f>
        <v/>
      </c>
    </row>
    <row r="650" spans="1:10" hidden="1">
      <c r="A650">
        <v>649</v>
      </c>
      <c r="B650" t="s">
        <v>330</v>
      </c>
      <c r="C650" t="s">
        <v>324</v>
      </c>
      <c r="D650" t="str">
        <f t="array" ref="D650">TEXT(Table26[[#This Row],[Date]],"MMMM")</f>
        <v>August</v>
      </c>
      <c r="E650">
        <v>500</v>
      </c>
      <c r="F650" t="s">
        <v>589</v>
      </c>
      <c r="G650" t="s">
        <v>1337</v>
      </c>
      <c r="H650" s="38">
        <v>46258</v>
      </c>
      <c r="I650" cm="1">
        <f t="array" ref="I650">IFERROR(INDEX('ALL STUDENTS'!$A:$A, MATCH(1, ('ALL STUDENTS'!$B:$B = B650) * ('ALL STUDENTS'!$C:$C = C650), 0)), "NOT FOUND")</f>
        <v>2454</v>
      </c>
      <c r="J650" t="str">
        <f>IF(Table26[[#This Row],[Fee]]&gt;500,Table26[[#This Row],[Fee]],"")</f>
        <v/>
      </c>
    </row>
    <row r="651" spans="1:10" hidden="1">
      <c r="A651">
        <v>650</v>
      </c>
      <c r="B651" t="s">
        <v>330</v>
      </c>
      <c r="C651" t="s">
        <v>324</v>
      </c>
      <c r="D651" t="str">
        <f t="array" ref="D651">TEXT(Table26[[#This Row],[Date]],"MMMM")</f>
        <v>August</v>
      </c>
      <c r="E651">
        <v>500</v>
      </c>
      <c r="F651" t="s">
        <v>589</v>
      </c>
      <c r="G651" t="s">
        <v>1338</v>
      </c>
      <c r="H651" s="38">
        <v>46258</v>
      </c>
      <c r="I651" cm="1">
        <f t="array" ref="I651">IFERROR(INDEX('ALL STUDENTS'!$A:$A, MATCH(1, ('ALL STUDENTS'!$B:$B = B651) * ('ALL STUDENTS'!$C:$C = C651), 0)), "NOT FOUND")</f>
        <v>2454</v>
      </c>
      <c r="J651" t="str">
        <f>IF(Table26[[#This Row],[Fee]]&gt;500,Table26[[#This Row],[Fee]],"")</f>
        <v/>
      </c>
    </row>
    <row r="652" spans="1:10" hidden="1">
      <c r="A652">
        <v>651</v>
      </c>
      <c r="B652" t="s">
        <v>491</v>
      </c>
      <c r="C652" t="s">
        <v>488</v>
      </c>
      <c r="D652" t="str">
        <f t="array" ref="D652">TEXT(Table26[[#This Row],[Date]],"MMMM")</f>
        <v>August</v>
      </c>
      <c r="E652">
        <v>500</v>
      </c>
      <c r="F652" t="s">
        <v>589</v>
      </c>
      <c r="G652" t="s">
        <v>1339</v>
      </c>
      <c r="H652" s="38">
        <v>46247</v>
      </c>
      <c r="I652" cm="1">
        <f t="array" ref="I652">IFERROR(INDEX('ALL STUDENTS'!$A:$A, MATCH(1, ('ALL STUDENTS'!$B:$B = B652) * ('ALL STUDENTS'!$C:$C = C652), 0)), "NOT FOUND")</f>
        <v>327</v>
      </c>
      <c r="J652" t="str">
        <f>IF(Table26[[#This Row],[Fee]]&gt;500,Table26[[#This Row],[Fee]],"")</f>
        <v/>
      </c>
    </row>
    <row r="653" spans="1:10" hidden="1">
      <c r="A653">
        <v>652</v>
      </c>
      <c r="B653" t="s">
        <v>491</v>
      </c>
      <c r="C653" t="s">
        <v>488</v>
      </c>
      <c r="D653" t="str">
        <f t="array" ref="D653">TEXT(Table26[[#This Row],[Date]],"MMMM")</f>
        <v>August</v>
      </c>
      <c r="E653">
        <v>500</v>
      </c>
      <c r="F653" t="s">
        <v>589</v>
      </c>
      <c r="G653" t="s">
        <v>1340</v>
      </c>
      <c r="H653" s="38">
        <v>46247</v>
      </c>
      <c r="I653" cm="1">
        <f t="array" ref="I653">IFERROR(INDEX('ALL STUDENTS'!$A:$A, MATCH(1, ('ALL STUDENTS'!$B:$B = B653) * ('ALL STUDENTS'!$C:$C = C653), 0)), "NOT FOUND")</f>
        <v>327</v>
      </c>
      <c r="J653" t="str">
        <f>IF(Table26[[#This Row],[Fee]]&gt;500,Table26[[#This Row],[Fee]],"")</f>
        <v/>
      </c>
    </row>
    <row r="654" spans="1:10" hidden="1">
      <c r="A654">
        <v>653</v>
      </c>
      <c r="B654" t="s">
        <v>491</v>
      </c>
      <c r="C654" t="s">
        <v>488</v>
      </c>
      <c r="D654" t="str">
        <f t="array" ref="D654">TEXT(Table26[[#This Row],[Date]],"MMMM")</f>
        <v>August</v>
      </c>
      <c r="E654">
        <v>500</v>
      </c>
      <c r="F654" t="s">
        <v>589</v>
      </c>
      <c r="G654" t="s">
        <v>1341</v>
      </c>
      <c r="H654" s="38">
        <v>46247</v>
      </c>
      <c r="I654" cm="1">
        <f t="array" ref="I654">IFERROR(INDEX('ALL STUDENTS'!$A:$A, MATCH(1, ('ALL STUDENTS'!$B:$B = B654) * ('ALL STUDENTS'!$C:$C = C654), 0)), "NOT FOUND")</f>
        <v>327</v>
      </c>
      <c r="J654" t="str">
        <f>IF(Table26[[#This Row],[Fee]]&gt;500,Table26[[#This Row],[Fee]],"")</f>
        <v/>
      </c>
    </row>
    <row r="655" spans="1:10" hidden="1">
      <c r="A655">
        <v>654</v>
      </c>
      <c r="B655" t="s">
        <v>281</v>
      </c>
      <c r="C655" t="s">
        <v>273</v>
      </c>
      <c r="D655" t="str">
        <f t="array" ref="D655">TEXT(Table26[[#This Row],[Date]],"MMMM")</f>
        <v>August</v>
      </c>
      <c r="E655">
        <v>500</v>
      </c>
      <c r="F655" t="s">
        <v>589</v>
      </c>
      <c r="G655" t="s">
        <v>1342</v>
      </c>
      <c r="H655" s="38">
        <v>46257</v>
      </c>
      <c r="I655" cm="1">
        <f t="array" ref="I655">IFERROR(INDEX('ALL STUDENTS'!$A:$A, MATCH(1, ('ALL STUDENTS'!$B:$B = B655) * ('ALL STUDENTS'!$C:$C = C655), 0)), "NOT FOUND")</f>
        <v>2195</v>
      </c>
      <c r="J655" t="str">
        <f>IF(Table26[[#This Row],[Fee]]&gt;500,Table26[[#This Row],[Fee]],"")</f>
        <v/>
      </c>
    </row>
    <row r="656" spans="1:10" hidden="1">
      <c r="A656">
        <v>655</v>
      </c>
      <c r="B656" t="s">
        <v>460</v>
      </c>
      <c r="C656" t="s">
        <v>453</v>
      </c>
      <c r="D656" t="str">
        <f t="array" ref="D656">TEXT(Table26[[#This Row],[Date]],"MMMM")</f>
        <v>August</v>
      </c>
      <c r="E656">
        <v>500</v>
      </c>
      <c r="F656" t="s">
        <v>589</v>
      </c>
      <c r="G656" t="s">
        <v>1343</v>
      </c>
      <c r="H656" s="38">
        <v>46258</v>
      </c>
      <c r="I656" cm="1">
        <f t="array" ref="I656">IFERROR(INDEX('ALL STUDENTS'!$A:$A, MATCH(1, ('ALL STUDENTS'!$B:$B = B656) * ('ALL STUDENTS'!$C:$C = C656), 0)), "NOT FOUND")</f>
        <v>711</v>
      </c>
      <c r="J656" t="str">
        <f>IF(Table26[[#This Row],[Fee]]&gt;500,Table26[[#This Row],[Fee]],"")</f>
        <v/>
      </c>
    </row>
    <row r="657" spans="1:10" hidden="1">
      <c r="A657">
        <v>656</v>
      </c>
      <c r="B657" t="s">
        <v>460</v>
      </c>
      <c r="C657" t="s">
        <v>453</v>
      </c>
      <c r="D657" t="str">
        <f t="array" ref="D657">TEXT(Table26[[#This Row],[Date]],"MMMM")</f>
        <v>August</v>
      </c>
      <c r="E657">
        <v>500</v>
      </c>
      <c r="F657" t="s">
        <v>589</v>
      </c>
      <c r="G657" t="s">
        <v>1344</v>
      </c>
      <c r="H657" s="38">
        <v>46258</v>
      </c>
      <c r="I657" cm="1">
        <f t="array" ref="I657">IFERROR(INDEX('ALL STUDENTS'!$A:$A, MATCH(1, ('ALL STUDENTS'!$B:$B = B657) * ('ALL STUDENTS'!$C:$C = C657), 0)), "NOT FOUND")</f>
        <v>711</v>
      </c>
      <c r="J657" t="str">
        <f>IF(Table26[[#This Row],[Fee]]&gt;500,Table26[[#This Row],[Fee]],"")</f>
        <v/>
      </c>
    </row>
    <row r="658" spans="1:10" hidden="1">
      <c r="A658">
        <v>657</v>
      </c>
      <c r="B658" t="s">
        <v>460</v>
      </c>
      <c r="C658" t="s">
        <v>453</v>
      </c>
      <c r="D658" t="str">
        <f t="array" ref="D658">TEXT(Table26[[#This Row],[Date]],"MMMM")</f>
        <v>August</v>
      </c>
      <c r="E658">
        <v>500</v>
      </c>
      <c r="F658" t="s">
        <v>589</v>
      </c>
      <c r="G658" t="s">
        <v>1345</v>
      </c>
      <c r="H658" s="38">
        <v>46258</v>
      </c>
      <c r="I658" cm="1">
        <f t="array" ref="I658">IFERROR(INDEX('ALL STUDENTS'!$A:$A, MATCH(1, ('ALL STUDENTS'!$B:$B = B658) * ('ALL STUDENTS'!$C:$C = C658), 0)), "NOT FOUND")</f>
        <v>711</v>
      </c>
      <c r="J658" t="str">
        <f>IF(Table26[[#This Row],[Fee]]&gt;500,Table26[[#This Row],[Fee]],"")</f>
        <v/>
      </c>
    </row>
    <row r="659" spans="1:10" hidden="1">
      <c r="A659">
        <v>658</v>
      </c>
      <c r="B659" t="s">
        <v>518</v>
      </c>
      <c r="C659" t="s">
        <v>515</v>
      </c>
      <c r="D659" t="str">
        <f t="array" ref="D659">TEXT(Table26[[#This Row],[Date]],"MMMM")</f>
        <v>August</v>
      </c>
      <c r="E659">
        <v>500</v>
      </c>
      <c r="F659" t="s">
        <v>589</v>
      </c>
      <c r="G659" t="s">
        <v>1346</v>
      </c>
      <c r="H659" s="38">
        <v>46256</v>
      </c>
      <c r="I659" cm="1">
        <f t="array" ref="I659">IFERROR(INDEX('ALL STUDENTS'!$A:$A, MATCH(1, ('ALL STUDENTS'!$B:$B = B659) * ('ALL STUDENTS'!$C:$C = C659), 0)), "NOT FOUND")</f>
        <v>37</v>
      </c>
      <c r="J659" t="str">
        <f>IF(Table26[[#This Row],[Fee]]&gt;500,Table26[[#This Row],[Fee]],"")</f>
        <v/>
      </c>
    </row>
    <row r="660" spans="1:10" hidden="1">
      <c r="A660">
        <v>659</v>
      </c>
      <c r="B660" t="s">
        <v>518</v>
      </c>
      <c r="C660" t="s">
        <v>515</v>
      </c>
      <c r="D660" t="str">
        <f t="array" ref="D660">TEXT(Table26[[#This Row],[Date]],"MMMM")</f>
        <v>August</v>
      </c>
      <c r="E660">
        <v>500</v>
      </c>
      <c r="F660" t="s">
        <v>589</v>
      </c>
      <c r="G660" t="s">
        <v>1347</v>
      </c>
      <c r="H660" s="38">
        <v>46256</v>
      </c>
      <c r="I660" cm="1">
        <f t="array" ref="I660">IFERROR(INDEX('ALL STUDENTS'!$A:$A, MATCH(1, ('ALL STUDENTS'!$B:$B = B660) * ('ALL STUDENTS'!$C:$C = C660), 0)), "NOT FOUND")</f>
        <v>37</v>
      </c>
      <c r="J660" t="str">
        <f>IF(Table26[[#This Row],[Fee]]&gt;500,Table26[[#This Row],[Fee]],"")</f>
        <v/>
      </c>
    </row>
    <row r="661" spans="1:10" hidden="1">
      <c r="A661">
        <v>660</v>
      </c>
      <c r="B661" t="s">
        <v>518</v>
      </c>
      <c r="C661" t="s">
        <v>515</v>
      </c>
      <c r="D661" t="str">
        <f t="array" ref="D661">TEXT(Table26[[#This Row],[Date]],"MMMM")</f>
        <v>August</v>
      </c>
      <c r="E661">
        <v>500</v>
      </c>
      <c r="F661" t="s">
        <v>589</v>
      </c>
      <c r="G661" t="s">
        <v>1348</v>
      </c>
      <c r="H661" s="38">
        <v>46256</v>
      </c>
      <c r="I661" cm="1">
        <f t="array" ref="I661">IFERROR(INDEX('ALL STUDENTS'!$A:$A, MATCH(1, ('ALL STUDENTS'!$B:$B = B661) * ('ALL STUDENTS'!$C:$C = C661), 0)), "NOT FOUND")</f>
        <v>37</v>
      </c>
      <c r="J661" t="str">
        <f>IF(Table26[[#This Row],[Fee]]&gt;500,Table26[[#This Row],[Fee]],"")</f>
        <v/>
      </c>
    </row>
    <row r="662" spans="1:10" hidden="1">
      <c r="A662">
        <v>661</v>
      </c>
      <c r="B662" t="s">
        <v>383</v>
      </c>
      <c r="C662" t="s">
        <v>374</v>
      </c>
      <c r="D662" t="str">
        <f t="array" ref="D662">TEXT(Table26[[#This Row],[Date]],"MMMM")</f>
        <v>August</v>
      </c>
      <c r="E662">
        <v>500</v>
      </c>
      <c r="F662" t="s">
        <v>589</v>
      </c>
      <c r="G662" t="s">
        <v>1349</v>
      </c>
      <c r="H662" s="38">
        <v>46241</v>
      </c>
      <c r="I662" cm="1">
        <f t="array" ref="I662">IFERROR(INDEX('ALL STUDENTS'!$A:$A, MATCH(1, ('ALL STUDENTS'!$B:$B = B662) * ('ALL STUDENTS'!$C:$C = C662), 0)), "NOT FOUND")</f>
        <v>844</v>
      </c>
      <c r="J662" t="str">
        <f>IF(Table26[[#This Row],[Fee]]&gt;500,Table26[[#This Row],[Fee]],"")</f>
        <v/>
      </c>
    </row>
    <row r="663" spans="1:10" hidden="1">
      <c r="A663">
        <v>662</v>
      </c>
      <c r="B663" t="s">
        <v>383</v>
      </c>
      <c r="C663" t="s">
        <v>374</v>
      </c>
      <c r="D663" t="str">
        <f t="array" ref="D663">TEXT(Table26[[#This Row],[Date]],"MMMM")</f>
        <v>August</v>
      </c>
      <c r="E663">
        <v>500</v>
      </c>
      <c r="F663" t="s">
        <v>589</v>
      </c>
      <c r="G663" t="s">
        <v>1350</v>
      </c>
      <c r="H663" s="38">
        <v>46241</v>
      </c>
      <c r="I663" cm="1">
        <f t="array" ref="I663">IFERROR(INDEX('ALL STUDENTS'!$A:$A, MATCH(1, ('ALL STUDENTS'!$B:$B = B663) * ('ALL STUDENTS'!$C:$C = C663), 0)), "NOT FOUND")</f>
        <v>844</v>
      </c>
      <c r="J663" t="str">
        <f>IF(Table26[[#This Row],[Fee]]&gt;500,Table26[[#This Row],[Fee]],"")</f>
        <v/>
      </c>
    </row>
    <row r="664" spans="1:10" hidden="1">
      <c r="A664">
        <v>663</v>
      </c>
      <c r="B664" t="s">
        <v>78</v>
      </c>
      <c r="C664" t="s">
        <v>68</v>
      </c>
      <c r="D664" t="str">
        <f t="array" ref="D664">TEXT(Table26[[#This Row],[Date]],"MMMM")</f>
        <v>August</v>
      </c>
      <c r="E664">
        <v>500</v>
      </c>
      <c r="F664" t="s">
        <v>589</v>
      </c>
      <c r="G664" t="s">
        <v>1351</v>
      </c>
      <c r="H664" s="38">
        <v>46240</v>
      </c>
      <c r="I664" cm="1">
        <f t="array" ref="I664">IFERROR(INDEX('ALL STUDENTS'!$A:$A, MATCH(1, ('ALL STUDENTS'!$B:$B = B664) * ('ALL STUDENTS'!$C:$C = C664), 0)), "NOT FOUND")</f>
        <v>1514</v>
      </c>
      <c r="J664" t="str">
        <f>IF(Table26[[#This Row],[Fee]]&gt;500,Table26[[#This Row],[Fee]],"")</f>
        <v/>
      </c>
    </row>
    <row r="665" spans="1:10" hidden="1">
      <c r="A665">
        <v>664</v>
      </c>
      <c r="B665" t="s">
        <v>262</v>
      </c>
      <c r="C665" t="s">
        <v>252</v>
      </c>
      <c r="D665" t="str">
        <f t="array" ref="D665">TEXT(Table26[[#This Row],[Date]],"MMMM")</f>
        <v>August</v>
      </c>
      <c r="E665">
        <v>500</v>
      </c>
      <c r="F665" t="s">
        <v>589</v>
      </c>
      <c r="G665" t="s">
        <v>1352</v>
      </c>
      <c r="H665" s="38">
        <v>46240</v>
      </c>
      <c r="I665" cm="1">
        <f t="array" ref="I665">IFERROR(INDEX('ALL STUDENTS'!$A:$A, MATCH(1, ('ALL STUDENTS'!$B:$B = B665) * ('ALL STUDENTS'!$C:$C = C665), 0)), "NOT FOUND")</f>
        <v>2126</v>
      </c>
      <c r="J665" t="str">
        <f>IF(Table26[[#This Row],[Fee]]&gt;500,Table26[[#This Row],[Fee]],"")</f>
        <v/>
      </c>
    </row>
    <row r="666" spans="1:10" hidden="1">
      <c r="A666">
        <v>665</v>
      </c>
      <c r="B666" t="s">
        <v>29</v>
      </c>
      <c r="C666" t="s">
        <v>20</v>
      </c>
      <c r="D666" t="str">
        <f t="array" ref="D666">TEXT(Table26[[#This Row],[Date]],"MMMM")</f>
        <v>August</v>
      </c>
      <c r="E666">
        <v>500</v>
      </c>
      <c r="F666" t="s">
        <v>589</v>
      </c>
      <c r="G666" t="s">
        <v>1353</v>
      </c>
      <c r="H666" s="38">
        <v>46258</v>
      </c>
      <c r="I666" cm="1">
        <f t="array" ref="I666">IFERROR(INDEX('ALL STUDENTS'!$A:$A, MATCH(1, ('ALL STUDENTS'!$B:$B = B666) * ('ALL STUDENTS'!$C:$C = C666), 0)), "NOT FOUND")</f>
        <v>3045</v>
      </c>
      <c r="J666" t="str">
        <f>IF(Table26[[#This Row],[Fee]]&gt;500,Table26[[#This Row],[Fee]],"")</f>
        <v/>
      </c>
    </row>
    <row r="667" spans="1:10" hidden="1">
      <c r="A667">
        <v>666</v>
      </c>
      <c r="B667" t="s">
        <v>29</v>
      </c>
      <c r="C667" t="s">
        <v>20</v>
      </c>
      <c r="D667" t="str">
        <f t="array" ref="D667">TEXT(Table26[[#This Row],[Date]],"MMMM")</f>
        <v>August</v>
      </c>
      <c r="E667">
        <v>500</v>
      </c>
      <c r="F667" t="s">
        <v>589</v>
      </c>
      <c r="G667" t="s">
        <v>1354</v>
      </c>
      <c r="H667" s="38">
        <v>46258</v>
      </c>
      <c r="I667" cm="1">
        <f t="array" ref="I667">IFERROR(INDEX('ALL STUDENTS'!$A:$A, MATCH(1, ('ALL STUDENTS'!$B:$B = B667) * ('ALL STUDENTS'!$C:$C = C667), 0)), "NOT FOUND")</f>
        <v>3045</v>
      </c>
      <c r="J667" t="str">
        <f>IF(Table26[[#This Row],[Fee]]&gt;500,Table26[[#This Row],[Fee]],"")</f>
        <v/>
      </c>
    </row>
    <row r="668" spans="1:10" hidden="1">
      <c r="A668">
        <v>667</v>
      </c>
      <c r="B668" t="s">
        <v>29</v>
      </c>
      <c r="C668" t="s">
        <v>20</v>
      </c>
      <c r="D668" t="str">
        <f t="array" ref="D668">TEXT(Table26[[#This Row],[Date]],"MMMM")</f>
        <v>August</v>
      </c>
      <c r="E668">
        <v>500</v>
      </c>
      <c r="F668" t="s">
        <v>589</v>
      </c>
      <c r="G668" t="s">
        <v>1355</v>
      </c>
      <c r="H668" s="38">
        <v>46258</v>
      </c>
      <c r="I668" cm="1">
        <f t="array" ref="I668">IFERROR(INDEX('ALL STUDENTS'!$A:$A, MATCH(1, ('ALL STUDENTS'!$B:$B = B668) * ('ALL STUDENTS'!$C:$C = C668), 0)), "NOT FOUND")</f>
        <v>3045</v>
      </c>
      <c r="J668" t="str">
        <f>IF(Table26[[#This Row],[Fee]]&gt;500,Table26[[#This Row],[Fee]],"")</f>
        <v/>
      </c>
    </row>
    <row r="669" spans="1:10" hidden="1">
      <c r="A669">
        <v>668</v>
      </c>
      <c r="B669" t="s">
        <v>16</v>
      </c>
      <c r="C669" t="s">
        <v>4</v>
      </c>
      <c r="D669" t="str">
        <f t="array" ref="D669">TEXT(Table26[[#This Row],[Date]],"MMMM")</f>
        <v>August</v>
      </c>
      <c r="E669">
        <v>500</v>
      </c>
      <c r="F669" t="s">
        <v>589</v>
      </c>
      <c r="G669" t="s">
        <v>1356</v>
      </c>
      <c r="H669" s="38">
        <v>46258</v>
      </c>
      <c r="I669" cm="1">
        <f t="array" ref="I669">IFERROR(INDEX('ALL STUDENTS'!$A:$A, MATCH(1, ('ALL STUDENTS'!$B:$B = B669) * ('ALL STUDENTS'!$C:$C = C669), 0)), "NOT FOUND")</f>
        <v>3014</v>
      </c>
      <c r="J669" t="str">
        <f>IF(Table26[[#This Row],[Fee]]&gt;500,Table26[[#This Row],[Fee]],"")</f>
        <v/>
      </c>
    </row>
    <row r="670" spans="1:10" hidden="1">
      <c r="A670">
        <v>669</v>
      </c>
      <c r="B670" t="s">
        <v>45</v>
      </c>
      <c r="C670" t="s">
        <v>32</v>
      </c>
      <c r="D670" t="str">
        <f t="array" ref="D670">TEXT(Table26[[#This Row],[Date]],"MMMM")</f>
        <v>August</v>
      </c>
      <c r="E670">
        <v>500</v>
      </c>
      <c r="F670" t="s">
        <v>589</v>
      </c>
      <c r="G670" t="s">
        <v>1357</v>
      </c>
      <c r="H670" s="38">
        <v>46258</v>
      </c>
      <c r="I670" cm="1">
        <f t="array" ref="I670">IFERROR(INDEX('ALL STUDENTS'!$A:$A, MATCH(1, ('ALL STUDENTS'!$B:$B = B670) * ('ALL STUDENTS'!$C:$C = C670), 0)), "NOT FOUND")</f>
        <v>3097</v>
      </c>
      <c r="J670" t="str">
        <f>IF(Table26[[#This Row],[Fee]]&gt;500,Table26[[#This Row],[Fee]],"")</f>
        <v/>
      </c>
    </row>
    <row r="671" spans="1:10" hidden="1">
      <c r="A671">
        <v>670</v>
      </c>
      <c r="B671" t="s">
        <v>45</v>
      </c>
      <c r="C671" t="s">
        <v>32</v>
      </c>
      <c r="D671" t="str">
        <f t="array" ref="D671">TEXT(Table26[[#This Row],[Date]],"MMMM")</f>
        <v>August</v>
      </c>
      <c r="E671">
        <v>500</v>
      </c>
      <c r="F671" t="s">
        <v>589</v>
      </c>
      <c r="G671" t="s">
        <v>1358</v>
      </c>
      <c r="H671" s="38">
        <v>46258</v>
      </c>
      <c r="I671" cm="1">
        <f t="array" ref="I671">IFERROR(INDEX('ALL STUDENTS'!$A:$A, MATCH(1, ('ALL STUDENTS'!$B:$B = B671) * ('ALL STUDENTS'!$C:$C = C671), 0)), "NOT FOUND")</f>
        <v>3097</v>
      </c>
      <c r="J671" t="str">
        <f>IF(Table26[[#This Row],[Fee]]&gt;500,Table26[[#This Row],[Fee]],"")</f>
        <v/>
      </c>
    </row>
    <row r="672" spans="1:10" hidden="1">
      <c r="A672">
        <v>671</v>
      </c>
      <c r="B672" t="s">
        <v>394</v>
      </c>
      <c r="C672" t="s">
        <v>386</v>
      </c>
      <c r="D672" t="str">
        <f t="array" ref="D672">TEXT(Table26[[#This Row],[Date]],"MMMM")</f>
        <v>August</v>
      </c>
      <c r="E672">
        <v>500</v>
      </c>
      <c r="F672" t="s">
        <v>589</v>
      </c>
      <c r="G672" t="s">
        <v>1359</v>
      </c>
      <c r="H672" s="38">
        <v>46257</v>
      </c>
      <c r="I672" cm="1">
        <f t="array" ref="I672">IFERROR(INDEX('ALL STUDENTS'!$A:$A, MATCH(1, ('ALL STUDENTS'!$B:$B = B672) * ('ALL STUDENTS'!$C:$C = C672), 0)), "NOT FOUND")</f>
        <v>909</v>
      </c>
      <c r="J672" t="str">
        <f>IF(Table26[[#This Row],[Fee]]&gt;500,Table26[[#This Row],[Fee]],"")</f>
        <v/>
      </c>
    </row>
    <row r="673" spans="1:10" hidden="1">
      <c r="A673">
        <v>672</v>
      </c>
      <c r="B673" t="s">
        <v>202</v>
      </c>
      <c r="C673" t="s">
        <v>195</v>
      </c>
      <c r="D673" t="str">
        <f t="array" ref="D673">TEXT(Table26[[#This Row],[Date]],"MMMM")</f>
        <v>August</v>
      </c>
      <c r="E673">
        <v>500</v>
      </c>
      <c r="F673" t="s">
        <v>591</v>
      </c>
      <c r="G673" t="s">
        <v>1360</v>
      </c>
      <c r="H673" s="38">
        <v>46258</v>
      </c>
      <c r="I673" cm="1">
        <f t="array" ref="I673">IFERROR(INDEX('ALL STUDENTS'!$A:$A, MATCH(1, ('ALL STUDENTS'!$B:$B = B673) * ('ALL STUDENTS'!$C:$C = C673), 0)), "NOT FOUND")</f>
        <v>1917</v>
      </c>
      <c r="J673" t="str">
        <f>IF(Table26[[#This Row],[Fee]]&gt;500,Table26[[#This Row],[Fee]],"")</f>
        <v/>
      </c>
    </row>
    <row r="674" spans="1:10">
      <c r="A674">
        <v>673</v>
      </c>
      <c r="B674" t="s">
        <v>311</v>
      </c>
      <c r="C674" t="s">
        <v>304</v>
      </c>
      <c r="D674" t="str">
        <f t="array" ref="D674">TEXT(Table26[[#This Row],[Date]],"MMMM")</f>
        <v>August</v>
      </c>
      <c r="E674">
        <v>500</v>
      </c>
      <c r="F674" t="s">
        <v>591</v>
      </c>
      <c r="G674" t="s">
        <v>1361</v>
      </c>
      <c r="H674" s="38">
        <v>46258</v>
      </c>
      <c r="I674" t="str" cm="1">
        <f t="array" ref="I674">IFERROR(INDEX('ALL STUDENTS'!$A:$A, MATCH(1, ('ALL STUDENTS'!$B:$B = B674) * ('ALL STUDENTS'!$C:$C = C674), 0)), "NOT FOUND")</f>
        <v>NOT FOUND</v>
      </c>
      <c r="J674" t="str">
        <f>IF(Table26[[#This Row],[Fee]]&gt;500,Table26[[#This Row],[Fee]],"")</f>
        <v/>
      </c>
    </row>
    <row r="675" spans="1:10" hidden="1">
      <c r="A675">
        <v>674</v>
      </c>
      <c r="B675" t="s">
        <v>101</v>
      </c>
      <c r="C675" t="s">
        <v>87</v>
      </c>
      <c r="D675" t="str">
        <f t="array" ref="D675">TEXT(Table26[[#This Row],[Date]],"MMMM")</f>
        <v>August</v>
      </c>
      <c r="E675">
        <v>500</v>
      </c>
      <c r="F675" t="s">
        <v>589</v>
      </c>
      <c r="G675" t="s">
        <v>1362</v>
      </c>
      <c r="H675" s="38">
        <v>46259</v>
      </c>
      <c r="I675" cm="1">
        <f t="array" ref="I675">IFERROR(INDEX('ALL STUDENTS'!$A:$A, MATCH(1, ('ALL STUDENTS'!$B:$B = B675) * ('ALL STUDENTS'!$C:$C = C675), 0)), "NOT FOUND")</f>
        <v>1590</v>
      </c>
      <c r="J675" t="str">
        <f>IF(Table26[[#This Row],[Fee]]&gt;500,Table26[[#This Row],[Fee]],"")</f>
        <v/>
      </c>
    </row>
    <row r="676" spans="1:10" hidden="1">
      <c r="A676">
        <v>675</v>
      </c>
      <c r="B676" t="s">
        <v>3436</v>
      </c>
      <c r="C676" t="s">
        <v>304</v>
      </c>
      <c r="D676" t="str">
        <f t="array" ref="D676">TEXT(Table26[[#This Row],[Date]],"MMMM")</f>
        <v>August</v>
      </c>
      <c r="E676">
        <v>500</v>
      </c>
      <c r="F676" t="s">
        <v>589</v>
      </c>
      <c r="G676" t="s">
        <v>1363</v>
      </c>
      <c r="H676" s="38">
        <v>46259</v>
      </c>
      <c r="I676" cm="1">
        <f t="array" ref="I676">IFERROR(INDEX('ALL STUDENTS'!$A:$A, MATCH(1, ('ALL STUDENTS'!$B:$B = B676) * ('ALL STUDENTS'!$C:$C = C676), 0)), "NOT FOUND")</f>
        <v>2387</v>
      </c>
      <c r="J676" t="str">
        <f>IF(Table26[[#This Row],[Fee]]&gt;500,Table26[[#This Row],[Fee]],"")</f>
        <v/>
      </c>
    </row>
    <row r="677" spans="1:10" hidden="1">
      <c r="A677">
        <v>676</v>
      </c>
      <c r="B677" t="s">
        <v>263</v>
      </c>
      <c r="C677" t="s">
        <v>252</v>
      </c>
      <c r="D677" t="str">
        <f t="array" ref="D677">TEXT(Table26[[#This Row],[Date]],"MMMM")</f>
        <v>August</v>
      </c>
      <c r="E677">
        <v>500</v>
      </c>
      <c r="F677" t="s">
        <v>589</v>
      </c>
      <c r="G677" t="s">
        <v>1364</v>
      </c>
      <c r="H677" s="38">
        <v>46259</v>
      </c>
      <c r="I677" cm="1">
        <f t="array" ref="I677">IFERROR(INDEX('ALL STUDENTS'!$A:$A, MATCH(1, ('ALL STUDENTS'!$B:$B = B677) * ('ALL STUDENTS'!$C:$C = C677), 0)), "NOT FOUND")</f>
        <v>2110</v>
      </c>
      <c r="J677" t="str">
        <f>IF(Table26[[#This Row],[Fee]]&gt;500,Table26[[#This Row],[Fee]],"")</f>
        <v/>
      </c>
    </row>
    <row r="678" spans="1:10" hidden="1">
      <c r="A678">
        <v>677</v>
      </c>
      <c r="B678" t="s">
        <v>263</v>
      </c>
      <c r="C678" t="s">
        <v>252</v>
      </c>
      <c r="D678" t="str">
        <f t="array" ref="D678">TEXT(Table26[[#This Row],[Date]],"MMMM")</f>
        <v>August</v>
      </c>
      <c r="E678">
        <v>500</v>
      </c>
      <c r="F678" t="s">
        <v>589</v>
      </c>
      <c r="G678" t="s">
        <v>1365</v>
      </c>
      <c r="H678" s="38">
        <v>46259</v>
      </c>
      <c r="I678" cm="1">
        <f t="array" ref="I678">IFERROR(INDEX('ALL STUDENTS'!$A:$A, MATCH(1, ('ALL STUDENTS'!$B:$B = B678) * ('ALL STUDENTS'!$C:$C = C678), 0)), "NOT FOUND")</f>
        <v>2110</v>
      </c>
      <c r="J678" t="str">
        <f>IF(Table26[[#This Row],[Fee]]&gt;500,Table26[[#This Row],[Fee]],"")</f>
        <v/>
      </c>
    </row>
    <row r="679" spans="1:10" hidden="1">
      <c r="A679">
        <v>678</v>
      </c>
      <c r="B679" t="s">
        <v>263</v>
      </c>
      <c r="C679" t="s">
        <v>252</v>
      </c>
      <c r="D679" t="str">
        <f t="array" ref="D679">TEXT(Table26[[#This Row],[Date]],"MMMM")</f>
        <v>August</v>
      </c>
      <c r="E679">
        <v>500</v>
      </c>
      <c r="F679" t="s">
        <v>589</v>
      </c>
      <c r="G679" t="s">
        <v>1366</v>
      </c>
      <c r="H679" s="38">
        <v>46259</v>
      </c>
      <c r="I679" cm="1">
        <f t="array" ref="I679">IFERROR(INDEX('ALL STUDENTS'!$A:$A, MATCH(1, ('ALL STUDENTS'!$B:$B = B679) * ('ALL STUDENTS'!$C:$C = C679), 0)), "NOT FOUND")</f>
        <v>2110</v>
      </c>
      <c r="J679" t="str">
        <f>IF(Table26[[#This Row],[Fee]]&gt;500,Table26[[#This Row],[Fee]],"")</f>
        <v/>
      </c>
    </row>
    <row r="680" spans="1:10" hidden="1">
      <c r="A680">
        <v>679</v>
      </c>
      <c r="B680" t="s">
        <v>349</v>
      </c>
      <c r="C680" t="s">
        <v>340</v>
      </c>
      <c r="D680" t="str">
        <f t="array" ref="D680">TEXT(Table26[[#This Row],[Date]],"MMMM")</f>
        <v>August</v>
      </c>
      <c r="E680">
        <v>500</v>
      </c>
      <c r="F680" t="s">
        <v>589</v>
      </c>
      <c r="G680" t="s">
        <v>1367</v>
      </c>
      <c r="H680" s="38">
        <v>46259</v>
      </c>
      <c r="I680" cm="1">
        <f t="array" ref="I680">IFERROR(INDEX('ALL STUDENTS'!$A:$A, MATCH(1, ('ALL STUDENTS'!$B:$B = B680) * ('ALL STUDENTS'!$C:$C = C680), 0)), "NOT FOUND")</f>
        <v>2525</v>
      </c>
      <c r="J680" t="str">
        <f>IF(Table26[[#This Row],[Fee]]&gt;500,Table26[[#This Row],[Fee]],"")</f>
        <v/>
      </c>
    </row>
    <row r="681" spans="1:10" hidden="1">
      <c r="A681">
        <v>680</v>
      </c>
      <c r="B681" t="s">
        <v>349</v>
      </c>
      <c r="C681" t="s">
        <v>340</v>
      </c>
      <c r="D681" t="str">
        <f t="array" ref="D681">TEXT(Table26[[#This Row],[Date]],"MMMM")</f>
        <v>August</v>
      </c>
      <c r="E681">
        <v>500</v>
      </c>
      <c r="F681" t="s">
        <v>589</v>
      </c>
      <c r="G681" t="s">
        <v>1368</v>
      </c>
      <c r="H681" s="38">
        <v>46259</v>
      </c>
      <c r="I681" cm="1">
        <f t="array" ref="I681">IFERROR(INDEX('ALL STUDENTS'!$A:$A, MATCH(1, ('ALL STUDENTS'!$B:$B = B681) * ('ALL STUDENTS'!$C:$C = C681), 0)), "NOT FOUND")</f>
        <v>2525</v>
      </c>
      <c r="J681" t="str">
        <f>IF(Table26[[#This Row],[Fee]]&gt;500,Table26[[#This Row],[Fee]],"")</f>
        <v/>
      </c>
    </row>
    <row r="682" spans="1:10" hidden="1">
      <c r="A682">
        <v>681</v>
      </c>
      <c r="B682" t="s">
        <v>349</v>
      </c>
      <c r="C682" t="s">
        <v>340</v>
      </c>
      <c r="D682" t="str">
        <f t="array" ref="D682">TEXT(Table26[[#This Row],[Date]],"MMMM")</f>
        <v>August</v>
      </c>
      <c r="E682">
        <v>500</v>
      </c>
      <c r="F682" t="s">
        <v>589</v>
      </c>
      <c r="G682" t="s">
        <v>1369</v>
      </c>
      <c r="H682" s="38">
        <v>46259</v>
      </c>
      <c r="I682" cm="1">
        <f t="array" ref="I682">IFERROR(INDEX('ALL STUDENTS'!$A:$A, MATCH(1, ('ALL STUDENTS'!$B:$B = B682) * ('ALL STUDENTS'!$C:$C = C682), 0)), "NOT FOUND")</f>
        <v>2525</v>
      </c>
      <c r="J682" t="str">
        <f>IF(Table26[[#This Row],[Fee]]&gt;500,Table26[[#This Row],[Fee]],"")</f>
        <v/>
      </c>
    </row>
    <row r="683" spans="1:10" hidden="1">
      <c r="A683">
        <v>682</v>
      </c>
      <c r="B683" t="s">
        <v>182</v>
      </c>
      <c r="C683" s="3" t="s">
        <v>175</v>
      </c>
      <c r="D683" t="str">
        <f t="array" ref="D683">TEXT(Table26[[#This Row],[Date]],"MMMM")</f>
        <v>August</v>
      </c>
      <c r="E683">
        <v>500</v>
      </c>
      <c r="F683" t="s">
        <v>589</v>
      </c>
      <c r="G683" t="s">
        <v>1370</v>
      </c>
      <c r="H683" s="38">
        <v>46259</v>
      </c>
      <c r="I683" cm="1">
        <f t="array" ref="I683">IFERROR(INDEX('ALL STUDENTS'!$A:$A, MATCH(1, ('ALL STUDENTS'!$B:$B = B683) * ('ALL STUDENTS'!$C:$C = C683), 0)), "NOT FOUND")</f>
        <v>1901</v>
      </c>
      <c r="J683" t="str">
        <f>IF(Table26[[#This Row],[Fee]]&gt;500,Table26[[#This Row],[Fee]],"")</f>
        <v/>
      </c>
    </row>
    <row r="684" spans="1:10" hidden="1">
      <c r="A684">
        <v>683</v>
      </c>
      <c r="B684" t="s">
        <v>521</v>
      </c>
      <c r="C684" t="s">
        <v>520</v>
      </c>
      <c r="D684" t="str">
        <f t="array" ref="D684">TEXT(Table26[[#This Row],[Date]],"MMMM")</f>
        <v>August</v>
      </c>
      <c r="E684">
        <v>500</v>
      </c>
      <c r="F684" t="s">
        <v>589</v>
      </c>
      <c r="G684" t="s">
        <v>1371</v>
      </c>
      <c r="H684" s="38">
        <v>46258</v>
      </c>
      <c r="I684" cm="1">
        <f t="array" ref="I684">IFERROR(INDEX('ALL STUDENTS'!$A:$A, MATCH(1, ('ALL STUDENTS'!$B:$B = B684) * ('ALL STUDENTS'!$C:$C = C684), 0)), "NOT FOUND")</f>
        <v>96</v>
      </c>
      <c r="J684" t="str">
        <f>IF(Table26[[#This Row],[Fee]]&gt;500,Table26[[#This Row],[Fee]],"")</f>
        <v/>
      </c>
    </row>
    <row r="685" spans="1:10" hidden="1">
      <c r="A685">
        <v>684</v>
      </c>
      <c r="B685" t="s">
        <v>521</v>
      </c>
      <c r="C685" t="s">
        <v>520</v>
      </c>
      <c r="D685" t="str">
        <f t="array" ref="D685">TEXT(Table26[[#This Row],[Date]],"MMMM")</f>
        <v>August</v>
      </c>
      <c r="E685">
        <v>500</v>
      </c>
      <c r="F685" t="s">
        <v>589</v>
      </c>
      <c r="G685" t="s">
        <v>1372</v>
      </c>
      <c r="H685" s="38">
        <v>46258</v>
      </c>
      <c r="I685" cm="1">
        <f t="array" ref="I685">IFERROR(INDEX('ALL STUDENTS'!$A:$A, MATCH(1, ('ALL STUDENTS'!$B:$B = B685) * ('ALL STUDENTS'!$C:$C = C685), 0)), "NOT FOUND")</f>
        <v>96</v>
      </c>
      <c r="J685" t="str">
        <f>IF(Table26[[#This Row],[Fee]]&gt;500,Table26[[#This Row],[Fee]],"")</f>
        <v/>
      </c>
    </row>
    <row r="686" spans="1:10">
      <c r="A686">
        <v>685</v>
      </c>
      <c r="B686" t="s">
        <v>244</v>
      </c>
      <c r="C686" t="s">
        <v>232</v>
      </c>
      <c r="D686" t="str">
        <f t="array" ref="D686">TEXT(Table26[[#This Row],[Date]],"MMMM")</f>
        <v>August</v>
      </c>
      <c r="E686">
        <v>500</v>
      </c>
      <c r="F686" t="s">
        <v>589</v>
      </c>
      <c r="G686" t="s">
        <v>1373</v>
      </c>
      <c r="H686" s="38">
        <v>46259</v>
      </c>
      <c r="I686" t="str" cm="1">
        <f t="array" ref="I686">IFERROR(INDEX('ALL STUDENTS'!$A:$A, MATCH(1, ('ALL STUDENTS'!$B:$B = B686) * ('ALL STUDENTS'!$C:$C = C686), 0)), "NOT FOUND")</f>
        <v>NOT FOUND</v>
      </c>
      <c r="J686" t="str">
        <f>IF(Table26[[#This Row],[Fee]]&gt;500,Table26[[#This Row],[Fee]],"")</f>
        <v/>
      </c>
    </row>
    <row r="687" spans="1:10" hidden="1">
      <c r="A687">
        <v>686</v>
      </c>
      <c r="B687" t="s">
        <v>46</v>
      </c>
      <c r="C687" t="s">
        <v>32</v>
      </c>
      <c r="D687" t="str">
        <f t="array" ref="D687">TEXT(Table26[[#This Row],[Date]],"MMMM")</f>
        <v>August</v>
      </c>
      <c r="E687">
        <v>500</v>
      </c>
      <c r="F687" t="s">
        <v>589</v>
      </c>
      <c r="G687" t="s">
        <v>1374</v>
      </c>
      <c r="H687" s="38">
        <v>46259</v>
      </c>
      <c r="I687" cm="1">
        <f t="array" ref="I687">IFERROR(INDEX('ALL STUDENTS'!$A:$A, MATCH(1, ('ALL STUDENTS'!$B:$B = B687) * ('ALL STUDENTS'!$C:$C = C687), 0)), "NOT FOUND")</f>
        <v>3090</v>
      </c>
      <c r="J687" t="str">
        <f>IF(Table26[[#This Row],[Fee]]&gt;500,Table26[[#This Row],[Fee]],"")</f>
        <v/>
      </c>
    </row>
    <row r="688" spans="1:10" hidden="1">
      <c r="A688">
        <v>687</v>
      </c>
      <c r="B688" t="s">
        <v>331</v>
      </c>
      <c r="C688" t="s">
        <v>324</v>
      </c>
      <c r="D688" t="str">
        <f t="array" ref="D688">TEXT(Table26[[#This Row],[Date]],"MMMM")</f>
        <v>August</v>
      </c>
      <c r="E688">
        <v>500</v>
      </c>
      <c r="F688" t="s">
        <v>589</v>
      </c>
      <c r="G688" t="s">
        <v>1375</v>
      </c>
      <c r="H688" s="38">
        <v>46258</v>
      </c>
      <c r="I688" cm="1">
        <f t="array" ref="I688">IFERROR(INDEX('ALL STUDENTS'!$A:$A, MATCH(1, ('ALL STUDENTS'!$B:$B = B688) * ('ALL STUDENTS'!$C:$C = C688), 0)), "NOT FOUND")</f>
        <v>2453</v>
      </c>
      <c r="J688" t="str">
        <f>IF(Table26[[#This Row],[Fee]]&gt;500,Table26[[#This Row],[Fee]],"")</f>
        <v/>
      </c>
    </row>
    <row r="689" spans="1:10" hidden="1">
      <c r="A689">
        <v>688</v>
      </c>
      <c r="B689" t="s">
        <v>331</v>
      </c>
      <c r="C689" t="s">
        <v>324</v>
      </c>
      <c r="D689" t="str">
        <f t="array" ref="D689">TEXT(Table26[[#This Row],[Date]],"MMMM")</f>
        <v>August</v>
      </c>
      <c r="E689">
        <v>500</v>
      </c>
      <c r="F689" t="s">
        <v>589</v>
      </c>
      <c r="G689" t="s">
        <v>1376</v>
      </c>
      <c r="H689" s="38">
        <v>46258</v>
      </c>
      <c r="I689" cm="1">
        <f t="array" ref="I689">IFERROR(INDEX('ALL STUDENTS'!$A:$A, MATCH(1, ('ALL STUDENTS'!$B:$B = B689) * ('ALL STUDENTS'!$C:$C = C689), 0)), "NOT FOUND")</f>
        <v>2453</v>
      </c>
      <c r="J689" t="str">
        <f>IF(Table26[[#This Row],[Fee]]&gt;500,Table26[[#This Row],[Fee]],"")</f>
        <v/>
      </c>
    </row>
    <row r="690" spans="1:10" hidden="1">
      <c r="A690">
        <v>689</v>
      </c>
      <c r="B690" t="s">
        <v>331</v>
      </c>
      <c r="C690" t="s">
        <v>324</v>
      </c>
      <c r="D690" t="str">
        <f t="array" ref="D690">TEXT(Table26[[#This Row],[Date]],"MMMM")</f>
        <v>August</v>
      </c>
      <c r="E690">
        <v>500</v>
      </c>
      <c r="F690" t="s">
        <v>589</v>
      </c>
      <c r="G690" t="s">
        <v>1377</v>
      </c>
      <c r="H690" s="38">
        <v>46258</v>
      </c>
      <c r="I690" cm="1">
        <f t="array" ref="I690">IFERROR(INDEX('ALL STUDENTS'!$A:$A, MATCH(1, ('ALL STUDENTS'!$B:$B = B690) * ('ALL STUDENTS'!$C:$C = C690), 0)), "NOT FOUND")</f>
        <v>2453</v>
      </c>
      <c r="J690" t="str">
        <f>IF(Table26[[#This Row],[Fee]]&gt;500,Table26[[#This Row],[Fee]],"")</f>
        <v/>
      </c>
    </row>
    <row r="691" spans="1:10">
      <c r="A691">
        <v>690</v>
      </c>
      <c r="B691" t="s">
        <v>245</v>
      </c>
      <c r="C691" t="s">
        <v>232</v>
      </c>
      <c r="D691" t="str">
        <f t="array" ref="D691">TEXT(Table26[[#This Row],[Date]],"MMMM")</f>
        <v>August</v>
      </c>
      <c r="E691">
        <v>500</v>
      </c>
      <c r="F691" t="s">
        <v>589</v>
      </c>
      <c r="G691" t="s">
        <v>1378</v>
      </c>
      <c r="H691" s="38">
        <v>46261</v>
      </c>
      <c r="I691" t="str" cm="1">
        <f t="array" ref="I691">IFERROR(INDEX('ALL STUDENTS'!$A:$A, MATCH(1, ('ALL STUDENTS'!$B:$B = B691) * ('ALL STUDENTS'!$C:$C = C691), 0)), "NOT FOUND")</f>
        <v>NOT FOUND</v>
      </c>
      <c r="J691" t="str">
        <f>IF(Table26[[#This Row],[Fee]]&gt;500,Table26[[#This Row],[Fee]],"")</f>
        <v/>
      </c>
    </row>
    <row r="692" spans="1:10" hidden="1">
      <c r="A692">
        <v>691</v>
      </c>
      <c r="B692" t="s">
        <v>339</v>
      </c>
      <c r="C692" t="s">
        <v>334</v>
      </c>
      <c r="D692" t="str">
        <f t="array" ref="D692">TEXT(Table26[[#This Row],[Date]],"MMMM")</f>
        <v>August</v>
      </c>
      <c r="E692">
        <v>500</v>
      </c>
      <c r="F692" t="s">
        <v>589</v>
      </c>
      <c r="G692" t="s">
        <v>1379</v>
      </c>
      <c r="H692" s="38">
        <v>46256</v>
      </c>
      <c r="I692" cm="1">
        <f t="array" ref="I692">IFERROR(INDEX('ALL STUDENTS'!$A:$A, MATCH(1, ('ALL STUDENTS'!$B:$B = B692) * ('ALL STUDENTS'!$C:$C = C692), 0)), "NOT FOUND")</f>
        <v>2479</v>
      </c>
      <c r="J692" t="str">
        <f>IF(Table26[[#This Row],[Fee]]&gt;500,Table26[[#This Row],[Fee]],"")</f>
        <v/>
      </c>
    </row>
    <row r="693" spans="1:10" hidden="1">
      <c r="A693">
        <v>692</v>
      </c>
      <c r="B693" t="s">
        <v>53</v>
      </c>
      <c r="C693" t="s">
        <v>51</v>
      </c>
      <c r="D693" t="str">
        <f t="array" ref="D693">TEXT(Table26[[#This Row],[Date]],"MMMM")</f>
        <v>August</v>
      </c>
      <c r="E693">
        <v>500</v>
      </c>
      <c r="F693" t="s">
        <v>589</v>
      </c>
      <c r="G693" t="s">
        <v>1380</v>
      </c>
      <c r="H693" s="38">
        <v>46261</v>
      </c>
      <c r="I693" cm="1">
        <f t="array" ref="I693">IFERROR(INDEX('ALL STUDENTS'!$A:$A, MATCH(1, ('ALL STUDENTS'!$B:$B = B693) * ('ALL STUDENTS'!$C:$C = C693), 0)), "NOT FOUND")</f>
        <v>3104</v>
      </c>
      <c r="J693" t="str">
        <f>IF(Table26[[#This Row],[Fee]]&gt;500,Table26[[#This Row],[Fee]],"")</f>
        <v/>
      </c>
    </row>
    <row r="694" spans="1:10" hidden="1">
      <c r="A694">
        <v>693</v>
      </c>
      <c r="B694" t="s">
        <v>53</v>
      </c>
      <c r="C694" t="s">
        <v>51</v>
      </c>
      <c r="D694" t="str">
        <f t="array" ref="D694">TEXT(Table26[[#This Row],[Date]],"MMMM")</f>
        <v>August</v>
      </c>
      <c r="E694">
        <v>500</v>
      </c>
      <c r="F694" t="s">
        <v>589</v>
      </c>
      <c r="G694" t="s">
        <v>1381</v>
      </c>
      <c r="H694" s="38">
        <v>46261</v>
      </c>
      <c r="I694" cm="1">
        <f t="array" ref="I694">IFERROR(INDEX('ALL STUDENTS'!$A:$A, MATCH(1, ('ALL STUDENTS'!$B:$B = B694) * ('ALL STUDENTS'!$C:$C = C694), 0)), "NOT FOUND")</f>
        <v>3104</v>
      </c>
      <c r="J694" t="str">
        <f>IF(Table26[[#This Row],[Fee]]&gt;500,Table26[[#This Row],[Fee]],"")</f>
        <v/>
      </c>
    </row>
    <row r="695" spans="1:10" hidden="1">
      <c r="A695">
        <v>694</v>
      </c>
      <c r="B695" t="s">
        <v>53</v>
      </c>
      <c r="C695" t="s">
        <v>51</v>
      </c>
      <c r="D695" t="str">
        <f t="array" ref="D695">TEXT(Table26[[#This Row],[Date]],"MMMM")</f>
        <v>August</v>
      </c>
      <c r="E695">
        <v>500</v>
      </c>
      <c r="F695" t="s">
        <v>589</v>
      </c>
      <c r="G695" t="s">
        <v>1382</v>
      </c>
      <c r="H695" s="38">
        <v>46261</v>
      </c>
      <c r="I695" cm="1">
        <f t="array" ref="I695">IFERROR(INDEX('ALL STUDENTS'!$A:$A, MATCH(1, ('ALL STUDENTS'!$B:$B = B695) * ('ALL STUDENTS'!$C:$C = C695), 0)), "NOT FOUND")</f>
        <v>3104</v>
      </c>
      <c r="J695" t="str">
        <f>IF(Table26[[#This Row],[Fee]]&gt;500,Table26[[#This Row],[Fee]],"")</f>
        <v/>
      </c>
    </row>
    <row r="696" spans="1:10" hidden="1">
      <c r="A696">
        <v>695</v>
      </c>
      <c r="B696" t="s">
        <v>203</v>
      </c>
      <c r="C696" t="s">
        <v>195</v>
      </c>
      <c r="D696" t="str">
        <f t="array" ref="D696">TEXT(Table26[[#This Row],[Date]],"MMMM")</f>
        <v>August</v>
      </c>
      <c r="E696">
        <v>500</v>
      </c>
      <c r="F696" t="s">
        <v>589</v>
      </c>
      <c r="G696" t="s">
        <v>1383</v>
      </c>
      <c r="H696" s="38">
        <v>46261</v>
      </c>
      <c r="I696" cm="1">
        <f t="array" ref="I696">IFERROR(INDEX('ALL STUDENTS'!$A:$A, MATCH(1, ('ALL STUDENTS'!$B:$B = B696) * ('ALL STUDENTS'!$C:$C = C696), 0)), "NOT FOUND")</f>
        <v>1943</v>
      </c>
      <c r="J696" t="str">
        <f>IF(Table26[[#This Row],[Fee]]&gt;500,Table26[[#This Row],[Fee]],"")</f>
        <v/>
      </c>
    </row>
    <row r="697" spans="1:10">
      <c r="A697">
        <v>696</v>
      </c>
      <c r="B697" t="s">
        <v>246</v>
      </c>
      <c r="C697" t="s">
        <v>232</v>
      </c>
      <c r="D697" t="str">
        <f t="array" ref="D697">TEXT(Table26[[#This Row],[Date]],"MMMM")</f>
        <v>August</v>
      </c>
      <c r="E697">
        <v>500</v>
      </c>
      <c r="F697" t="s">
        <v>589</v>
      </c>
      <c r="G697" t="s">
        <v>1384</v>
      </c>
      <c r="H697" s="38">
        <v>46261</v>
      </c>
      <c r="I697" t="str" cm="1">
        <f t="array" ref="I697">IFERROR(INDEX('ALL STUDENTS'!$A:$A, MATCH(1, ('ALL STUDENTS'!$B:$B = B697) * ('ALL STUDENTS'!$C:$C = C697), 0)), "NOT FOUND")</f>
        <v>NOT FOUND</v>
      </c>
      <c r="J697" t="str">
        <f>IF(Table26[[#This Row],[Fee]]&gt;500,Table26[[#This Row],[Fee]],"")</f>
        <v/>
      </c>
    </row>
    <row r="698" spans="1:10" hidden="1">
      <c r="A698">
        <v>697</v>
      </c>
      <c r="B698" t="s">
        <v>17</v>
      </c>
      <c r="C698" t="s">
        <v>4</v>
      </c>
      <c r="D698" t="str">
        <f t="array" ref="D698">TEXT(Table26[[#This Row],[Date]],"MMMM")</f>
        <v>August</v>
      </c>
      <c r="E698">
        <v>500</v>
      </c>
      <c r="F698" t="s">
        <v>589</v>
      </c>
      <c r="G698" t="s">
        <v>1385</v>
      </c>
      <c r="H698" s="38">
        <v>46261</v>
      </c>
      <c r="I698" cm="1">
        <f t="array" ref="I698">IFERROR(INDEX('ALL STUDENTS'!$A:$A, MATCH(1, ('ALL STUDENTS'!$B:$B = B698) * ('ALL STUDENTS'!$C:$C = C698), 0)), "NOT FOUND")</f>
        <v>3001</v>
      </c>
      <c r="J698" t="str">
        <f>IF(Table26[[#This Row],[Fee]]&gt;500,Table26[[#This Row],[Fee]],"")</f>
        <v/>
      </c>
    </row>
    <row r="699" spans="1:10" hidden="1">
      <c r="A699">
        <v>698</v>
      </c>
      <c r="B699" t="s">
        <v>17</v>
      </c>
      <c r="C699" t="s">
        <v>4</v>
      </c>
      <c r="D699" t="str">
        <f t="array" ref="D699">TEXT(Table26[[#This Row],[Date]],"MMMM")</f>
        <v>August</v>
      </c>
      <c r="E699">
        <v>500</v>
      </c>
      <c r="F699" t="s">
        <v>589</v>
      </c>
      <c r="G699" t="s">
        <v>1386</v>
      </c>
      <c r="H699" s="38">
        <v>46261</v>
      </c>
      <c r="I699" cm="1">
        <f t="array" ref="I699">IFERROR(INDEX('ALL STUDENTS'!$A:$A, MATCH(1, ('ALL STUDENTS'!$B:$B = B699) * ('ALL STUDENTS'!$C:$C = C699), 0)), "NOT FOUND")</f>
        <v>3001</v>
      </c>
      <c r="J699" t="str">
        <f>IF(Table26[[#This Row],[Fee]]&gt;500,Table26[[#This Row],[Fee]],"")</f>
        <v/>
      </c>
    </row>
    <row r="700" spans="1:10" hidden="1">
      <c r="A700">
        <v>699</v>
      </c>
      <c r="B700" t="s">
        <v>17</v>
      </c>
      <c r="C700" t="s">
        <v>4</v>
      </c>
      <c r="D700" t="str">
        <f t="array" ref="D700">TEXT(Table26[[#This Row],[Date]],"MMMM")</f>
        <v>August</v>
      </c>
      <c r="E700">
        <v>500</v>
      </c>
      <c r="F700" t="s">
        <v>589</v>
      </c>
      <c r="G700" t="s">
        <v>1387</v>
      </c>
      <c r="H700" s="38">
        <v>46261</v>
      </c>
      <c r="I700" cm="1">
        <f t="array" ref="I700">IFERROR(INDEX('ALL STUDENTS'!$A:$A, MATCH(1, ('ALL STUDENTS'!$B:$B = B700) * ('ALL STUDENTS'!$C:$C = C700), 0)), "NOT FOUND")</f>
        <v>3001</v>
      </c>
      <c r="J700" t="str">
        <f>IF(Table26[[#This Row],[Fee]]&gt;500,Table26[[#This Row],[Fee]],"")</f>
        <v/>
      </c>
    </row>
    <row r="701" spans="1:10" hidden="1">
      <c r="A701">
        <v>700</v>
      </c>
      <c r="B701" t="s">
        <v>312</v>
      </c>
      <c r="C701" t="s">
        <v>304</v>
      </c>
      <c r="D701" t="str">
        <f t="array" ref="D701">TEXT(Table26[[#This Row],[Date]],"MMMM")</f>
        <v>August</v>
      </c>
      <c r="E701">
        <v>500</v>
      </c>
      <c r="F701" t="s">
        <v>591</v>
      </c>
      <c r="G701" t="s">
        <v>1388</v>
      </c>
      <c r="H701" s="38">
        <v>46259</v>
      </c>
      <c r="I701" cm="1">
        <f t="array" ref="I701">IFERROR(INDEX('ALL STUDENTS'!$A:$A, MATCH(1, ('ALL STUDENTS'!$B:$B = B701) * ('ALL STUDENTS'!$C:$C = C701), 0)), "NOT FOUND")</f>
        <v>2384</v>
      </c>
      <c r="J701" t="str">
        <f>IF(Table26[[#This Row],[Fee]]&gt;500,Table26[[#This Row],[Fee]],"")</f>
        <v/>
      </c>
    </row>
    <row r="702" spans="1:10" hidden="1">
      <c r="A702">
        <v>701</v>
      </c>
      <c r="B702" t="s">
        <v>395</v>
      </c>
      <c r="C702" t="s">
        <v>386</v>
      </c>
      <c r="D702" t="str">
        <f t="array" ref="D702">TEXT(Table26[[#This Row],[Date]],"MMMM")</f>
        <v>August</v>
      </c>
      <c r="E702">
        <v>500</v>
      </c>
      <c r="F702" t="s">
        <v>589</v>
      </c>
      <c r="G702" t="s">
        <v>1389</v>
      </c>
      <c r="H702" s="38">
        <v>46263</v>
      </c>
      <c r="I702" cm="1">
        <f t="array" ref="I702">IFERROR(INDEX('ALL STUDENTS'!$A:$A, MATCH(1, ('ALL STUDENTS'!$B:$B = B702) * ('ALL STUDENTS'!$C:$C = C702), 0)), "NOT FOUND")</f>
        <v>869</v>
      </c>
      <c r="J702" t="str">
        <f>IF(Table26[[#This Row],[Fee]]&gt;500,Table26[[#This Row],[Fee]],"")</f>
        <v/>
      </c>
    </row>
    <row r="703" spans="1:10" hidden="1">
      <c r="A703">
        <v>702</v>
      </c>
      <c r="B703" t="s">
        <v>395</v>
      </c>
      <c r="C703" t="s">
        <v>386</v>
      </c>
      <c r="D703" t="str">
        <f t="array" ref="D703">TEXT(Table26[[#This Row],[Date]],"MMMM")</f>
        <v>August</v>
      </c>
      <c r="E703">
        <v>500</v>
      </c>
      <c r="F703" t="s">
        <v>589</v>
      </c>
      <c r="G703" t="s">
        <v>1390</v>
      </c>
      <c r="H703" s="38">
        <v>46263</v>
      </c>
      <c r="I703" cm="1">
        <f t="array" ref="I703">IFERROR(INDEX('ALL STUDENTS'!$A:$A, MATCH(1, ('ALL STUDENTS'!$B:$B = B703) * ('ALL STUDENTS'!$C:$C = C703), 0)), "NOT FOUND")</f>
        <v>869</v>
      </c>
      <c r="J703" t="str">
        <f>IF(Table26[[#This Row],[Fee]]&gt;500,Table26[[#This Row],[Fee]],"")</f>
        <v/>
      </c>
    </row>
    <row r="704" spans="1:10" hidden="1">
      <c r="A704">
        <v>703</v>
      </c>
      <c r="B704" t="s">
        <v>395</v>
      </c>
      <c r="C704" t="s">
        <v>386</v>
      </c>
      <c r="D704" t="str">
        <f t="array" ref="D704">TEXT(Table26[[#This Row],[Date]],"MMMM")</f>
        <v>August</v>
      </c>
      <c r="E704">
        <v>500</v>
      </c>
      <c r="F704" t="s">
        <v>589</v>
      </c>
      <c r="G704" t="s">
        <v>1391</v>
      </c>
      <c r="H704" s="38">
        <v>46263</v>
      </c>
      <c r="I704" cm="1">
        <f t="array" ref="I704">IFERROR(INDEX('ALL STUDENTS'!$A:$A, MATCH(1, ('ALL STUDENTS'!$B:$B = B704) * ('ALL STUDENTS'!$C:$C = C704), 0)), "NOT FOUND")</f>
        <v>869</v>
      </c>
      <c r="J704" t="str">
        <f>IF(Table26[[#This Row],[Fee]]&gt;500,Table26[[#This Row],[Fee]],"")</f>
        <v/>
      </c>
    </row>
    <row r="705" spans="1:10" hidden="1">
      <c r="A705">
        <v>704</v>
      </c>
      <c r="B705" t="s">
        <v>282</v>
      </c>
      <c r="C705" t="s">
        <v>273</v>
      </c>
      <c r="D705" t="str">
        <f t="array" ref="D705">TEXT(Table26[[#This Row],[Date]],"MMMM")</f>
        <v>August</v>
      </c>
      <c r="E705">
        <v>500</v>
      </c>
      <c r="F705" t="s">
        <v>589</v>
      </c>
      <c r="G705" t="s">
        <v>1392</v>
      </c>
      <c r="H705" s="38">
        <v>46263</v>
      </c>
      <c r="I705" cm="1">
        <f t="array" ref="I705">IFERROR(INDEX('ALL STUDENTS'!$A:$A, MATCH(1, ('ALL STUDENTS'!$B:$B = B705) * ('ALL STUDENTS'!$C:$C = C705), 0)), "NOT FOUND")</f>
        <v>2191</v>
      </c>
      <c r="J705" t="str">
        <f>IF(Table26[[#This Row],[Fee]]&gt;500,Table26[[#This Row],[Fee]],"")</f>
        <v/>
      </c>
    </row>
    <row r="706" spans="1:10" hidden="1">
      <c r="A706">
        <v>705</v>
      </c>
      <c r="B706" t="s">
        <v>282</v>
      </c>
      <c r="C706" t="s">
        <v>273</v>
      </c>
      <c r="D706" t="str">
        <f t="array" ref="D706">TEXT(Table26[[#This Row],[Date]],"MMMM")</f>
        <v>August</v>
      </c>
      <c r="E706">
        <v>500</v>
      </c>
      <c r="F706" t="s">
        <v>589</v>
      </c>
      <c r="G706" t="s">
        <v>1393</v>
      </c>
      <c r="H706" s="38">
        <v>46263</v>
      </c>
      <c r="I706" cm="1">
        <f t="array" ref="I706">IFERROR(INDEX('ALL STUDENTS'!$A:$A, MATCH(1, ('ALL STUDENTS'!$B:$B = B706) * ('ALL STUDENTS'!$C:$C = C706), 0)), "NOT FOUND")</f>
        <v>2191</v>
      </c>
      <c r="J706" t="str">
        <f>IF(Table26[[#This Row],[Fee]]&gt;500,Table26[[#This Row],[Fee]],"")</f>
        <v/>
      </c>
    </row>
    <row r="707" spans="1:10" hidden="1">
      <c r="A707">
        <v>706</v>
      </c>
      <c r="B707" t="s">
        <v>282</v>
      </c>
      <c r="C707" t="s">
        <v>273</v>
      </c>
      <c r="D707" t="str">
        <f t="array" ref="D707">TEXT(Table26[[#This Row],[Date]],"MMMM")</f>
        <v>August</v>
      </c>
      <c r="E707">
        <v>500</v>
      </c>
      <c r="F707" t="s">
        <v>589</v>
      </c>
      <c r="G707" t="s">
        <v>1394</v>
      </c>
      <c r="H707" s="38">
        <v>46263</v>
      </c>
      <c r="I707" cm="1">
        <f t="array" ref="I707">IFERROR(INDEX('ALL STUDENTS'!$A:$A, MATCH(1, ('ALL STUDENTS'!$B:$B = B707) * ('ALL STUDENTS'!$C:$C = C707), 0)), "NOT FOUND")</f>
        <v>2191</v>
      </c>
      <c r="J707" t="str">
        <f>IF(Table26[[#This Row],[Fee]]&gt;500,Table26[[#This Row],[Fee]],"")</f>
        <v/>
      </c>
    </row>
    <row r="708" spans="1:10" hidden="1">
      <c r="A708">
        <v>707</v>
      </c>
      <c r="B708" t="s">
        <v>461</v>
      </c>
      <c r="C708" t="s">
        <v>453</v>
      </c>
      <c r="D708" t="str">
        <f t="array" ref="D708">TEXT(Table26[[#This Row],[Date]],"MMMM")</f>
        <v>August</v>
      </c>
      <c r="E708">
        <v>500</v>
      </c>
      <c r="F708" t="s">
        <v>589</v>
      </c>
      <c r="G708" t="s">
        <v>1395</v>
      </c>
      <c r="H708" s="38">
        <v>46263</v>
      </c>
      <c r="I708" cm="1">
        <f t="array" ref="I708">IFERROR(INDEX('ALL STUDENTS'!$A:$A, MATCH(1, ('ALL STUDENTS'!$B:$B = B708) * ('ALL STUDENTS'!$C:$C = C708), 0)), "NOT FOUND")</f>
        <v>709</v>
      </c>
      <c r="J708" t="str">
        <f>IF(Table26[[#This Row],[Fee]]&gt;500,Table26[[#This Row],[Fee]],"")</f>
        <v/>
      </c>
    </row>
    <row r="709" spans="1:10" hidden="1">
      <c r="A709">
        <v>708</v>
      </c>
      <c r="B709" t="s">
        <v>461</v>
      </c>
      <c r="C709" t="s">
        <v>453</v>
      </c>
      <c r="D709" t="str">
        <f t="array" ref="D709">TEXT(Table26[[#This Row],[Date]],"MMMM")</f>
        <v>August</v>
      </c>
      <c r="E709">
        <v>500</v>
      </c>
      <c r="F709" t="s">
        <v>589</v>
      </c>
      <c r="G709" t="s">
        <v>1396</v>
      </c>
      <c r="H709" s="38">
        <v>46263</v>
      </c>
      <c r="I709" cm="1">
        <f t="array" ref="I709">IFERROR(INDEX('ALL STUDENTS'!$A:$A, MATCH(1, ('ALL STUDENTS'!$B:$B = B709) * ('ALL STUDENTS'!$C:$C = C709), 0)), "NOT FOUND")</f>
        <v>709</v>
      </c>
      <c r="J709" t="str">
        <f>IF(Table26[[#This Row],[Fee]]&gt;500,Table26[[#This Row],[Fee]],"")</f>
        <v/>
      </c>
    </row>
    <row r="710" spans="1:10" hidden="1">
      <c r="A710">
        <v>709</v>
      </c>
      <c r="B710" t="s">
        <v>461</v>
      </c>
      <c r="C710" t="s">
        <v>453</v>
      </c>
      <c r="D710" t="str">
        <f t="array" ref="D710">TEXT(Table26[[#This Row],[Date]],"MMMM")</f>
        <v>August</v>
      </c>
      <c r="E710">
        <v>500</v>
      </c>
      <c r="F710" t="s">
        <v>589</v>
      </c>
      <c r="G710" t="s">
        <v>1397</v>
      </c>
      <c r="H710" s="38">
        <v>46263</v>
      </c>
      <c r="I710" cm="1">
        <f t="array" ref="I710">IFERROR(INDEX('ALL STUDENTS'!$A:$A, MATCH(1, ('ALL STUDENTS'!$B:$B = B710) * ('ALL STUDENTS'!$C:$C = C710), 0)), "NOT FOUND")</f>
        <v>709</v>
      </c>
      <c r="J710" t="str">
        <f>IF(Table26[[#This Row],[Fee]]&gt;500,Table26[[#This Row],[Fee]],"")</f>
        <v/>
      </c>
    </row>
    <row r="711" spans="1:10" hidden="1">
      <c r="A711">
        <v>710</v>
      </c>
      <c r="B711" t="s">
        <v>194</v>
      </c>
      <c r="C711" t="s">
        <v>185</v>
      </c>
      <c r="D711" t="str">
        <f t="array" ref="D711">TEXT(Table26[[#This Row],[Date]],"MMMM")</f>
        <v>August</v>
      </c>
      <c r="E711">
        <v>500</v>
      </c>
      <c r="F711" t="s">
        <v>589</v>
      </c>
      <c r="G711" t="s">
        <v>1398</v>
      </c>
      <c r="H711" s="38">
        <v>46265</v>
      </c>
      <c r="I711" cm="1">
        <f t="array" ref="I711">IFERROR(INDEX('ALL STUDENTS'!$A:$A, MATCH(1, ('ALL STUDENTS'!$B:$B = B711) * ('ALL STUDENTS'!$C:$C = C711), 0)), "NOT FOUND")</f>
        <v>1817</v>
      </c>
      <c r="J711" t="str">
        <f>IF(Table26[[#This Row],[Fee]]&gt;500,Table26[[#This Row],[Fee]],"")</f>
        <v/>
      </c>
    </row>
    <row r="712" spans="1:10">
      <c r="A712">
        <v>711</v>
      </c>
      <c r="B712" t="s">
        <v>247</v>
      </c>
      <c r="C712" t="s">
        <v>232</v>
      </c>
      <c r="D712" t="str">
        <f t="array" ref="D712">TEXT(Table26[[#This Row],[Date]],"MMMM")</f>
        <v>September</v>
      </c>
      <c r="E712">
        <v>500</v>
      </c>
      <c r="F712" t="s">
        <v>589</v>
      </c>
      <c r="G712" t="s">
        <v>1399</v>
      </c>
      <c r="H712" s="38">
        <v>46266</v>
      </c>
      <c r="I712" t="str" cm="1">
        <f t="array" ref="I712">IFERROR(INDEX('ALL STUDENTS'!$A:$A, MATCH(1, ('ALL STUDENTS'!$B:$B = B712) * ('ALL STUDENTS'!$C:$C = C712), 0)), "NOT FOUND")</f>
        <v>NOT FOUND</v>
      </c>
      <c r="J712" t="str">
        <f>IF(Table26[[#This Row],[Fee]]&gt;500,Table26[[#This Row],[Fee]],"")</f>
        <v/>
      </c>
    </row>
    <row r="713" spans="1:10" hidden="1">
      <c r="A713">
        <v>712</v>
      </c>
      <c r="B713" t="s">
        <v>508</v>
      </c>
      <c r="C713" t="s">
        <v>504</v>
      </c>
      <c r="D713" t="str">
        <f t="array" ref="D713">TEXT(Table26[[#This Row],[Date]],"MMMM")</f>
        <v>August</v>
      </c>
      <c r="E713">
        <v>500</v>
      </c>
      <c r="F713" t="s">
        <v>589</v>
      </c>
      <c r="G713" t="s">
        <v>1400</v>
      </c>
      <c r="H713" s="38">
        <v>46265</v>
      </c>
      <c r="I713" cm="1">
        <f t="array" ref="I713">IFERROR(INDEX('ALL STUDENTS'!$A:$A, MATCH(1, ('ALL STUDENTS'!$B:$B = B713) * ('ALL STUDENTS'!$C:$C = C713), 0)), "NOT FOUND")</f>
        <v>450</v>
      </c>
      <c r="J713" t="str">
        <f>IF(Table26[[#This Row],[Fee]]&gt;500,Table26[[#This Row],[Fee]],"")</f>
        <v/>
      </c>
    </row>
    <row r="714" spans="1:10" hidden="1">
      <c r="A714">
        <v>713</v>
      </c>
      <c r="B714" t="s">
        <v>54</v>
      </c>
      <c r="C714" t="s">
        <v>51</v>
      </c>
      <c r="D714" t="str">
        <f t="array" ref="D714">TEXT(Table26[[#This Row],[Date]],"MMMM")</f>
        <v>August</v>
      </c>
      <c r="E714">
        <v>500</v>
      </c>
      <c r="F714" t="s">
        <v>589</v>
      </c>
      <c r="G714" t="s">
        <v>1401</v>
      </c>
      <c r="H714" s="38">
        <v>46265</v>
      </c>
      <c r="I714" cm="1">
        <f t="array" ref="I714">IFERROR(INDEX('ALL STUDENTS'!$A:$A, MATCH(1, ('ALL STUDENTS'!$B:$B = B714) * ('ALL STUDENTS'!$C:$C = C714), 0)), "NOT FOUND")</f>
        <v>3108</v>
      </c>
      <c r="J714" t="str">
        <f>IF(Table26[[#This Row],[Fee]]&gt;500,Table26[[#This Row],[Fee]],"")</f>
        <v/>
      </c>
    </row>
    <row r="715" spans="1:10" hidden="1">
      <c r="A715">
        <v>714</v>
      </c>
      <c r="B715" t="s">
        <v>54</v>
      </c>
      <c r="C715" t="s">
        <v>51</v>
      </c>
      <c r="D715" t="str">
        <f t="array" ref="D715">TEXT(Table26[[#This Row],[Date]],"MMMM")</f>
        <v>August</v>
      </c>
      <c r="E715">
        <v>500</v>
      </c>
      <c r="F715" t="s">
        <v>589</v>
      </c>
      <c r="G715" t="s">
        <v>1402</v>
      </c>
      <c r="H715" s="38">
        <v>46265</v>
      </c>
      <c r="I715" cm="1">
        <f t="array" ref="I715">IFERROR(INDEX('ALL STUDENTS'!$A:$A, MATCH(1, ('ALL STUDENTS'!$B:$B = B715) * ('ALL STUDENTS'!$C:$C = C715), 0)), "NOT FOUND")</f>
        <v>3108</v>
      </c>
      <c r="J715" t="str">
        <f>IF(Table26[[#This Row],[Fee]]&gt;500,Table26[[#This Row],[Fee]],"")</f>
        <v/>
      </c>
    </row>
    <row r="716" spans="1:10" hidden="1">
      <c r="A716">
        <v>715</v>
      </c>
      <c r="B716" t="s">
        <v>321</v>
      </c>
      <c r="C716" t="s">
        <v>320</v>
      </c>
      <c r="D716" t="str">
        <f t="array" ref="D716">TEXT(Table26[[#This Row],[Date]],"MMMM")</f>
        <v>August</v>
      </c>
      <c r="E716">
        <v>500</v>
      </c>
      <c r="F716" t="s">
        <v>589</v>
      </c>
      <c r="G716" t="s">
        <v>1403</v>
      </c>
      <c r="H716" s="38">
        <v>46265</v>
      </c>
      <c r="I716" cm="1">
        <f t="array" ref="I716">IFERROR(INDEX('ALL STUDENTS'!$A:$A, MATCH(1, ('ALL STUDENTS'!$B:$B = B716) * ('ALL STUDENTS'!$C:$C = C716), 0)), "NOT FOUND")</f>
        <v>2399</v>
      </c>
      <c r="J716" t="str">
        <f>IF(Table26[[#This Row],[Fee]]&gt;500,Table26[[#This Row],[Fee]],"")</f>
        <v/>
      </c>
    </row>
    <row r="717" spans="1:10" hidden="1">
      <c r="A717">
        <v>716</v>
      </c>
      <c r="B717" t="s">
        <v>321</v>
      </c>
      <c r="C717" t="s">
        <v>320</v>
      </c>
      <c r="D717" t="str">
        <f t="array" ref="D717">TEXT(Table26[[#This Row],[Date]],"MMMM")</f>
        <v>August</v>
      </c>
      <c r="E717">
        <v>500</v>
      </c>
      <c r="F717" t="s">
        <v>589</v>
      </c>
      <c r="G717" t="s">
        <v>1404</v>
      </c>
      <c r="H717" s="38">
        <v>46265</v>
      </c>
      <c r="I717" cm="1">
        <f t="array" ref="I717">IFERROR(INDEX('ALL STUDENTS'!$A:$A, MATCH(1, ('ALL STUDENTS'!$B:$B = B717) * ('ALL STUDENTS'!$C:$C = C717), 0)), "NOT FOUND")</f>
        <v>2399</v>
      </c>
      <c r="J717" t="str">
        <f>IF(Table26[[#This Row],[Fee]]&gt;500,Table26[[#This Row],[Fee]],"")</f>
        <v/>
      </c>
    </row>
    <row r="718" spans="1:10" hidden="1">
      <c r="A718">
        <v>717</v>
      </c>
      <c r="B718" t="s">
        <v>321</v>
      </c>
      <c r="C718" t="s">
        <v>320</v>
      </c>
      <c r="D718" t="str">
        <f t="array" ref="D718">TEXT(Table26[[#This Row],[Date]],"MMMM")</f>
        <v>August</v>
      </c>
      <c r="E718">
        <v>500</v>
      </c>
      <c r="F718" t="s">
        <v>589</v>
      </c>
      <c r="G718" t="s">
        <v>1405</v>
      </c>
      <c r="H718" s="38">
        <v>46265</v>
      </c>
      <c r="I718" cm="1">
        <f t="array" ref="I718">IFERROR(INDEX('ALL STUDENTS'!$A:$A, MATCH(1, ('ALL STUDENTS'!$B:$B = B718) * ('ALL STUDENTS'!$C:$C = C718), 0)), "NOT FOUND")</f>
        <v>2399</v>
      </c>
      <c r="J718" t="str">
        <f>IF(Table26[[#This Row],[Fee]]&gt;500,Table26[[#This Row],[Fee]],"")</f>
        <v/>
      </c>
    </row>
    <row r="719" spans="1:10" hidden="1">
      <c r="A719">
        <v>718</v>
      </c>
      <c r="B719" t="s">
        <v>420</v>
      </c>
      <c r="C719" t="s">
        <v>415</v>
      </c>
      <c r="D719" t="str">
        <f t="array" ref="D719">TEXT(Table26[[#This Row],[Date]],"MMMM")</f>
        <v>August</v>
      </c>
      <c r="E719">
        <v>500</v>
      </c>
      <c r="F719" t="s">
        <v>589</v>
      </c>
      <c r="G719" t="s">
        <v>1406</v>
      </c>
      <c r="H719" s="38">
        <v>46265</v>
      </c>
      <c r="I719" cm="1">
        <f t="array" ref="I719">IFERROR(INDEX('ALL STUDENTS'!$A:$A, MATCH(1, ('ALL STUDENTS'!$B:$B = B719) * ('ALL STUDENTS'!$C:$C = C719), 0)), "NOT FOUND")</f>
        <v>998</v>
      </c>
      <c r="J719" t="str">
        <f>IF(Table26[[#This Row],[Fee]]&gt;500,Table26[[#This Row],[Fee]],"")</f>
        <v/>
      </c>
    </row>
    <row r="720" spans="1:10" hidden="1">
      <c r="A720">
        <v>719</v>
      </c>
      <c r="B720" t="s">
        <v>204</v>
      </c>
      <c r="C720" t="s">
        <v>195</v>
      </c>
      <c r="D720" t="str">
        <f t="array" ref="D720">TEXT(Table26[[#This Row],[Date]],"MMMM")</f>
        <v>August</v>
      </c>
      <c r="E720">
        <v>500</v>
      </c>
      <c r="F720" t="s">
        <v>589</v>
      </c>
      <c r="G720" t="s">
        <v>1407</v>
      </c>
      <c r="H720" s="38">
        <v>46265</v>
      </c>
      <c r="I720" cm="1">
        <f t="array" ref="I720">IFERROR(INDEX('ALL STUDENTS'!$A:$A, MATCH(1, ('ALL STUDENTS'!$B:$B = B720) * ('ALL STUDENTS'!$C:$C = C720), 0)), "NOT FOUND")</f>
        <v>1912</v>
      </c>
      <c r="J720" t="str">
        <f>IF(Table26[[#This Row],[Fee]]&gt;500,Table26[[#This Row],[Fee]],"")</f>
        <v/>
      </c>
    </row>
    <row r="721" spans="1:10" hidden="1">
      <c r="A721">
        <v>720</v>
      </c>
      <c r="B721" t="s">
        <v>55</v>
      </c>
      <c r="C721" t="s">
        <v>51</v>
      </c>
      <c r="D721" t="str">
        <f t="array" ref="D721">TEXT(Table26[[#This Row],[Date]],"MMMM")</f>
        <v>August</v>
      </c>
      <c r="E721">
        <v>500</v>
      </c>
      <c r="F721" t="s">
        <v>589</v>
      </c>
      <c r="G721" t="s">
        <v>1408</v>
      </c>
      <c r="H721" s="38">
        <v>46265</v>
      </c>
      <c r="I721" cm="1">
        <f t="array" ref="I721">IFERROR(INDEX('ALL STUDENTS'!$A:$A, MATCH(1, ('ALL STUDENTS'!$B:$B = B721) * ('ALL STUDENTS'!$C:$C = C721), 0)), "NOT FOUND")</f>
        <v>3098</v>
      </c>
      <c r="J721" t="str">
        <f>IF(Table26[[#This Row],[Fee]]&gt;500,Table26[[#This Row],[Fee]],"")</f>
        <v/>
      </c>
    </row>
    <row r="722" spans="1:10" hidden="1">
      <c r="A722">
        <v>721</v>
      </c>
      <c r="B722" t="s">
        <v>576</v>
      </c>
      <c r="C722" t="s">
        <v>574</v>
      </c>
      <c r="D722" t="str">
        <f t="array" ref="D722">TEXT(Table26[[#This Row],[Date]],"MMMM")</f>
        <v>August</v>
      </c>
      <c r="E722">
        <v>500</v>
      </c>
      <c r="F722" t="s">
        <v>589</v>
      </c>
      <c r="G722" t="s">
        <v>1409</v>
      </c>
      <c r="H722" s="38">
        <v>46265</v>
      </c>
      <c r="I722" cm="1">
        <f t="array" ref="I722">IFERROR(INDEX('ALL STUDENTS'!$A:$A, MATCH(1, ('ALL STUDENTS'!$B:$B = B722) * ('ALL STUDENTS'!$C:$C = C722), 0)), "NOT FOUND")</f>
        <v>1333</v>
      </c>
      <c r="J722" t="str">
        <f>IF(Table26[[#This Row],[Fee]]&gt;500,Table26[[#This Row],[Fee]],"")</f>
        <v/>
      </c>
    </row>
    <row r="723" spans="1:10" hidden="1">
      <c r="A723">
        <v>722</v>
      </c>
      <c r="B723" t="s">
        <v>576</v>
      </c>
      <c r="C723" t="s">
        <v>574</v>
      </c>
      <c r="D723" t="str">
        <f t="array" ref="D723">TEXT(Table26[[#This Row],[Date]],"MMMM")</f>
        <v>August</v>
      </c>
      <c r="E723">
        <v>500</v>
      </c>
      <c r="F723" t="s">
        <v>589</v>
      </c>
      <c r="G723" t="s">
        <v>1410</v>
      </c>
      <c r="H723" s="38">
        <v>46265</v>
      </c>
      <c r="I723" cm="1">
        <f t="array" ref="I723">IFERROR(INDEX('ALL STUDENTS'!$A:$A, MATCH(1, ('ALL STUDENTS'!$B:$B = B723) * ('ALL STUDENTS'!$C:$C = C723), 0)), "NOT FOUND")</f>
        <v>1333</v>
      </c>
      <c r="J723" t="str">
        <f>IF(Table26[[#This Row],[Fee]]&gt;500,Table26[[#This Row],[Fee]],"")</f>
        <v/>
      </c>
    </row>
    <row r="724" spans="1:10" hidden="1">
      <c r="A724">
        <v>723</v>
      </c>
      <c r="B724" t="s">
        <v>84</v>
      </c>
      <c r="C724" t="s">
        <v>80</v>
      </c>
      <c r="D724" t="str">
        <f t="array" ref="D724">TEXT(Table26[[#This Row],[Date]],"MMMM")</f>
        <v>August</v>
      </c>
      <c r="E724">
        <v>500</v>
      </c>
      <c r="F724" t="s">
        <v>589</v>
      </c>
      <c r="G724" t="s">
        <v>1411</v>
      </c>
      <c r="H724" s="38">
        <v>46265</v>
      </c>
      <c r="I724" cm="1">
        <f t="array" ref="I724">IFERROR(INDEX('ALL STUDENTS'!$A:$A, MATCH(1, ('ALL STUDENTS'!$B:$B = B724) * ('ALL STUDENTS'!$C:$C = C724), 0)), "NOT FOUND")</f>
        <v>2666</v>
      </c>
      <c r="J724" t="str">
        <f>IF(Table26[[#This Row],[Fee]]&gt;500,Table26[[#This Row],[Fee]],"")</f>
        <v/>
      </c>
    </row>
    <row r="725" spans="1:10" hidden="1">
      <c r="A725">
        <v>724</v>
      </c>
      <c r="B725" t="s">
        <v>84</v>
      </c>
      <c r="C725" t="s">
        <v>80</v>
      </c>
      <c r="D725" t="str">
        <f t="array" ref="D725">TEXT(Table26[[#This Row],[Date]],"MMMM")</f>
        <v>August</v>
      </c>
      <c r="E725">
        <v>500</v>
      </c>
      <c r="F725" t="s">
        <v>589</v>
      </c>
      <c r="G725" t="s">
        <v>1412</v>
      </c>
      <c r="H725" s="38">
        <v>46265</v>
      </c>
      <c r="I725" cm="1">
        <f t="array" ref="I725">IFERROR(INDEX('ALL STUDENTS'!$A:$A, MATCH(1, ('ALL STUDENTS'!$B:$B = B725) * ('ALL STUDENTS'!$C:$C = C725), 0)), "NOT FOUND")</f>
        <v>2666</v>
      </c>
      <c r="J725" t="str">
        <f>IF(Table26[[#This Row],[Fee]]&gt;500,Table26[[#This Row],[Fee]],"")</f>
        <v/>
      </c>
    </row>
    <row r="726" spans="1:10" hidden="1">
      <c r="A726">
        <v>725</v>
      </c>
      <c r="B726" t="s">
        <v>84</v>
      </c>
      <c r="C726" t="s">
        <v>80</v>
      </c>
      <c r="D726" t="str">
        <f t="array" ref="D726">TEXT(Table26[[#This Row],[Date]],"MMMM")</f>
        <v>August</v>
      </c>
      <c r="E726">
        <v>500</v>
      </c>
      <c r="F726" t="s">
        <v>589</v>
      </c>
      <c r="G726" t="s">
        <v>1413</v>
      </c>
      <c r="H726" s="38">
        <v>46265</v>
      </c>
      <c r="I726" cm="1">
        <f t="array" ref="I726">IFERROR(INDEX('ALL STUDENTS'!$A:$A, MATCH(1, ('ALL STUDENTS'!$B:$B = B726) * ('ALL STUDENTS'!$C:$C = C726), 0)), "NOT FOUND")</f>
        <v>2666</v>
      </c>
      <c r="J726" t="str">
        <f>IF(Table26[[#This Row],[Fee]]&gt;500,Table26[[#This Row],[Fee]],"")</f>
        <v/>
      </c>
    </row>
    <row r="727" spans="1:10" hidden="1">
      <c r="A727">
        <v>726</v>
      </c>
      <c r="B727" t="s">
        <v>492</v>
      </c>
      <c r="C727" t="s">
        <v>488</v>
      </c>
      <c r="D727" t="str">
        <f t="array" ref="D727">TEXT(Table26[[#This Row],[Date]],"MMMM")</f>
        <v>August</v>
      </c>
      <c r="E727">
        <v>500</v>
      </c>
      <c r="F727" t="s">
        <v>589</v>
      </c>
      <c r="G727" t="s">
        <v>1414</v>
      </c>
      <c r="H727" s="38">
        <v>46264</v>
      </c>
      <c r="I727" cm="1">
        <f t="array" ref="I727">IFERROR(INDEX('ALL STUDENTS'!$A:$A, MATCH(1, ('ALL STUDENTS'!$B:$B = B727) * ('ALL STUDENTS'!$C:$C = C727), 0)), "NOT FOUND")</f>
        <v>332</v>
      </c>
      <c r="J727" t="str">
        <f>IF(Table26[[#This Row],[Fee]]&gt;500,Table26[[#This Row],[Fee]],"")</f>
        <v/>
      </c>
    </row>
    <row r="728" spans="1:10" hidden="1">
      <c r="A728">
        <v>727</v>
      </c>
      <c r="B728" t="s">
        <v>248</v>
      </c>
      <c r="C728" t="s">
        <v>232</v>
      </c>
      <c r="D728" t="str">
        <f t="array" ref="D728">TEXT(Table26[[#This Row],[Date]],"MMMM")</f>
        <v>August</v>
      </c>
      <c r="E728">
        <v>500</v>
      </c>
      <c r="F728" t="s">
        <v>589</v>
      </c>
      <c r="G728" t="s">
        <v>1415</v>
      </c>
      <c r="H728" s="38">
        <v>46251</v>
      </c>
      <c r="I728" cm="1">
        <f t="array" ref="I728">IFERROR(INDEX('ALL STUDENTS'!$A:$A, MATCH(1, ('ALL STUDENTS'!$B:$B = B728) * ('ALL STUDENTS'!$C:$C = C728), 0)), "NOT FOUND")</f>
        <v>2082</v>
      </c>
      <c r="J728" t="str">
        <f>IF(Table26[[#This Row],[Fee]]&gt;500,Table26[[#This Row],[Fee]],"")</f>
        <v/>
      </c>
    </row>
    <row r="729" spans="1:10" hidden="1">
      <c r="A729">
        <v>728</v>
      </c>
      <c r="B729" t="s">
        <v>248</v>
      </c>
      <c r="C729" t="s">
        <v>232</v>
      </c>
      <c r="D729" t="str">
        <f t="array" ref="D729">TEXT(Table26[[#This Row],[Date]],"MMMM")</f>
        <v>August</v>
      </c>
      <c r="E729">
        <v>500</v>
      </c>
      <c r="F729" t="s">
        <v>589</v>
      </c>
      <c r="G729" t="s">
        <v>1416</v>
      </c>
      <c r="H729" s="38">
        <v>46251</v>
      </c>
      <c r="I729" cm="1">
        <f t="array" ref="I729">IFERROR(INDEX('ALL STUDENTS'!$A:$A, MATCH(1, ('ALL STUDENTS'!$B:$B = B729) * ('ALL STUDENTS'!$C:$C = C729), 0)), "NOT FOUND")</f>
        <v>2082</v>
      </c>
      <c r="J729" t="str">
        <f>IF(Table26[[#This Row],[Fee]]&gt;500,Table26[[#This Row],[Fee]],"")</f>
        <v/>
      </c>
    </row>
    <row r="730" spans="1:10" hidden="1">
      <c r="A730">
        <v>729</v>
      </c>
      <c r="B730" t="s">
        <v>248</v>
      </c>
      <c r="C730" t="s">
        <v>232</v>
      </c>
      <c r="D730" t="str">
        <f t="array" ref="D730">TEXT(Table26[[#This Row],[Date]],"MMMM")</f>
        <v>August</v>
      </c>
      <c r="E730">
        <v>500</v>
      </c>
      <c r="F730" t="s">
        <v>589</v>
      </c>
      <c r="G730" t="s">
        <v>1417</v>
      </c>
      <c r="H730" s="38">
        <v>46251</v>
      </c>
      <c r="I730" cm="1">
        <f t="array" ref="I730">IFERROR(INDEX('ALL STUDENTS'!$A:$A, MATCH(1, ('ALL STUDENTS'!$B:$B = B730) * ('ALL STUDENTS'!$C:$C = C730), 0)), "NOT FOUND")</f>
        <v>2082</v>
      </c>
      <c r="J730" t="str">
        <f>IF(Table26[[#This Row],[Fee]]&gt;500,Table26[[#This Row],[Fee]],"")</f>
        <v/>
      </c>
    </row>
    <row r="731" spans="1:10">
      <c r="A731">
        <v>730</v>
      </c>
      <c r="B731" t="s">
        <v>313</v>
      </c>
      <c r="C731" t="s">
        <v>304</v>
      </c>
      <c r="D731" t="str">
        <f t="array" ref="D731">TEXT(Table26[[#This Row],[Date]],"MMMM")</f>
        <v>September</v>
      </c>
      <c r="E731">
        <v>500</v>
      </c>
      <c r="F731" t="s">
        <v>589</v>
      </c>
      <c r="G731" t="s">
        <v>1418</v>
      </c>
      <c r="H731" s="38">
        <v>46266</v>
      </c>
      <c r="I731" t="str" cm="1">
        <f t="array" ref="I731">IFERROR(INDEX('ALL STUDENTS'!$A:$A, MATCH(1, ('ALL STUDENTS'!$B:$B = B731) * ('ALL STUDENTS'!$C:$C = C731), 0)), "NOT FOUND")</f>
        <v>NOT FOUND</v>
      </c>
      <c r="J731" t="str">
        <f>IF(Table26[[#This Row],[Fee]]&gt;500,Table26[[#This Row],[Fee]],"")</f>
        <v/>
      </c>
    </row>
    <row r="732" spans="1:10">
      <c r="A732">
        <v>731</v>
      </c>
      <c r="B732" t="s">
        <v>313</v>
      </c>
      <c r="C732" t="s">
        <v>304</v>
      </c>
      <c r="D732" t="str">
        <f t="array" ref="D732">TEXT(Table26[[#This Row],[Date]],"MMMM")</f>
        <v>September</v>
      </c>
      <c r="E732">
        <v>500</v>
      </c>
      <c r="F732" t="s">
        <v>589</v>
      </c>
      <c r="G732" t="s">
        <v>1419</v>
      </c>
      <c r="H732" s="38">
        <v>46266</v>
      </c>
      <c r="I732" t="str" cm="1">
        <f t="array" ref="I732">IFERROR(INDEX('ALL STUDENTS'!$A:$A, MATCH(1, ('ALL STUDENTS'!$B:$B = B732) * ('ALL STUDENTS'!$C:$C = C732), 0)), "NOT FOUND")</f>
        <v>NOT FOUND</v>
      </c>
      <c r="J732" t="str">
        <f>IF(Table26[[#This Row],[Fee]]&gt;500,Table26[[#This Row],[Fee]],"")</f>
        <v/>
      </c>
    </row>
    <row r="733" spans="1:10" hidden="1">
      <c r="A733">
        <v>732</v>
      </c>
      <c r="B733" t="s">
        <v>231</v>
      </c>
      <c r="C733" t="s">
        <v>227</v>
      </c>
      <c r="D733" t="str">
        <f t="array" ref="D733">TEXT(Table26[[#This Row],[Date]],"MMMM")</f>
        <v>August</v>
      </c>
      <c r="E733">
        <v>500</v>
      </c>
      <c r="F733" t="s">
        <v>589</v>
      </c>
      <c r="G733" t="s">
        <v>1420</v>
      </c>
      <c r="H733" s="38">
        <v>46265</v>
      </c>
      <c r="I733" cm="1">
        <f t="array" ref="I733">IFERROR(INDEX('ALL STUDENTS'!$A:$A, MATCH(1, ('ALL STUDENTS'!$B:$B = B733) * ('ALL STUDENTS'!$C:$C = C733), 0)), "NOT FOUND")</f>
        <v>2048</v>
      </c>
      <c r="J733" t="str">
        <f>IF(Table26[[#This Row],[Fee]]&gt;500,Table26[[#This Row],[Fee]],"")</f>
        <v/>
      </c>
    </row>
    <row r="734" spans="1:10" hidden="1">
      <c r="A734">
        <v>733</v>
      </c>
      <c r="B734" t="s">
        <v>231</v>
      </c>
      <c r="C734" t="s">
        <v>227</v>
      </c>
      <c r="D734" t="str">
        <f t="array" ref="D734">TEXT(Table26[[#This Row],[Date]],"MMMM")</f>
        <v>August</v>
      </c>
      <c r="E734">
        <v>500</v>
      </c>
      <c r="F734" t="s">
        <v>589</v>
      </c>
      <c r="G734" t="s">
        <v>1421</v>
      </c>
      <c r="H734" s="38">
        <v>46265</v>
      </c>
      <c r="I734" cm="1">
        <f t="array" ref="I734">IFERROR(INDEX('ALL STUDENTS'!$A:$A, MATCH(1, ('ALL STUDENTS'!$B:$B = B734) * ('ALL STUDENTS'!$C:$C = C734), 0)), "NOT FOUND")</f>
        <v>2048</v>
      </c>
      <c r="J734" t="str">
        <f>IF(Table26[[#This Row],[Fee]]&gt;500,Table26[[#This Row],[Fee]],"")</f>
        <v/>
      </c>
    </row>
    <row r="735" spans="1:10" hidden="1">
      <c r="A735">
        <v>734</v>
      </c>
      <c r="B735" t="s">
        <v>231</v>
      </c>
      <c r="C735" t="s">
        <v>227</v>
      </c>
      <c r="D735" t="str">
        <f t="array" ref="D735">TEXT(Table26[[#This Row],[Date]],"MMMM")</f>
        <v>August</v>
      </c>
      <c r="E735">
        <v>500</v>
      </c>
      <c r="F735" t="s">
        <v>589</v>
      </c>
      <c r="G735" t="s">
        <v>1422</v>
      </c>
      <c r="H735" s="38">
        <v>46265</v>
      </c>
      <c r="I735" cm="1">
        <f t="array" ref="I735">IFERROR(INDEX('ALL STUDENTS'!$A:$A, MATCH(1, ('ALL STUDENTS'!$B:$B = B735) * ('ALL STUDENTS'!$C:$C = C735), 0)), "NOT FOUND")</f>
        <v>2048</v>
      </c>
      <c r="J735" t="str">
        <f>IF(Table26[[#This Row],[Fee]]&gt;500,Table26[[#This Row],[Fee]],"")</f>
        <v/>
      </c>
    </row>
    <row r="736" spans="1:10" hidden="1">
      <c r="A736">
        <v>735</v>
      </c>
      <c r="B736" t="s">
        <v>30</v>
      </c>
      <c r="C736" t="s">
        <v>20</v>
      </c>
      <c r="D736" t="str">
        <f t="array" ref="D736">TEXT(Table26[[#This Row],[Date]],"MMMM")</f>
        <v>September</v>
      </c>
      <c r="E736">
        <v>500</v>
      </c>
      <c r="F736" t="s">
        <v>589</v>
      </c>
      <c r="G736" t="s">
        <v>1423</v>
      </c>
      <c r="H736" s="38">
        <v>46266</v>
      </c>
      <c r="I736" cm="1">
        <f t="array" ref="I736">IFERROR(INDEX('ALL STUDENTS'!$A:$A, MATCH(1, ('ALL STUDENTS'!$B:$B = B736) * ('ALL STUDENTS'!$C:$C = C736), 0)), "NOT FOUND")</f>
        <v>3041</v>
      </c>
      <c r="J736" t="str">
        <f>IF(Table26[[#This Row],[Fee]]&gt;500,Table26[[#This Row],[Fee]],"")</f>
        <v/>
      </c>
    </row>
    <row r="737" spans="1:10" hidden="1">
      <c r="A737">
        <v>736</v>
      </c>
      <c r="B737" t="s">
        <v>493</v>
      </c>
      <c r="C737" t="s">
        <v>488</v>
      </c>
      <c r="D737" t="str">
        <f t="array" ref="D737">TEXT(Table26[[#This Row],[Date]],"MMMM")</f>
        <v>September</v>
      </c>
      <c r="E737">
        <v>500</v>
      </c>
      <c r="F737" t="s">
        <v>589</v>
      </c>
      <c r="G737" t="s">
        <v>1424</v>
      </c>
      <c r="H737" s="38">
        <v>46266</v>
      </c>
      <c r="I737" cm="1">
        <f t="array" ref="I737">IFERROR(INDEX('ALL STUDENTS'!$A:$A, MATCH(1, ('ALL STUDENTS'!$B:$B = B737) * ('ALL STUDENTS'!$C:$C = C737), 0)), "NOT FOUND")</f>
        <v>314</v>
      </c>
      <c r="J737" t="str">
        <f>IF(Table26[[#This Row],[Fee]]&gt;500,Table26[[#This Row],[Fee]],"")</f>
        <v/>
      </c>
    </row>
    <row r="738" spans="1:10" hidden="1">
      <c r="A738">
        <v>737</v>
      </c>
      <c r="B738" t="s">
        <v>493</v>
      </c>
      <c r="C738" t="s">
        <v>488</v>
      </c>
      <c r="D738" t="str">
        <f t="array" ref="D738">TEXT(Table26[[#This Row],[Date]],"MMMM")</f>
        <v>September</v>
      </c>
      <c r="E738">
        <v>500</v>
      </c>
      <c r="F738" t="s">
        <v>589</v>
      </c>
      <c r="G738" t="s">
        <v>1425</v>
      </c>
      <c r="H738" s="38">
        <v>46266</v>
      </c>
      <c r="I738" cm="1">
        <f t="array" ref="I738">IFERROR(INDEX('ALL STUDENTS'!$A:$A, MATCH(1, ('ALL STUDENTS'!$B:$B = B738) * ('ALL STUDENTS'!$C:$C = C738), 0)), "NOT FOUND")</f>
        <v>314</v>
      </c>
      <c r="J738" t="str">
        <f>IF(Table26[[#This Row],[Fee]]&gt;500,Table26[[#This Row],[Fee]],"")</f>
        <v/>
      </c>
    </row>
    <row r="739" spans="1:10" hidden="1">
      <c r="A739">
        <v>738</v>
      </c>
      <c r="B739" t="s">
        <v>493</v>
      </c>
      <c r="C739" t="s">
        <v>488</v>
      </c>
      <c r="D739" t="str">
        <f t="array" ref="D739">TEXT(Table26[[#This Row],[Date]],"MMMM")</f>
        <v>September</v>
      </c>
      <c r="E739">
        <v>500</v>
      </c>
      <c r="F739" t="s">
        <v>589</v>
      </c>
      <c r="G739" t="s">
        <v>1426</v>
      </c>
      <c r="H739" s="38">
        <v>46266</v>
      </c>
      <c r="I739" cm="1">
        <f t="array" ref="I739">IFERROR(INDEX('ALL STUDENTS'!$A:$A, MATCH(1, ('ALL STUDENTS'!$B:$B = B739) * ('ALL STUDENTS'!$C:$C = C739), 0)), "NOT FOUND")</f>
        <v>314</v>
      </c>
      <c r="J739" t="str">
        <f>IF(Table26[[#This Row],[Fee]]&gt;500,Table26[[#This Row],[Fee]],"")</f>
        <v/>
      </c>
    </row>
    <row r="740" spans="1:10" hidden="1">
      <c r="A740">
        <v>739</v>
      </c>
      <c r="B740" t="s">
        <v>183</v>
      </c>
      <c r="C740" s="3" t="s">
        <v>175</v>
      </c>
      <c r="D740" t="str">
        <f t="array" ref="D740">TEXT(Table26[[#This Row],[Date]],"MMMM")</f>
        <v>September</v>
      </c>
      <c r="E740">
        <v>500</v>
      </c>
      <c r="F740" t="s">
        <v>589</v>
      </c>
      <c r="G740" t="s">
        <v>1427</v>
      </c>
      <c r="H740" s="38">
        <v>46267</v>
      </c>
      <c r="I740" cm="1">
        <f t="array" ref="I740">IFERROR(INDEX('ALL STUDENTS'!$A:$A, MATCH(1, ('ALL STUDENTS'!$B:$B = B740) * ('ALL STUDENTS'!$C:$C = C740), 0)), "NOT FOUND")</f>
        <v>1902</v>
      </c>
      <c r="J740" t="str">
        <f>IF(Table26[[#This Row],[Fee]]&gt;500,Table26[[#This Row],[Fee]],"")</f>
        <v/>
      </c>
    </row>
    <row r="741" spans="1:10" hidden="1">
      <c r="A741">
        <v>740</v>
      </c>
      <c r="B741" t="s">
        <v>183</v>
      </c>
      <c r="C741" s="3" t="s">
        <v>175</v>
      </c>
      <c r="D741" t="str">
        <f t="array" ref="D741">TEXT(Table26[[#This Row],[Date]],"MMMM")</f>
        <v>September</v>
      </c>
      <c r="E741">
        <v>500</v>
      </c>
      <c r="F741" t="s">
        <v>589</v>
      </c>
      <c r="G741" t="s">
        <v>1428</v>
      </c>
      <c r="H741" s="38">
        <v>46267</v>
      </c>
      <c r="I741" cm="1">
        <f t="array" ref="I741">IFERROR(INDEX('ALL STUDENTS'!$A:$A, MATCH(1, ('ALL STUDENTS'!$B:$B = B741) * ('ALL STUDENTS'!$C:$C = C741), 0)), "NOT FOUND")</f>
        <v>1902</v>
      </c>
      <c r="J741" t="str">
        <f>IF(Table26[[#This Row],[Fee]]&gt;500,Table26[[#This Row],[Fee]],"")</f>
        <v/>
      </c>
    </row>
    <row r="742" spans="1:10" hidden="1">
      <c r="A742">
        <v>741</v>
      </c>
      <c r="B742" t="s">
        <v>115</v>
      </c>
      <c r="C742" t="s">
        <v>113</v>
      </c>
      <c r="D742" t="str">
        <f t="array" ref="D742">TEXT(Table26[[#This Row],[Date]],"MMMM")</f>
        <v>September</v>
      </c>
      <c r="E742">
        <v>500</v>
      </c>
      <c r="F742" t="s">
        <v>589</v>
      </c>
      <c r="G742" t="s">
        <v>1429</v>
      </c>
      <c r="H742" s="38">
        <v>46267</v>
      </c>
      <c r="I742" cm="1">
        <f t="array" ref="I742">IFERROR(INDEX('ALL STUDENTS'!$A:$A, MATCH(1, ('ALL STUDENTS'!$B:$B = B742) * ('ALL STUDENTS'!$C:$C = C742), 0)), "NOT FOUND")</f>
        <v>1662</v>
      </c>
      <c r="J742" t="str">
        <f>IF(Table26[[#This Row],[Fee]]&gt;500,Table26[[#This Row],[Fee]],"")</f>
        <v/>
      </c>
    </row>
    <row r="743" spans="1:10" hidden="1">
      <c r="A743">
        <v>742</v>
      </c>
      <c r="B743" t="s">
        <v>110</v>
      </c>
      <c r="C743" t="s">
        <v>102</v>
      </c>
      <c r="D743" t="str">
        <f t="array" ref="D743">TEXT(Table26[[#This Row],[Date]],"MMMM")</f>
        <v>August</v>
      </c>
      <c r="E743">
        <v>500</v>
      </c>
      <c r="F743" t="s">
        <v>589</v>
      </c>
      <c r="G743" t="s">
        <v>1430</v>
      </c>
      <c r="H743" s="38">
        <v>46239</v>
      </c>
      <c r="I743" cm="1">
        <f t="array" ref="I743">IFERROR(INDEX('ALL STUDENTS'!$A:$A, MATCH(1, ('ALL STUDENTS'!$B:$B = B743) * ('ALL STUDENTS'!$C:$C = C743), 0)), "NOT FOUND")</f>
        <v>2679</v>
      </c>
      <c r="J743" t="str">
        <f>IF(Table26[[#This Row],[Fee]]&gt;500,Table26[[#This Row],[Fee]],"")</f>
        <v/>
      </c>
    </row>
    <row r="744" spans="1:10" hidden="1">
      <c r="A744">
        <v>743</v>
      </c>
      <c r="B744" t="s">
        <v>110</v>
      </c>
      <c r="C744" t="s">
        <v>102</v>
      </c>
      <c r="D744" t="str">
        <f t="array" ref="D744">TEXT(Table26[[#This Row],[Date]],"MMMM")</f>
        <v>September</v>
      </c>
      <c r="E744">
        <v>500</v>
      </c>
      <c r="F744" t="s">
        <v>589</v>
      </c>
      <c r="G744" t="s">
        <v>1431</v>
      </c>
      <c r="H744" s="38">
        <v>46266</v>
      </c>
      <c r="I744" cm="1">
        <f t="array" ref="I744">IFERROR(INDEX('ALL STUDENTS'!$A:$A, MATCH(1, ('ALL STUDENTS'!$B:$B = B744) * ('ALL STUDENTS'!$C:$C = C744), 0)), "NOT FOUND")</f>
        <v>2679</v>
      </c>
      <c r="J744" t="str">
        <f>IF(Table26[[#This Row],[Fee]]&gt;500,Table26[[#This Row],[Fee]],"")</f>
        <v/>
      </c>
    </row>
    <row r="745" spans="1:10" hidden="1">
      <c r="A745">
        <v>744</v>
      </c>
      <c r="B745" t="s">
        <v>486</v>
      </c>
      <c r="C745" t="s">
        <v>480</v>
      </c>
      <c r="D745" t="str">
        <f t="array" ref="D745">TEXT(Table26[[#This Row],[Date]],"MMMM")</f>
        <v>August</v>
      </c>
      <c r="E745">
        <v>500</v>
      </c>
      <c r="F745" t="s">
        <v>589</v>
      </c>
      <c r="G745" t="s">
        <v>1432</v>
      </c>
      <c r="H745" s="38">
        <v>46239</v>
      </c>
      <c r="I745" cm="1">
        <f t="array" ref="I745">IFERROR(INDEX('ALL STUDENTS'!$A:$A, MATCH(1, ('ALL STUDENTS'!$B:$B = B745) * ('ALL STUDENTS'!$C:$C = C745), 0)), "NOT FOUND")</f>
        <v>272</v>
      </c>
      <c r="J745" t="str">
        <f>IF(Table26[[#This Row],[Fee]]&gt;500,Table26[[#This Row],[Fee]],"")</f>
        <v/>
      </c>
    </row>
    <row r="746" spans="1:10" hidden="1">
      <c r="A746">
        <v>745</v>
      </c>
      <c r="B746" t="s">
        <v>486</v>
      </c>
      <c r="C746" t="s">
        <v>480</v>
      </c>
      <c r="D746" t="str">
        <f t="array" ref="D746">TEXT(Table26[[#This Row],[Date]],"MMMM")</f>
        <v>September</v>
      </c>
      <c r="E746">
        <v>500</v>
      </c>
      <c r="F746" t="s">
        <v>589</v>
      </c>
      <c r="G746" t="s">
        <v>1433</v>
      </c>
      <c r="H746" s="38">
        <v>46266</v>
      </c>
      <c r="I746" cm="1">
        <f t="array" ref="I746">IFERROR(INDEX('ALL STUDENTS'!$A:$A, MATCH(1, ('ALL STUDENTS'!$B:$B = B746) * ('ALL STUDENTS'!$C:$C = C746), 0)), "NOT FOUND")</f>
        <v>272</v>
      </c>
      <c r="J746" t="str">
        <f>IF(Table26[[#This Row],[Fee]]&gt;500,Table26[[#This Row],[Fee]],"")</f>
        <v/>
      </c>
    </row>
    <row r="747" spans="1:10" hidden="1">
      <c r="A747">
        <v>746</v>
      </c>
      <c r="B747" t="s">
        <v>371</v>
      </c>
      <c r="C747" t="s">
        <v>366</v>
      </c>
      <c r="D747" t="str">
        <f t="array" ref="D747">TEXT(Table26[[#This Row],[Date]],"MMMM")</f>
        <v>September</v>
      </c>
      <c r="E747">
        <v>500</v>
      </c>
      <c r="F747" t="s">
        <v>589</v>
      </c>
      <c r="G747" t="s">
        <v>1434</v>
      </c>
      <c r="H747" s="38">
        <v>46266</v>
      </c>
      <c r="I747" cm="1">
        <f t="array" ref="I747">IFERROR(INDEX('ALL STUDENTS'!$A:$A, MATCH(1, ('ALL STUDENTS'!$B:$B = B747) * ('ALL STUDENTS'!$C:$C = C747), 0)), "NOT FOUND")</f>
        <v>801</v>
      </c>
      <c r="J747" t="str">
        <f>IF(Table26[[#This Row],[Fee]]&gt;500,Table26[[#This Row],[Fee]],"")</f>
        <v/>
      </c>
    </row>
    <row r="748" spans="1:10" hidden="1">
      <c r="A748">
        <v>747</v>
      </c>
      <c r="B748" t="s">
        <v>283</v>
      </c>
      <c r="C748" t="s">
        <v>273</v>
      </c>
      <c r="D748" t="str">
        <f t="array" ref="D748">TEXT(Table26[[#This Row],[Date]],"MMMM")</f>
        <v>September</v>
      </c>
      <c r="E748">
        <v>500</v>
      </c>
      <c r="F748" t="s">
        <v>589</v>
      </c>
      <c r="G748" t="s">
        <v>1435</v>
      </c>
      <c r="H748" s="38">
        <v>46266</v>
      </c>
      <c r="I748" cm="1">
        <f t="array" ref="I748">IFERROR(INDEX('ALL STUDENTS'!$A:$A, MATCH(1, ('ALL STUDENTS'!$B:$B = B748) * ('ALL STUDENTS'!$C:$C = C748), 0)), "NOT FOUND")</f>
        <v>2210</v>
      </c>
      <c r="J748" t="str">
        <f>IF(Table26[[#This Row],[Fee]]&gt;500,Table26[[#This Row],[Fee]],"")</f>
        <v/>
      </c>
    </row>
    <row r="749" spans="1:10" hidden="1">
      <c r="A749">
        <v>748</v>
      </c>
      <c r="B749" t="s">
        <v>284</v>
      </c>
      <c r="C749" t="s">
        <v>273</v>
      </c>
      <c r="D749" t="str">
        <f t="array" ref="D749">TEXT(Table26[[#This Row],[Date]],"MMMM")</f>
        <v>July</v>
      </c>
      <c r="E749">
        <v>500</v>
      </c>
      <c r="F749" t="s">
        <v>589</v>
      </c>
      <c r="G749" t="s">
        <v>1436</v>
      </c>
      <c r="H749" s="38">
        <v>46231</v>
      </c>
      <c r="I749" cm="1">
        <f t="array" ref="I749">IFERROR(INDEX('ALL STUDENTS'!$A:$A, MATCH(1, ('ALL STUDENTS'!$B:$B = B749) * ('ALL STUDENTS'!$C:$C = C749), 0)), "NOT FOUND")</f>
        <v>2211</v>
      </c>
      <c r="J749" t="str">
        <f>IF(Table26[[#This Row],[Fee]]&gt;500,Table26[[#This Row],[Fee]],"")</f>
        <v/>
      </c>
    </row>
    <row r="750" spans="1:10" hidden="1">
      <c r="A750">
        <v>749</v>
      </c>
      <c r="B750" t="s">
        <v>552</v>
      </c>
      <c r="C750" t="s">
        <v>548</v>
      </c>
      <c r="D750" t="str">
        <f t="array" ref="D750">TEXT(Table26[[#This Row],[Date]],"MMMM")</f>
        <v>September</v>
      </c>
      <c r="E750">
        <v>500</v>
      </c>
      <c r="F750" t="s">
        <v>589</v>
      </c>
      <c r="G750" t="s">
        <v>1437</v>
      </c>
      <c r="H750" s="38">
        <v>46266</v>
      </c>
      <c r="I750" cm="1">
        <f t="array" ref="I750">IFERROR(INDEX('ALL STUDENTS'!$A:$A, MATCH(1, ('ALL STUDENTS'!$B:$B = B750) * ('ALL STUDENTS'!$C:$C = C750), 0)), "NOT FOUND")</f>
        <v>178</v>
      </c>
      <c r="J750" t="str">
        <f>IF(Table26[[#This Row],[Fee]]&gt;500,Table26[[#This Row],[Fee]],"")</f>
        <v/>
      </c>
    </row>
    <row r="751" spans="1:10" hidden="1">
      <c r="A751">
        <v>750</v>
      </c>
      <c r="B751" t="s">
        <v>552</v>
      </c>
      <c r="C751" t="s">
        <v>548</v>
      </c>
      <c r="D751" t="str">
        <f t="array" ref="D751">TEXT(Table26[[#This Row],[Date]],"MMMM")</f>
        <v>September</v>
      </c>
      <c r="E751">
        <v>500</v>
      </c>
      <c r="F751" t="s">
        <v>589</v>
      </c>
      <c r="G751" t="s">
        <v>1438</v>
      </c>
      <c r="H751" s="38">
        <v>46266</v>
      </c>
      <c r="I751" cm="1">
        <f t="array" ref="I751">IFERROR(INDEX('ALL STUDENTS'!$A:$A, MATCH(1, ('ALL STUDENTS'!$B:$B = B751) * ('ALL STUDENTS'!$C:$C = C751), 0)), "NOT FOUND")</f>
        <v>178</v>
      </c>
      <c r="J751" t="str">
        <f>IF(Table26[[#This Row],[Fee]]&gt;500,Table26[[#This Row],[Fee]],"")</f>
        <v/>
      </c>
    </row>
    <row r="752" spans="1:10" hidden="1">
      <c r="A752">
        <v>751</v>
      </c>
      <c r="B752" t="s">
        <v>552</v>
      </c>
      <c r="C752" t="s">
        <v>548</v>
      </c>
      <c r="D752" t="str">
        <f t="array" ref="D752">TEXT(Table26[[#This Row],[Date]],"MMMM")</f>
        <v>September</v>
      </c>
      <c r="E752">
        <v>500</v>
      </c>
      <c r="F752" t="s">
        <v>589</v>
      </c>
      <c r="G752" t="s">
        <v>1439</v>
      </c>
      <c r="H752" s="38">
        <v>46266</v>
      </c>
      <c r="I752" cm="1">
        <f t="array" ref="I752">IFERROR(INDEX('ALL STUDENTS'!$A:$A, MATCH(1, ('ALL STUDENTS'!$B:$B = B752) * ('ALL STUDENTS'!$C:$C = C752), 0)), "NOT FOUND")</f>
        <v>178</v>
      </c>
      <c r="J752" t="str">
        <f>IF(Table26[[#This Row],[Fee]]&gt;500,Table26[[#This Row],[Fee]],"")</f>
        <v/>
      </c>
    </row>
    <row r="753" spans="1:10" hidden="1">
      <c r="A753">
        <v>752</v>
      </c>
      <c r="B753" t="s">
        <v>167</v>
      </c>
      <c r="C753" t="s">
        <v>159</v>
      </c>
      <c r="D753" t="str">
        <f t="array" ref="D753">TEXT(Table26[[#This Row],[Date]],"MMMM")</f>
        <v>August</v>
      </c>
      <c r="E753">
        <v>500</v>
      </c>
      <c r="F753" t="s">
        <v>589</v>
      </c>
      <c r="G753" t="s">
        <v>1440</v>
      </c>
      <c r="H753" s="38">
        <v>46265</v>
      </c>
      <c r="I753" cm="1">
        <f t="array" ref="I753">IFERROR(INDEX('ALL STUDENTS'!$A:$A, MATCH(1, ('ALL STUDENTS'!$B:$B = B753) * ('ALL STUDENTS'!$C:$C = C753), 0)), "NOT FOUND")</f>
        <v>2653</v>
      </c>
      <c r="J753" t="str">
        <f>IF(Table26[[#This Row],[Fee]]&gt;500,Table26[[#This Row],[Fee]],"")</f>
        <v/>
      </c>
    </row>
    <row r="754" spans="1:10" hidden="1">
      <c r="A754">
        <v>753</v>
      </c>
      <c r="B754" t="s">
        <v>167</v>
      </c>
      <c r="C754" t="s">
        <v>159</v>
      </c>
      <c r="D754" t="str">
        <f t="array" ref="D754">TEXT(Table26[[#This Row],[Date]],"MMMM")</f>
        <v>August</v>
      </c>
      <c r="E754">
        <v>500</v>
      </c>
      <c r="F754" t="s">
        <v>589</v>
      </c>
      <c r="G754" t="s">
        <v>1441</v>
      </c>
      <c r="H754" s="38">
        <v>46265</v>
      </c>
      <c r="I754" cm="1">
        <f t="array" ref="I754">IFERROR(INDEX('ALL STUDENTS'!$A:$A, MATCH(1, ('ALL STUDENTS'!$B:$B = B754) * ('ALL STUDENTS'!$C:$C = C754), 0)), "NOT FOUND")</f>
        <v>2653</v>
      </c>
      <c r="J754" t="str">
        <f>IF(Table26[[#This Row],[Fee]]&gt;500,Table26[[#This Row],[Fee]],"")</f>
        <v/>
      </c>
    </row>
    <row r="755" spans="1:10" hidden="1">
      <c r="A755">
        <v>754</v>
      </c>
      <c r="B755" t="s">
        <v>167</v>
      </c>
      <c r="C755" t="s">
        <v>159</v>
      </c>
      <c r="D755" t="str">
        <f t="array" ref="D755">TEXT(Table26[[#This Row],[Date]],"MMMM")</f>
        <v>August</v>
      </c>
      <c r="E755">
        <v>500</v>
      </c>
      <c r="F755" t="s">
        <v>589</v>
      </c>
      <c r="G755" t="s">
        <v>1442</v>
      </c>
      <c r="H755" s="38">
        <v>46265</v>
      </c>
      <c r="I755" cm="1">
        <f t="array" ref="I755">IFERROR(INDEX('ALL STUDENTS'!$A:$A, MATCH(1, ('ALL STUDENTS'!$B:$B = B755) * ('ALL STUDENTS'!$C:$C = C755), 0)), "NOT FOUND")</f>
        <v>2653</v>
      </c>
      <c r="J755" t="str">
        <f>IF(Table26[[#This Row],[Fee]]&gt;500,Table26[[#This Row],[Fee]],"")</f>
        <v/>
      </c>
    </row>
    <row r="756" spans="1:10" hidden="1">
      <c r="A756">
        <v>755</v>
      </c>
      <c r="B756" t="s">
        <v>459</v>
      </c>
      <c r="C756" t="s">
        <v>453</v>
      </c>
      <c r="D756" t="str">
        <f t="array" ref="D756">TEXT(Table26[[#This Row],[Date]],"MMMM")</f>
        <v>September</v>
      </c>
      <c r="E756">
        <v>500</v>
      </c>
      <c r="F756" t="s">
        <v>589</v>
      </c>
      <c r="G756" t="s">
        <v>1443</v>
      </c>
      <c r="H756" s="38">
        <v>46266</v>
      </c>
      <c r="I756" cm="1">
        <f t="array" ref="I756">IFERROR(INDEX('ALL STUDENTS'!$A:$A, MATCH(1, ('ALL STUDENTS'!$B:$B = B756) * ('ALL STUDENTS'!$C:$C = C756), 0)), "NOT FOUND")</f>
        <v>722</v>
      </c>
      <c r="J756" t="str">
        <f>IF(Table26[[#This Row],[Fee]]&gt;500,Table26[[#This Row],[Fee]],"")</f>
        <v/>
      </c>
    </row>
    <row r="757" spans="1:10" hidden="1">
      <c r="A757">
        <v>756</v>
      </c>
      <c r="B757" t="s">
        <v>197</v>
      </c>
      <c r="C757" t="s">
        <v>195</v>
      </c>
      <c r="D757" t="str">
        <f t="array" ref="D757">TEXT(Table26[[#This Row],[Date]],"MMMM")</f>
        <v>September</v>
      </c>
      <c r="E757">
        <v>500</v>
      </c>
      <c r="F757" t="s">
        <v>589</v>
      </c>
      <c r="G757" t="s">
        <v>1444</v>
      </c>
      <c r="H757" s="38">
        <v>46266</v>
      </c>
      <c r="I757" cm="1">
        <f t="array" ref="I757">IFERROR(INDEX('ALL STUDENTS'!$A:$A, MATCH(1, ('ALL STUDENTS'!$B:$B = B757) * ('ALL STUDENTS'!$C:$C = C757), 0)), "NOT FOUND")</f>
        <v>1931</v>
      </c>
      <c r="J757" t="str">
        <f>IF(Table26[[#This Row],[Fee]]&gt;500,Table26[[#This Row],[Fee]],"")</f>
        <v/>
      </c>
    </row>
    <row r="758" spans="1:10" hidden="1">
      <c r="A758">
        <v>757</v>
      </c>
      <c r="B758" t="s">
        <v>168</v>
      </c>
      <c r="C758" t="s">
        <v>159</v>
      </c>
      <c r="D758" t="str">
        <f t="array" ref="D758">TEXT(Table26[[#This Row],[Date]],"MMMM")</f>
        <v>September</v>
      </c>
      <c r="E758">
        <v>500</v>
      </c>
      <c r="F758" t="s">
        <v>589</v>
      </c>
      <c r="G758" t="s">
        <v>1445</v>
      </c>
      <c r="H758" s="38">
        <v>46266</v>
      </c>
      <c r="I758" cm="1">
        <f t="array" ref="I758">IFERROR(INDEX('ALL STUDENTS'!$A:$A, MATCH(1, ('ALL STUDENTS'!$B:$B = B758) * ('ALL STUDENTS'!$C:$C = C758), 0)), "NOT FOUND")</f>
        <v>2651</v>
      </c>
      <c r="J758" t="str">
        <f>IF(Table26[[#This Row],[Fee]]&gt;500,Table26[[#This Row],[Fee]],"")</f>
        <v/>
      </c>
    </row>
    <row r="759" spans="1:10" hidden="1">
      <c r="A759">
        <v>758</v>
      </c>
      <c r="B759" t="s">
        <v>168</v>
      </c>
      <c r="C759" t="s">
        <v>159</v>
      </c>
      <c r="D759" t="str">
        <f t="array" ref="D759">TEXT(Table26[[#This Row],[Date]],"MMMM")</f>
        <v>September</v>
      </c>
      <c r="E759">
        <v>500</v>
      </c>
      <c r="F759" t="s">
        <v>589</v>
      </c>
      <c r="G759" t="s">
        <v>1446</v>
      </c>
      <c r="H759" s="38">
        <v>46266</v>
      </c>
      <c r="I759" cm="1">
        <f t="array" ref="I759">IFERROR(INDEX('ALL STUDENTS'!$A:$A, MATCH(1, ('ALL STUDENTS'!$B:$B = B759) * ('ALL STUDENTS'!$C:$C = C759), 0)), "NOT FOUND")</f>
        <v>2651</v>
      </c>
      <c r="J759" t="str">
        <f>IF(Table26[[#This Row],[Fee]]&gt;500,Table26[[#This Row],[Fee]],"")</f>
        <v/>
      </c>
    </row>
    <row r="760" spans="1:10" hidden="1">
      <c r="A760">
        <v>759</v>
      </c>
      <c r="B760" t="s">
        <v>168</v>
      </c>
      <c r="C760" t="s">
        <v>159</v>
      </c>
      <c r="D760" t="str">
        <f t="array" ref="D760">TEXT(Table26[[#This Row],[Date]],"MMMM")</f>
        <v>September</v>
      </c>
      <c r="E760">
        <v>500</v>
      </c>
      <c r="F760" t="s">
        <v>589</v>
      </c>
      <c r="G760" t="s">
        <v>1447</v>
      </c>
      <c r="H760" s="38">
        <v>46266</v>
      </c>
      <c r="I760" cm="1">
        <f t="array" ref="I760">IFERROR(INDEX('ALL STUDENTS'!$A:$A, MATCH(1, ('ALL STUDENTS'!$B:$B = B760) * ('ALL STUDENTS'!$C:$C = C760), 0)), "NOT FOUND")</f>
        <v>2651</v>
      </c>
      <c r="J760" t="str">
        <f>IF(Table26[[#This Row],[Fee]]&gt;500,Table26[[#This Row],[Fee]],"")</f>
        <v/>
      </c>
    </row>
    <row r="761" spans="1:10" hidden="1">
      <c r="A761">
        <v>760</v>
      </c>
      <c r="B761" t="s">
        <v>479</v>
      </c>
      <c r="C761" t="s">
        <v>467</v>
      </c>
      <c r="D761" t="str">
        <f t="array" ref="D761">TEXT(Table26[[#This Row],[Date]],"MMMM")</f>
        <v>September</v>
      </c>
      <c r="E761">
        <v>500</v>
      </c>
      <c r="F761" t="s">
        <v>589</v>
      </c>
      <c r="G761" t="s">
        <v>1448</v>
      </c>
      <c r="H761" s="38">
        <v>46266</v>
      </c>
      <c r="I761" cm="1">
        <f t="array" ref="I761">IFERROR(INDEX('ALL STUDENTS'!$A:$A, MATCH(1, ('ALL STUDENTS'!$B:$B = B761) * ('ALL STUDENTS'!$C:$C = C761), 0)), "NOT FOUND")</f>
        <v>248</v>
      </c>
      <c r="J761" t="str">
        <f>IF(Table26[[#This Row],[Fee]]&gt;500,Table26[[#This Row],[Fee]],"")</f>
        <v/>
      </c>
    </row>
    <row r="762" spans="1:10" hidden="1">
      <c r="A762">
        <v>761</v>
      </c>
      <c r="B762" t="s">
        <v>322</v>
      </c>
      <c r="C762" t="s">
        <v>320</v>
      </c>
      <c r="D762" t="str">
        <f t="array" ref="D762">TEXT(Table26[[#This Row],[Date]],"MMMM")</f>
        <v>September</v>
      </c>
      <c r="E762">
        <v>500</v>
      </c>
      <c r="F762" t="s">
        <v>589</v>
      </c>
      <c r="G762" t="s">
        <v>1449</v>
      </c>
      <c r="H762" s="38">
        <v>46266</v>
      </c>
      <c r="I762" cm="1">
        <f t="array" ref="I762">IFERROR(INDEX('ALL STUDENTS'!$A:$A, MATCH(1, ('ALL STUDENTS'!$B:$B = B762) * ('ALL STUDENTS'!$C:$C = C762), 0)), "NOT FOUND")</f>
        <v>2417</v>
      </c>
      <c r="J762" t="str">
        <f>IF(Table26[[#This Row],[Fee]]&gt;500,Table26[[#This Row],[Fee]],"")</f>
        <v/>
      </c>
    </row>
    <row r="763" spans="1:10" hidden="1">
      <c r="A763">
        <v>762</v>
      </c>
      <c r="B763" t="s">
        <v>513</v>
      </c>
      <c r="C763" t="s">
        <v>509</v>
      </c>
      <c r="D763" t="str">
        <f t="array" ref="D763">TEXT(Table26[[#This Row],[Date]],"MMMM")</f>
        <v>September</v>
      </c>
      <c r="E763">
        <v>500</v>
      </c>
      <c r="F763" t="s">
        <v>589</v>
      </c>
      <c r="G763" t="s">
        <v>1450</v>
      </c>
      <c r="H763" s="38">
        <v>46266</v>
      </c>
      <c r="I763" cm="1">
        <f t="array" ref="I763">IFERROR(INDEX('ALL STUDENTS'!$A:$A, MATCH(1, ('ALL STUDENTS'!$B:$B = B763) * ('ALL STUDENTS'!$C:$C = C763), 0)), "NOT FOUND")</f>
        <v>474</v>
      </c>
      <c r="J763" t="str">
        <f>IF(Table26[[#This Row],[Fee]]&gt;500,Table26[[#This Row],[Fee]],"")</f>
        <v/>
      </c>
    </row>
    <row r="764" spans="1:10" hidden="1">
      <c r="A764">
        <v>763</v>
      </c>
      <c r="B764" t="s">
        <v>63</v>
      </c>
      <c r="C764" t="s">
        <v>62</v>
      </c>
      <c r="D764" t="str">
        <f t="array" ref="D764">TEXT(Table26[[#This Row],[Date]],"MMMM")</f>
        <v>September</v>
      </c>
      <c r="E764">
        <v>500</v>
      </c>
      <c r="F764" t="s">
        <v>589</v>
      </c>
      <c r="G764" t="s">
        <v>1451</v>
      </c>
      <c r="H764" s="38">
        <v>46267</v>
      </c>
      <c r="I764" cm="1">
        <f t="array" ref="I764">IFERROR(INDEX('ALL STUDENTS'!$A:$A, MATCH(1, ('ALL STUDENTS'!$B:$B = B764) * ('ALL STUDENTS'!$C:$C = C764), 0)), "NOT FOUND")</f>
        <v>3179</v>
      </c>
      <c r="J764" t="str">
        <f>IF(Table26[[#This Row],[Fee]]&gt;500,Table26[[#This Row],[Fee]],"")</f>
        <v/>
      </c>
    </row>
    <row r="765" spans="1:10" hidden="1">
      <c r="A765">
        <v>764</v>
      </c>
      <c r="B765" t="s">
        <v>63</v>
      </c>
      <c r="C765" t="s">
        <v>62</v>
      </c>
      <c r="D765" t="str">
        <f t="array" ref="D765">TEXT(Table26[[#This Row],[Date]],"MMMM")</f>
        <v>September</v>
      </c>
      <c r="E765">
        <v>500</v>
      </c>
      <c r="F765" t="s">
        <v>589</v>
      </c>
      <c r="G765" t="s">
        <v>1452</v>
      </c>
      <c r="H765" s="38">
        <v>46267</v>
      </c>
      <c r="I765" cm="1">
        <f t="array" ref="I765">IFERROR(INDEX('ALL STUDENTS'!$A:$A, MATCH(1, ('ALL STUDENTS'!$B:$B = B765) * ('ALL STUDENTS'!$C:$C = C765), 0)), "NOT FOUND")</f>
        <v>3179</v>
      </c>
      <c r="J765" t="str">
        <f>IF(Table26[[#This Row],[Fee]]&gt;500,Table26[[#This Row],[Fee]],"")</f>
        <v/>
      </c>
    </row>
    <row r="766" spans="1:10" hidden="1">
      <c r="A766">
        <v>765</v>
      </c>
      <c r="B766" t="s">
        <v>63</v>
      </c>
      <c r="C766" t="s">
        <v>62</v>
      </c>
      <c r="D766" t="str">
        <f t="array" ref="D766">TEXT(Table26[[#This Row],[Date]],"MMMM")</f>
        <v>September</v>
      </c>
      <c r="E766">
        <v>500</v>
      </c>
      <c r="F766" t="s">
        <v>589</v>
      </c>
      <c r="G766" t="s">
        <v>1453</v>
      </c>
      <c r="H766" s="38">
        <v>46267</v>
      </c>
      <c r="I766" cm="1">
        <f t="array" ref="I766">IFERROR(INDEX('ALL STUDENTS'!$A:$A, MATCH(1, ('ALL STUDENTS'!$B:$B = B766) * ('ALL STUDENTS'!$C:$C = C766), 0)), "NOT FOUND")</f>
        <v>3179</v>
      </c>
      <c r="J766" t="str">
        <f>IF(Table26[[#This Row],[Fee]]&gt;500,Table26[[#This Row],[Fee]],"")</f>
        <v/>
      </c>
    </row>
    <row r="767" spans="1:10" hidden="1">
      <c r="A767">
        <v>766</v>
      </c>
      <c r="B767" t="s">
        <v>219</v>
      </c>
      <c r="C767" t="s">
        <v>211</v>
      </c>
      <c r="D767" t="str">
        <f t="array" ref="D767">TEXT(Table26[[#This Row],[Date]],"MMMM")</f>
        <v>September</v>
      </c>
      <c r="E767">
        <v>500</v>
      </c>
      <c r="F767" t="s">
        <v>589</v>
      </c>
      <c r="G767" t="s">
        <v>1454</v>
      </c>
      <c r="H767" s="38">
        <v>46267</v>
      </c>
      <c r="I767" cm="1">
        <f t="array" ref="I767">IFERROR(INDEX('ALL STUDENTS'!$A:$A, MATCH(1, ('ALL STUDENTS'!$B:$B = B767) * ('ALL STUDENTS'!$C:$C = C767), 0)), "NOT FOUND")</f>
        <v>2005</v>
      </c>
      <c r="J767" t="str">
        <f>IF(Table26[[#This Row],[Fee]]&gt;500,Table26[[#This Row],[Fee]],"")</f>
        <v/>
      </c>
    </row>
    <row r="768" spans="1:10" hidden="1">
      <c r="A768">
        <v>767</v>
      </c>
      <c r="B768" t="s">
        <v>219</v>
      </c>
      <c r="C768" t="s">
        <v>211</v>
      </c>
      <c r="D768" t="str">
        <f t="array" ref="D768">TEXT(Table26[[#This Row],[Date]],"MMMM")</f>
        <v>September</v>
      </c>
      <c r="E768">
        <v>500</v>
      </c>
      <c r="F768" t="s">
        <v>589</v>
      </c>
      <c r="G768" t="s">
        <v>1455</v>
      </c>
      <c r="H768" s="38">
        <v>46267</v>
      </c>
      <c r="I768" cm="1">
        <f t="array" ref="I768">IFERROR(INDEX('ALL STUDENTS'!$A:$A, MATCH(1, ('ALL STUDENTS'!$B:$B = B768) * ('ALL STUDENTS'!$C:$C = C768), 0)), "NOT FOUND")</f>
        <v>2005</v>
      </c>
      <c r="J768" t="str">
        <f>IF(Table26[[#This Row],[Fee]]&gt;500,Table26[[#This Row],[Fee]],"")</f>
        <v/>
      </c>
    </row>
    <row r="769" spans="1:10" hidden="1">
      <c r="A769">
        <v>768</v>
      </c>
      <c r="B769" t="s">
        <v>219</v>
      </c>
      <c r="C769" t="s">
        <v>211</v>
      </c>
      <c r="D769" t="str">
        <f t="array" ref="D769">TEXT(Table26[[#This Row],[Date]],"MMMM")</f>
        <v>September</v>
      </c>
      <c r="E769">
        <v>500</v>
      </c>
      <c r="F769" t="s">
        <v>589</v>
      </c>
      <c r="G769" t="s">
        <v>1456</v>
      </c>
      <c r="H769" s="38">
        <v>46267</v>
      </c>
      <c r="I769" cm="1">
        <f t="array" ref="I769">IFERROR(INDEX('ALL STUDENTS'!$A:$A, MATCH(1, ('ALL STUDENTS'!$B:$B = B769) * ('ALL STUDENTS'!$C:$C = C769), 0)), "NOT FOUND")</f>
        <v>2005</v>
      </c>
      <c r="J769" t="str">
        <f>IF(Table26[[#This Row],[Fee]]&gt;500,Table26[[#This Row],[Fee]],"")</f>
        <v/>
      </c>
    </row>
    <row r="770" spans="1:10" hidden="1">
      <c r="A770">
        <v>769</v>
      </c>
      <c r="B770" t="s">
        <v>11</v>
      </c>
      <c r="C770" t="s">
        <v>4</v>
      </c>
      <c r="D770" t="str">
        <f t="array" ref="D770">TEXT(Table26[[#This Row],[Date]],"MMMM")</f>
        <v>September</v>
      </c>
      <c r="E770">
        <v>500</v>
      </c>
      <c r="F770" t="s">
        <v>589</v>
      </c>
      <c r="G770" t="s">
        <v>1457</v>
      </c>
      <c r="H770" s="38">
        <v>46267</v>
      </c>
      <c r="I770" cm="1">
        <f t="array" ref="I770">IFERROR(INDEX('ALL STUDENTS'!$A:$A, MATCH(1, ('ALL STUDENTS'!$B:$B = B770) * ('ALL STUDENTS'!$C:$C = C770), 0)), "NOT FOUND")</f>
        <v>3030</v>
      </c>
      <c r="J770" t="str">
        <f>IF(Table26[[#This Row],[Fee]]&gt;500,Table26[[#This Row],[Fee]],"")</f>
        <v/>
      </c>
    </row>
    <row r="771" spans="1:10" hidden="1">
      <c r="A771">
        <v>770</v>
      </c>
      <c r="B771" t="s">
        <v>85</v>
      </c>
      <c r="C771" t="s">
        <v>80</v>
      </c>
      <c r="D771" t="str">
        <f t="array" ref="D771">TEXT(Table26[[#This Row],[Date]],"MMMM")</f>
        <v>September</v>
      </c>
      <c r="E771">
        <v>500</v>
      </c>
      <c r="F771" t="s">
        <v>589</v>
      </c>
      <c r="G771" t="s">
        <v>1458</v>
      </c>
      <c r="H771" s="38">
        <v>46267</v>
      </c>
      <c r="I771" cm="1">
        <f t="array" ref="I771">IFERROR(INDEX('ALL STUDENTS'!$A:$A, MATCH(1, ('ALL STUDENTS'!$B:$B = B771) * ('ALL STUDENTS'!$C:$C = C771), 0)), "NOT FOUND")</f>
        <v>1548</v>
      </c>
      <c r="J771" t="str">
        <f>IF(Table26[[#This Row],[Fee]]&gt;500,Table26[[#This Row],[Fee]],"")</f>
        <v/>
      </c>
    </row>
    <row r="772" spans="1:10" hidden="1">
      <c r="A772">
        <v>771</v>
      </c>
      <c r="B772" t="s">
        <v>291</v>
      </c>
      <c r="C772" t="s">
        <v>286</v>
      </c>
      <c r="D772" t="str">
        <f t="array" ref="D772">TEXT(Table26[[#This Row],[Date]],"MMMM")</f>
        <v>August</v>
      </c>
      <c r="E772">
        <v>500</v>
      </c>
      <c r="F772" t="s">
        <v>589</v>
      </c>
      <c r="G772" t="s">
        <v>1459</v>
      </c>
      <c r="H772" s="38">
        <v>46260</v>
      </c>
      <c r="I772" cm="1">
        <f t="array" ref="I772">IFERROR(INDEX('ALL STUDENTS'!$A:$A, MATCH(1, ('ALL STUDENTS'!$B:$B = B772) * ('ALL STUDENTS'!$C:$C = C772), 0)), "NOT FOUND")</f>
        <v>2229</v>
      </c>
      <c r="J772" t="str">
        <f>IF(Table26[[#This Row],[Fee]]&gt;500,Table26[[#This Row],[Fee]],"")</f>
        <v/>
      </c>
    </row>
    <row r="773" spans="1:10" hidden="1">
      <c r="A773">
        <v>772</v>
      </c>
      <c r="B773" t="s">
        <v>270</v>
      </c>
      <c r="C773" t="s">
        <v>265</v>
      </c>
      <c r="D773" t="str">
        <f t="array" ref="D773">TEXT(Table26[[#This Row],[Date]],"MMMM")</f>
        <v>September</v>
      </c>
      <c r="E773">
        <v>500</v>
      </c>
      <c r="F773" t="s">
        <v>589</v>
      </c>
      <c r="G773" t="s">
        <v>1460</v>
      </c>
      <c r="H773" s="38">
        <v>46267</v>
      </c>
      <c r="I773" cm="1">
        <f t="array" ref="I773">IFERROR(INDEX('ALL STUDENTS'!$A:$A, MATCH(1, ('ALL STUDENTS'!$B:$B = B773) * ('ALL STUDENTS'!$C:$C = C773), 0)), "NOT FOUND")</f>
        <v>2183</v>
      </c>
      <c r="J773" t="str">
        <f>IF(Table26[[#This Row],[Fee]]&gt;500,Table26[[#This Row],[Fee]],"")</f>
        <v/>
      </c>
    </row>
    <row r="774" spans="1:10" hidden="1">
      <c r="A774">
        <v>773</v>
      </c>
      <c r="B774" t="s">
        <v>270</v>
      </c>
      <c r="C774" t="s">
        <v>265</v>
      </c>
      <c r="D774" t="str">
        <f t="array" ref="D774">TEXT(Table26[[#This Row],[Date]],"MMMM")</f>
        <v>September</v>
      </c>
      <c r="E774">
        <v>500</v>
      </c>
      <c r="F774" t="s">
        <v>589</v>
      </c>
      <c r="G774" t="s">
        <v>1461</v>
      </c>
      <c r="H774" s="38">
        <v>46267</v>
      </c>
      <c r="I774" cm="1">
        <f t="array" ref="I774">IFERROR(INDEX('ALL STUDENTS'!$A:$A, MATCH(1, ('ALL STUDENTS'!$B:$B = B774) * ('ALL STUDENTS'!$C:$C = C774), 0)), "NOT FOUND")</f>
        <v>2183</v>
      </c>
      <c r="J774" t="str">
        <f>IF(Table26[[#This Row],[Fee]]&gt;500,Table26[[#This Row],[Fee]],"")</f>
        <v/>
      </c>
    </row>
    <row r="775" spans="1:10" hidden="1">
      <c r="A775">
        <v>774</v>
      </c>
      <c r="B775" t="s">
        <v>270</v>
      </c>
      <c r="C775" t="s">
        <v>265</v>
      </c>
      <c r="D775" t="str">
        <f t="array" ref="D775">TEXT(Table26[[#This Row],[Date]],"MMMM")</f>
        <v>September</v>
      </c>
      <c r="E775">
        <v>500</v>
      </c>
      <c r="F775" t="s">
        <v>589</v>
      </c>
      <c r="G775" t="s">
        <v>1462</v>
      </c>
      <c r="H775" s="38">
        <v>46267</v>
      </c>
      <c r="I775" cm="1">
        <f t="array" ref="I775">IFERROR(INDEX('ALL STUDENTS'!$A:$A, MATCH(1, ('ALL STUDENTS'!$B:$B = B775) * ('ALL STUDENTS'!$C:$C = C775), 0)), "NOT FOUND")</f>
        <v>2183</v>
      </c>
      <c r="J775" t="str">
        <f>IF(Table26[[#This Row],[Fee]]&gt;500,Table26[[#This Row],[Fee]],"")</f>
        <v/>
      </c>
    </row>
    <row r="776" spans="1:10" hidden="1">
      <c r="A776">
        <v>775</v>
      </c>
      <c r="B776" t="s">
        <v>524</v>
      </c>
      <c r="C776" t="s">
        <v>520</v>
      </c>
      <c r="D776" t="str">
        <f t="array" ref="D776">TEXT(Table26[[#This Row],[Date]],"MMMM")</f>
        <v>September</v>
      </c>
      <c r="E776">
        <v>500</v>
      </c>
      <c r="F776" t="s">
        <v>591</v>
      </c>
      <c r="G776" t="s">
        <v>1463</v>
      </c>
      <c r="H776" s="38">
        <v>46266</v>
      </c>
      <c r="I776" cm="1">
        <f t="array" ref="I776">IFERROR(INDEX('ALL STUDENTS'!$A:$A, MATCH(1, ('ALL STUDENTS'!$B:$B = B776) * ('ALL STUDENTS'!$C:$C = C776), 0)), "NOT FOUND")</f>
        <v>86</v>
      </c>
      <c r="J776" t="str">
        <f>IF(Table26[[#This Row],[Fee]]&gt;500,Table26[[#This Row],[Fee]],"")</f>
        <v/>
      </c>
    </row>
    <row r="777" spans="1:10" hidden="1">
      <c r="A777">
        <v>776</v>
      </c>
      <c r="B777" t="s">
        <v>524</v>
      </c>
      <c r="C777" t="s">
        <v>520</v>
      </c>
      <c r="D777" t="str">
        <f t="array" ref="D777">TEXT(Table26[[#This Row],[Date]],"MMMM")</f>
        <v>September</v>
      </c>
      <c r="E777">
        <v>500</v>
      </c>
      <c r="F777" t="s">
        <v>591</v>
      </c>
      <c r="G777" t="s">
        <v>1464</v>
      </c>
      <c r="H777" s="38">
        <v>46266</v>
      </c>
      <c r="I777" cm="1">
        <f t="array" ref="I777">IFERROR(INDEX('ALL STUDENTS'!$A:$A, MATCH(1, ('ALL STUDENTS'!$B:$B = B777) * ('ALL STUDENTS'!$C:$C = C777), 0)), "NOT FOUND")</f>
        <v>86</v>
      </c>
      <c r="J777" t="str">
        <f>IF(Table26[[#This Row],[Fee]]&gt;500,Table26[[#This Row],[Fee]],"")</f>
        <v/>
      </c>
    </row>
    <row r="778" spans="1:10" hidden="1">
      <c r="A778">
        <v>777</v>
      </c>
      <c r="B778" t="s">
        <v>23</v>
      </c>
      <c r="C778" t="s">
        <v>20</v>
      </c>
      <c r="D778" t="str">
        <f t="array" ref="D778">TEXT(Table26[[#This Row],[Date]],"MMMM")</f>
        <v>September</v>
      </c>
      <c r="E778">
        <v>500</v>
      </c>
      <c r="F778" t="s">
        <v>589</v>
      </c>
      <c r="G778" t="s">
        <v>1465</v>
      </c>
      <c r="H778" s="38">
        <v>46267</v>
      </c>
      <c r="I778" cm="1">
        <f t="array" ref="I778">IFERROR(INDEX('ALL STUDENTS'!$A:$A, MATCH(1, ('ALL STUDENTS'!$B:$B = B778) * ('ALL STUDENTS'!$C:$C = C778), 0)), "NOT FOUND")</f>
        <v>3051</v>
      </c>
      <c r="J778" t="str">
        <f>IF(Table26[[#This Row],[Fee]]&gt;500,Table26[[#This Row],[Fee]],"")</f>
        <v/>
      </c>
    </row>
    <row r="779" spans="1:10" hidden="1">
      <c r="A779">
        <v>778</v>
      </c>
      <c r="B779" t="s">
        <v>214</v>
      </c>
      <c r="C779" t="s">
        <v>211</v>
      </c>
      <c r="D779" t="str">
        <f t="array" ref="D779">TEXT(Table26[[#This Row],[Date]],"MMMM")</f>
        <v>September</v>
      </c>
      <c r="E779">
        <v>500</v>
      </c>
      <c r="F779" t="s">
        <v>589</v>
      </c>
      <c r="G779" t="s">
        <v>1466</v>
      </c>
      <c r="H779" s="38">
        <v>46267</v>
      </c>
      <c r="I779" cm="1">
        <f t="array" ref="I779">IFERROR(INDEX('ALL STUDENTS'!$A:$A, MATCH(1, ('ALL STUDENTS'!$B:$B = B779) * ('ALL STUDENTS'!$C:$C = C779), 0)), "NOT FOUND")</f>
        <v>2001</v>
      </c>
      <c r="J779" t="str">
        <f>IF(Table26[[#This Row],[Fee]]&gt;500,Table26[[#This Row],[Fee]],"")</f>
        <v/>
      </c>
    </row>
    <row r="780" spans="1:10" hidden="1">
      <c r="A780">
        <v>779</v>
      </c>
      <c r="B780" t="s">
        <v>271</v>
      </c>
      <c r="C780" t="s">
        <v>265</v>
      </c>
      <c r="D780" t="str">
        <f t="array" ref="D780">TEXT(Table26[[#This Row],[Date]],"MMMM")</f>
        <v>September</v>
      </c>
      <c r="E780">
        <v>500</v>
      </c>
      <c r="F780" t="s">
        <v>589</v>
      </c>
      <c r="G780" t="s">
        <v>1467</v>
      </c>
      <c r="H780" s="38">
        <v>46267</v>
      </c>
      <c r="I780" cm="1">
        <f t="array" ref="I780">IFERROR(INDEX('ALL STUDENTS'!$A:$A, MATCH(1, ('ALL STUDENTS'!$B:$B = B780) * ('ALL STUDENTS'!$C:$C = C780), 0)), "NOT FOUND")</f>
        <v>2148</v>
      </c>
      <c r="J780" t="str">
        <f>IF(Table26[[#This Row],[Fee]]&gt;500,Table26[[#This Row],[Fee]],"")</f>
        <v/>
      </c>
    </row>
    <row r="781" spans="1:10" hidden="1">
      <c r="A781">
        <v>780</v>
      </c>
      <c r="B781" t="s">
        <v>297</v>
      </c>
      <c r="C781" t="s">
        <v>294</v>
      </c>
      <c r="D781" t="str">
        <f t="array" ref="D781">TEXT(Table26[[#This Row],[Date]],"MMMM")</f>
        <v>September</v>
      </c>
      <c r="E781">
        <v>500</v>
      </c>
      <c r="F781" t="s">
        <v>589</v>
      </c>
      <c r="G781" t="s">
        <v>1468</v>
      </c>
      <c r="H781" s="38">
        <v>46267</v>
      </c>
      <c r="I781" cm="1">
        <f t="array" ref="I781">IFERROR(INDEX('ALL STUDENTS'!$A:$A, MATCH(1, ('ALL STUDENTS'!$B:$B = B781) * ('ALL STUDENTS'!$C:$C = C781), 0)), "NOT FOUND")</f>
        <v>2261</v>
      </c>
      <c r="J781" t="str">
        <f>IF(Table26[[#This Row],[Fee]]&gt;500,Table26[[#This Row],[Fee]],"")</f>
        <v/>
      </c>
    </row>
    <row r="782" spans="1:10" hidden="1">
      <c r="A782">
        <v>781</v>
      </c>
      <c r="B782" t="s">
        <v>146</v>
      </c>
      <c r="C782" t="s">
        <v>138</v>
      </c>
      <c r="D782" t="str">
        <f t="array" ref="D782">TEXT(Table26[[#This Row],[Date]],"MMMM")</f>
        <v>September</v>
      </c>
      <c r="E782">
        <v>500</v>
      </c>
      <c r="F782" t="s">
        <v>589</v>
      </c>
      <c r="G782" t="s">
        <v>1469</v>
      </c>
      <c r="H782" s="38">
        <v>46267</v>
      </c>
      <c r="I782" cm="1">
        <f t="array" ref="I782">IFERROR(INDEX('ALL STUDENTS'!$A:$A, MATCH(1, ('ALL STUDENTS'!$B:$B = B782) * ('ALL STUDENTS'!$C:$C = C782), 0)), "NOT FOUND")</f>
        <v>1737</v>
      </c>
      <c r="J782" t="str">
        <f>IF(Table26[[#This Row],[Fee]]&gt;500,Table26[[#This Row],[Fee]],"")</f>
        <v/>
      </c>
    </row>
    <row r="783" spans="1:10" hidden="1">
      <c r="A783">
        <v>782</v>
      </c>
      <c r="B783" t="s">
        <v>525</v>
      </c>
      <c r="C783" t="s">
        <v>520</v>
      </c>
      <c r="D783" t="str">
        <f t="array" ref="D783">TEXT(Table26[[#This Row],[Date]],"MMMM")</f>
        <v>September</v>
      </c>
      <c r="E783">
        <v>500</v>
      </c>
      <c r="F783" t="s">
        <v>589</v>
      </c>
      <c r="G783" t="s">
        <v>1470</v>
      </c>
      <c r="H783" s="38">
        <v>46268</v>
      </c>
      <c r="I783" cm="1">
        <f t="array" ref="I783">IFERROR(INDEX('ALL STUDENTS'!$A:$A, MATCH(1, ('ALL STUDENTS'!$B:$B = B783) * ('ALL STUDENTS'!$C:$C = C783), 0)), "NOT FOUND")</f>
        <v>89</v>
      </c>
      <c r="J783" t="str">
        <f>IF(Table26[[#This Row],[Fee]]&gt;500,Table26[[#This Row],[Fee]],"")</f>
        <v/>
      </c>
    </row>
    <row r="784" spans="1:10" hidden="1">
      <c r="A784">
        <v>783</v>
      </c>
      <c r="B784" t="s">
        <v>525</v>
      </c>
      <c r="C784" t="s">
        <v>520</v>
      </c>
      <c r="D784" t="str">
        <f t="array" ref="D784">TEXT(Table26[[#This Row],[Date]],"MMMM")</f>
        <v>September</v>
      </c>
      <c r="E784">
        <v>500</v>
      </c>
      <c r="F784" t="s">
        <v>589</v>
      </c>
      <c r="G784" t="s">
        <v>1471</v>
      </c>
      <c r="H784" s="38">
        <v>46268</v>
      </c>
      <c r="I784" cm="1">
        <f t="array" ref="I784">IFERROR(INDEX('ALL STUDENTS'!$A:$A, MATCH(1, ('ALL STUDENTS'!$B:$B = B784) * ('ALL STUDENTS'!$C:$C = C784), 0)), "NOT FOUND")</f>
        <v>89</v>
      </c>
      <c r="J784" t="str">
        <f>IF(Table26[[#This Row],[Fee]]&gt;500,Table26[[#This Row],[Fee]],"")</f>
        <v/>
      </c>
    </row>
    <row r="785" spans="1:10" hidden="1">
      <c r="A785">
        <v>784</v>
      </c>
      <c r="B785" t="s">
        <v>525</v>
      </c>
      <c r="C785" t="s">
        <v>520</v>
      </c>
      <c r="D785" t="str">
        <f t="array" ref="D785">TEXT(Table26[[#This Row],[Date]],"MMMM")</f>
        <v>September</v>
      </c>
      <c r="E785">
        <v>500</v>
      </c>
      <c r="F785" t="s">
        <v>589</v>
      </c>
      <c r="G785" t="s">
        <v>1472</v>
      </c>
      <c r="H785" s="38">
        <v>46268</v>
      </c>
      <c r="I785" cm="1">
        <f t="array" ref="I785">IFERROR(INDEX('ALL STUDENTS'!$A:$A, MATCH(1, ('ALL STUDENTS'!$B:$B = B785) * ('ALL STUDENTS'!$C:$C = C785), 0)), "NOT FOUND")</f>
        <v>89</v>
      </c>
      <c r="J785" t="str">
        <f>IF(Table26[[#This Row],[Fee]]&gt;500,Table26[[#This Row],[Fee]],"")</f>
        <v/>
      </c>
    </row>
    <row r="786" spans="1:10" hidden="1">
      <c r="A786">
        <v>785</v>
      </c>
      <c r="B786" t="s">
        <v>285</v>
      </c>
      <c r="C786" t="s">
        <v>273</v>
      </c>
      <c r="D786" t="str">
        <f t="array" ref="D786">TEXT(Table26[[#This Row],[Date]],"MMMM")</f>
        <v>September</v>
      </c>
      <c r="E786">
        <v>500</v>
      </c>
      <c r="F786" t="s">
        <v>589</v>
      </c>
      <c r="G786" t="s">
        <v>1473</v>
      </c>
      <c r="H786" s="38">
        <v>46268</v>
      </c>
      <c r="I786" cm="1">
        <f t="array" ref="I786">IFERROR(INDEX('ALL STUDENTS'!$A:$A, MATCH(1, ('ALL STUDENTS'!$B:$B = B786) * ('ALL STUDENTS'!$C:$C = C786), 0)), "NOT FOUND")</f>
        <v>2206</v>
      </c>
      <c r="J786" t="str">
        <f>IF(Table26[[#This Row],[Fee]]&gt;500,Table26[[#This Row],[Fee]],"")</f>
        <v/>
      </c>
    </row>
    <row r="787" spans="1:10" hidden="1">
      <c r="A787">
        <v>786</v>
      </c>
      <c r="B787" t="s">
        <v>285</v>
      </c>
      <c r="C787" t="s">
        <v>273</v>
      </c>
      <c r="D787" t="str">
        <f t="array" ref="D787">TEXT(Table26[[#This Row],[Date]],"MMMM")</f>
        <v>September</v>
      </c>
      <c r="E787">
        <v>500</v>
      </c>
      <c r="F787" t="s">
        <v>589</v>
      </c>
      <c r="G787" t="s">
        <v>1474</v>
      </c>
      <c r="H787" s="38">
        <v>46268</v>
      </c>
      <c r="I787" cm="1">
        <f t="array" ref="I787">IFERROR(INDEX('ALL STUDENTS'!$A:$A, MATCH(1, ('ALL STUDENTS'!$B:$B = B787) * ('ALL STUDENTS'!$C:$C = C787), 0)), "NOT FOUND")</f>
        <v>2206</v>
      </c>
      <c r="J787" t="str">
        <f>IF(Table26[[#This Row],[Fee]]&gt;500,Table26[[#This Row],[Fee]],"")</f>
        <v/>
      </c>
    </row>
    <row r="788" spans="1:10" hidden="1">
      <c r="A788">
        <v>787</v>
      </c>
      <c r="B788" t="s">
        <v>285</v>
      </c>
      <c r="C788" t="s">
        <v>273</v>
      </c>
      <c r="D788" t="str">
        <f t="array" ref="D788">TEXT(Table26[[#This Row],[Date]],"MMMM")</f>
        <v>September</v>
      </c>
      <c r="E788">
        <v>500</v>
      </c>
      <c r="F788" t="s">
        <v>589</v>
      </c>
      <c r="G788" t="s">
        <v>1475</v>
      </c>
      <c r="H788" s="38">
        <v>46268</v>
      </c>
      <c r="I788" cm="1">
        <f t="array" ref="I788">IFERROR(INDEX('ALL STUDENTS'!$A:$A, MATCH(1, ('ALL STUDENTS'!$B:$B = B788) * ('ALL STUDENTS'!$C:$C = C788), 0)), "NOT FOUND")</f>
        <v>2206</v>
      </c>
      <c r="J788" t="str">
        <f>IF(Table26[[#This Row],[Fee]]&gt;500,Table26[[#This Row],[Fee]],"")</f>
        <v/>
      </c>
    </row>
    <row r="789" spans="1:10" hidden="1">
      <c r="A789">
        <v>788</v>
      </c>
      <c r="B789" t="s">
        <v>158</v>
      </c>
      <c r="C789" t="s">
        <v>149</v>
      </c>
      <c r="D789" t="str">
        <f t="array" ref="D789">TEXT(Table26[[#This Row],[Date]],"MMMM")</f>
        <v>September</v>
      </c>
      <c r="E789">
        <v>500</v>
      </c>
      <c r="F789" t="s">
        <v>591</v>
      </c>
      <c r="G789" t="s">
        <v>1476</v>
      </c>
      <c r="H789" s="38">
        <v>46267</v>
      </c>
      <c r="I789" cm="1">
        <f t="array" ref="I789">IFERROR(INDEX('ALL STUDENTS'!$A:$A, MATCH(1, ('ALL STUDENTS'!$B:$B = B789) * ('ALL STUDENTS'!$C:$C = C789), 0)), "NOT FOUND")</f>
        <v>1792</v>
      </c>
      <c r="J789" t="str">
        <f>IF(Table26[[#This Row],[Fee]]&gt;500,Table26[[#This Row],[Fee]],"")</f>
        <v/>
      </c>
    </row>
    <row r="790" spans="1:10" hidden="1">
      <c r="A790">
        <v>789</v>
      </c>
      <c r="B790" t="s">
        <v>553</v>
      </c>
      <c r="C790" t="s">
        <v>548</v>
      </c>
      <c r="D790" t="str">
        <f t="array" ref="D790">TEXT(Table26[[#This Row],[Date]],"MMMM")</f>
        <v>September</v>
      </c>
      <c r="E790">
        <v>500</v>
      </c>
      <c r="F790" t="s">
        <v>591</v>
      </c>
      <c r="G790" t="s">
        <v>1477</v>
      </c>
      <c r="H790" s="38">
        <v>46267</v>
      </c>
      <c r="I790" cm="1">
        <f t="array" ref="I790">IFERROR(INDEX('ALL STUDENTS'!$A:$A, MATCH(1, ('ALL STUDENTS'!$B:$B = B790) * ('ALL STUDENTS'!$C:$C = C790), 0)), "NOT FOUND")</f>
        <v>192</v>
      </c>
      <c r="J790" t="str">
        <f>IF(Table26[[#This Row],[Fee]]&gt;500,Table26[[#This Row],[Fee]],"")</f>
        <v/>
      </c>
    </row>
    <row r="791" spans="1:10" hidden="1">
      <c r="A791">
        <v>790</v>
      </c>
      <c r="B791" t="s">
        <v>553</v>
      </c>
      <c r="C791" t="s">
        <v>548</v>
      </c>
      <c r="D791" t="str">
        <f t="array" ref="D791">TEXT(Table26[[#This Row],[Date]],"MMMM")</f>
        <v>September</v>
      </c>
      <c r="E791">
        <v>500</v>
      </c>
      <c r="F791" t="s">
        <v>591</v>
      </c>
      <c r="G791" t="s">
        <v>1478</v>
      </c>
      <c r="H791" s="38">
        <v>46267</v>
      </c>
      <c r="I791" cm="1">
        <f t="array" ref="I791">IFERROR(INDEX('ALL STUDENTS'!$A:$A, MATCH(1, ('ALL STUDENTS'!$B:$B = B791) * ('ALL STUDENTS'!$C:$C = C791), 0)), "NOT FOUND")</f>
        <v>192</v>
      </c>
      <c r="J791" t="str">
        <f>IF(Table26[[#This Row],[Fee]]&gt;500,Table26[[#This Row],[Fee]],"")</f>
        <v/>
      </c>
    </row>
    <row r="792" spans="1:10" hidden="1">
      <c r="A792">
        <v>791</v>
      </c>
      <c r="B792" t="s">
        <v>553</v>
      </c>
      <c r="C792" t="s">
        <v>548</v>
      </c>
      <c r="D792" t="str">
        <f t="array" ref="D792">TEXT(Table26[[#This Row],[Date]],"MMMM")</f>
        <v>September</v>
      </c>
      <c r="E792">
        <v>500</v>
      </c>
      <c r="F792" t="s">
        <v>591</v>
      </c>
      <c r="G792" t="s">
        <v>1479</v>
      </c>
      <c r="H792" s="38">
        <v>46267</v>
      </c>
      <c r="I792" cm="1">
        <f t="array" ref="I792">IFERROR(INDEX('ALL STUDENTS'!$A:$A, MATCH(1, ('ALL STUDENTS'!$B:$B = B792) * ('ALL STUDENTS'!$C:$C = C792), 0)), "NOT FOUND")</f>
        <v>192</v>
      </c>
      <c r="J792" t="str">
        <f>IF(Table26[[#This Row],[Fee]]&gt;500,Table26[[#This Row],[Fee]],"")</f>
        <v/>
      </c>
    </row>
    <row r="793" spans="1:10" hidden="1">
      <c r="A793">
        <v>792</v>
      </c>
      <c r="B793" t="s">
        <v>557</v>
      </c>
      <c r="C793" t="s">
        <v>556</v>
      </c>
      <c r="D793" t="str">
        <f t="array" ref="D793">TEXT(Table26[[#This Row],[Date]],"MMMM")</f>
        <v>September</v>
      </c>
      <c r="E793">
        <v>500</v>
      </c>
      <c r="F793" t="s">
        <v>591</v>
      </c>
      <c r="G793" t="s">
        <v>1480</v>
      </c>
      <c r="H793" s="38">
        <v>46267</v>
      </c>
      <c r="I793" cm="1">
        <f t="array" ref="I793">IFERROR(INDEX('ALL STUDENTS'!$A:$A, MATCH(1, ('ALL STUDENTS'!$B:$B = B793) * ('ALL STUDENTS'!$C:$C = C793), 0)), "NOT FOUND")</f>
        <v>228</v>
      </c>
      <c r="J793" t="str">
        <f>IF(Table26[[#This Row],[Fee]]&gt;500,Table26[[#This Row],[Fee]],"")</f>
        <v/>
      </c>
    </row>
    <row r="794" spans="1:10" hidden="1">
      <c r="A794">
        <v>793</v>
      </c>
      <c r="B794" t="s">
        <v>571</v>
      </c>
      <c r="C794" t="s">
        <v>569</v>
      </c>
      <c r="D794" t="str">
        <f t="array" ref="D794">TEXT(Table26[[#This Row],[Date]],"MMMM")</f>
        <v>September</v>
      </c>
      <c r="E794">
        <v>500</v>
      </c>
      <c r="F794" t="s">
        <v>591</v>
      </c>
      <c r="G794" t="s">
        <v>1481</v>
      </c>
      <c r="H794" s="38">
        <v>46268</v>
      </c>
      <c r="I794" cm="1">
        <f t="array" ref="I794">IFERROR(INDEX('ALL STUDENTS'!$A:$A, MATCH(1, ('ALL STUDENTS'!$B:$B = B794) * ('ALL STUDENTS'!$C:$C = C794), 0)), "NOT FOUND")</f>
        <v>1292</v>
      </c>
      <c r="J794" t="str">
        <f>IF(Table26[[#This Row],[Fee]]&gt;500,Table26[[#This Row],[Fee]],"")</f>
        <v/>
      </c>
    </row>
    <row r="795" spans="1:10" hidden="1">
      <c r="A795">
        <v>794</v>
      </c>
      <c r="B795" t="s">
        <v>372</v>
      </c>
      <c r="C795" t="s">
        <v>366</v>
      </c>
      <c r="D795" t="str">
        <f t="array" ref="D795">TEXT(Table26[[#This Row],[Date]],"MMMM")</f>
        <v>September</v>
      </c>
      <c r="E795">
        <v>500</v>
      </c>
      <c r="F795" t="s">
        <v>591</v>
      </c>
      <c r="G795" t="s">
        <v>1482</v>
      </c>
      <c r="H795" s="38">
        <v>46268</v>
      </c>
      <c r="I795" cm="1">
        <f t="array" ref="I795">IFERROR(INDEX('ALL STUDENTS'!$A:$A, MATCH(1, ('ALL STUDENTS'!$B:$B = B795) * ('ALL STUDENTS'!$C:$C = C795), 0)), "NOT FOUND")</f>
        <v>802</v>
      </c>
      <c r="J795" t="str">
        <f>IF(Table26[[#This Row],[Fee]]&gt;500,Table26[[#This Row],[Fee]],"")</f>
        <v/>
      </c>
    </row>
    <row r="796" spans="1:10" hidden="1">
      <c r="A796">
        <v>795</v>
      </c>
      <c r="B796" t="s">
        <v>554</v>
      </c>
      <c r="C796" t="s">
        <v>548</v>
      </c>
      <c r="D796" t="str">
        <f t="array" ref="D796">TEXT(Table26[[#This Row],[Date]],"MMMM")</f>
        <v>September</v>
      </c>
      <c r="E796">
        <v>500</v>
      </c>
      <c r="F796" t="s">
        <v>591</v>
      </c>
      <c r="G796" t="s">
        <v>1483</v>
      </c>
      <c r="H796" s="38">
        <v>46268</v>
      </c>
      <c r="I796" cm="1">
        <f t="array" ref="I796">IFERROR(INDEX('ALL STUDENTS'!$A:$A, MATCH(1, ('ALL STUDENTS'!$B:$B = B796) * ('ALL STUDENTS'!$C:$C = C796), 0)), "NOT FOUND")</f>
        <v>195</v>
      </c>
      <c r="J796" t="str">
        <f>IF(Table26[[#This Row],[Fee]]&gt;500,Table26[[#This Row],[Fee]],"")</f>
        <v/>
      </c>
    </row>
    <row r="797" spans="1:10" hidden="1">
      <c r="A797">
        <v>796</v>
      </c>
      <c r="B797" t="s">
        <v>272</v>
      </c>
      <c r="C797" t="s">
        <v>265</v>
      </c>
      <c r="D797" t="str">
        <f t="array" ref="D797">TEXT(Table26[[#This Row],[Date]],"MMMM")</f>
        <v>September</v>
      </c>
      <c r="E797">
        <v>500</v>
      </c>
      <c r="F797" t="s">
        <v>591</v>
      </c>
      <c r="G797" t="s">
        <v>1484</v>
      </c>
      <c r="H797" s="38">
        <v>46268</v>
      </c>
      <c r="I797" cm="1">
        <f t="array" ref="I797">IFERROR(INDEX('ALL STUDENTS'!$A:$A, MATCH(1, ('ALL STUDENTS'!$B:$B = B797) * ('ALL STUDENTS'!$C:$C = C797), 0)), "NOT FOUND")</f>
        <v>2168</v>
      </c>
      <c r="J797" t="str">
        <f>IF(Table26[[#This Row],[Fee]]&gt;500,Table26[[#This Row],[Fee]],"")</f>
        <v/>
      </c>
    </row>
    <row r="798" spans="1:10" hidden="1">
      <c r="A798">
        <v>797</v>
      </c>
      <c r="B798" t="s">
        <v>487</v>
      </c>
      <c r="C798" t="s">
        <v>480</v>
      </c>
      <c r="D798" t="str">
        <f t="array" ref="D798">TEXT(Table26[[#This Row],[Date]],"MMMM")</f>
        <v>September</v>
      </c>
      <c r="E798">
        <v>500</v>
      </c>
      <c r="F798" t="s">
        <v>591</v>
      </c>
      <c r="G798" t="s">
        <v>1485</v>
      </c>
      <c r="H798" s="38">
        <v>46268</v>
      </c>
      <c r="I798" cm="1">
        <f t="array" ref="I798">IFERROR(INDEX('ALL STUDENTS'!$A:$A, MATCH(1, ('ALL STUDENTS'!$B:$B = B798) * ('ALL STUDENTS'!$C:$C = C798), 0)), "NOT FOUND")</f>
        <v>280</v>
      </c>
      <c r="J798" t="str">
        <f>IF(Table26[[#This Row],[Fee]]&gt;500,Table26[[#This Row],[Fee]],"")</f>
        <v/>
      </c>
    </row>
    <row r="799" spans="1:10">
      <c r="A799">
        <v>798</v>
      </c>
      <c r="B799" t="s">
        <v>314</v>
      </c>
      <c r="C799" t="s">
        <v>304</v>
      </c>
      <c r="D799" t="str">
        <f t="array" ref="D799">TEXT(Table26[[#This Row],[Date]],"MMMM")</f>
        <v>September</v>
      </c>
      <c r="E799">
        <v>500</v>
      </c>
      <c r="F799" t="s">
        <v>591</v>
      </c>
      <c r="G799" t="s">
        <v>1486</v>
      </c>
      <c r="H799" s="38">
        <v>46268</v>
      </c>
      <c r="I799" t="str" cm="1">
        <f t="array" ref="I799">IFERROR(INDEX('ALL STUDENTS'!$A:$A, MATCH(1, ('ALL STUDENTS'!$B:$B = B799) * ('ALL STUDENTS'!$C:$C = C799), 0)), "NOT FOUND")</f>
        <v>NOT FOUND</v>
      </c>
      <c r="J799" t="str">
        <f>IF(Table26[[#This Row],[Fee]]&gt;500,Table26[[#This Row],[Fee]],"")</f>
        <v/>
      </c>
    </row>
    <row r="800" spans="1:10" hidden="1">
      <c r="A800">
        <v>799</v>
      </c>
      <c r="B800" t="s">
        <v>462</v>
      </c>
      <c r="C800" t="s">
        <v>453</v>
      </c>
      <c r="D800" t="str">
        <f t="array" ref="D800">TEXT(Table26[[#This Row],[Date]],"MMMM")</f>
        <v>September</v>
      </c>
      <c r="E800">
        <v>500</v>
      </c>
      <c r="F800" t="s">
        <v>591</v>
      </c>
      <c r="G800" t="s">
        <v>1487</v>
      </c>
      <c r="H800" s="38">
        <v>46268</v>
      </c>
      <c r="I800" cm="1">
        <f t="array" ref="I800">IFERROR(INDEX('ALL STUDENTS'!$A:$A, MATCH(1, ('ALL STUDENTS'!$B:$B = B800) * ('ALL STUDENTS'!$C:$C = C800), 0)), "NOT FOUND")</f>
        <v>707</v>
      </c>
      <c r="J800" t="str">
        <f>IF(Table26[[#This Row],[Fee]]&gt;500,Table26[[#This Row],[Fee]],"")</f>
        <v/>
      </c>
    </row>
    <row r="801" spans="1:10" hidden="1">
      <c r="A801">
        <v>800</v>
      </c>
      <c r="B801" t="s">
        <v>462</v>
      </c>
      <c r="C801" t="s">
        <v>453</v>
      </c>
      <c r="D801" t="str">
        <f t="array" ref="D801">TEXT(Table26[[#This Row],[Date]],"MMMM")</f>
        <v>September</v>
      </c>
      <c r="E801">
        <v>500</v>
      </c>
      <c r="F801" t="s">
        <v>591</v>
      </c>
      <c r="G801" t="s">
        <v>1488</v>
      </c>
      <c r="H801" s="38">
        <v>46268</v>
      </c>
      <c r="I801" cm="1">
        <f t="array" ref="I801">IFERROR(INDEX('ALL STUDENTS'!$A:$A, MATCH(1, ('ALL STUDENTS'!$B:$B = B801) * ('ALL STUDENTS'!$C:$C = C801), 0)), "NOT FOUND")</f>
        <v>707</v>
      </c>
      <c r="J801" t="str">
        <f>IF(Table26[[#This Row],[Fee]]&gt;500,Table26[[#This Row],[Fee]],"")</f>
        <v/>
      </c>
    </row>
    <row r="802" spans="1:10" hidden="1">
      <c r="A802">
        <v>801</v>
      </c>
      <c r="B802" t="s">
        <v>462</v>
      </c>
      <c r="C802" t="s">
        <v>453</v>
      </c>
      <c r="D802" t="str">
        <f t="array" ref="D802">TEXT(Table26[[#This Row],[Date]],"MMMM")</f>
        <v>September</v>
      </c>
      <c r="E802">
        <v>500</v>
      </c>
      <c r="F802" t="s">
        <v>591</v>
      </c>
      <c r="G802" t="s">
        <v>1489</v>
      </c>
      <c r="H802" s="38">
        <v>46268</v>
      </c>
      <c r="I802" cm="1">
        <f t="array" ref="I802">IFERROR(INDEX('ALL STUDENTS'!$A:$A, MATCH(1, ('ALL STUDENTS'!$B:$B = B802) * ('ALL STUDENTS'!$C:$C = C802), 0)), "NOT FOUND")</f>
        <v>707</v>
      </c>
      <c r="J802" t="str">
        <f>IF(Table26[[#This Row],[Fee]]&gt;500,Table26[[#This Row],[Fee]],"")</f>
        <v/>
      </c>
    </row>
    <row r="803" spans="1:10" hidden="1">
      <c r="A803">
        <v>802</v>
      </c>
      <c r="B803" t="s">
        <v>220</v>
      </c>
      <c r="C803" t="s">
        <v>211</v>
      </c>
      <c r="D803" t="str">
        <f t="array" ref="D803">TEXT(Table26[[#This Row],[Date]],"MMMM")</f>
        <v>September</v>
      </c>
      <c r="E803">
        <v>500</v>
      </c>
      <c r="F803" t="s">
        <v>591</v>
      </c>
      <c r="G803" t="s">
        <v>1490</v>
      </c>
      <c r="H803" s="38">
        <v>46268</v>
      </c>
      <c r="I803" cm="1">
        <f t="array" ref="I803">IFERROR(INDEX('ALL STUDENTS'!$A:$A, MATCH(1, ('ALL STUDENTS'!$B:$B = B803) * ('ALL STUDENTS'!$C:$C = C803), 0)), "NOT FOUND")</f>
        <v>1991</v>
      </c>
      <c r="J803" t="str">
        <f>IF(Table26[[#This Row],[Fee]]&gt;500,Table26[[#This Row],[Fee]],"")</f>
        <v/>
      </c>
    </row>
    <row r="804" spans="1:10">
      <c r="A804">
        <v>803</v>
      </c>
      <c r="B804" t="s">
        <v>573</v>
      </c>
      <c r="C804" t="s">
        <v>572</v>
      </c>
      <c r="D804" t="str">
        <f t="array" ref="D804">TEXT(Table26[[#This Row],[Date]],"MMMM")</f>
        <v>September</v>
      </c>
      <c r="E804">
        <v>500</v>
      </c>
      <c r="F804" t="s">
        <v>591</v>
      </c>
      <c r="G804" t="s">
        <v>1491</v>
      </c>
      <c r="H804" s="38">
        <v>46268</v>
      </c>
      <c r="I804" t="str" cm="1">
        <f t="array" ref="I804">IFERROR(INDEX('ALL STUDENTS'!$A:$A, MATCH(1, ('ALL STUDENTS'!$B:$B = B804) * ('ALL STUDENTS'!$C:$C = C804), 0)), "NOT FOUND")</f>
        <v>NOT FOUND</v>
      </c>
      <c r="J804" t="str">
        <f>IF(Table26[[#This Row],[Fee]]&gt;500,Table26[[#This Row],[Fee]],"")</f>
        <v/>
      </c>
    </row>
    <row r="805" spans="1:10" hidden="1">
      <c r="A805">
        <v>804</v>
      </c>
      <c r="B805" t="s">
        <v>208</v>
      </c>
      <c r="C805" t="s">
        <v>205</v>
      </c>
      <c r="D805" t="str">
        <f t="array" ref="D805">TEXT(Table26[[#This Row],[Date]],"MMMM")</f>
        <v>September</v>
      </c>
      <c r="E805">
        <v>500</v>
      </c>
      <c r="F805" t="s">
        <v>591</v>
      </c>
      <c r="G805" t="s">
        <v>1492</v>
      </c>
      <c r="H805" s="38">
        <v>46268</v>
      </c>
      <c r="I805" cm="1">
        <f t="array" ref="I805">IFERROR(INDEX('ALL STUDENTS'!$A:$A, MATCH(1, ('ALL STUDENTS'!$B:$B = B805) * ('ALL STUDENTS'!$C:$C = C805), 0)), "NOT FOUND")</f>
        <v>1964</v>
      </c>
      <c r="J805" t="str">
        <f>IF(Table26[[#This Row],[Fee]]&gt;500,Table26[[#This Row],[Fee]],"")</f>
        <v/>
      </c>
    </row>
    <row r="806" spans="1:10" hidden="1">
      <c r="A806">
        <v>805</v>
      </c>
      <c r="B806" t="s">
        <v>464</v>
      </c>
      <c r="C806" t="s">
        <v>463</v>
      </c>
      <c r="D806" t="str">
        <f t="array" ref="D806">TEXT(Table26[[#This Row],[Date]],"MMMM")</f>
        <v>September</v>
      </c>
      <c r="E806">
        <v>500</v>
      </c>
      <c r="F806" t="s">
        <v>591</v>
      </c>
      <c r="G806" t="s">
        <v>1493</v>
      </c>
      <c r="H806" s="38">
        <v>46268</v>
      </c>
      <c r="I806" cm="1">
        <f t="array" ref="I806">IFERROR(INDEX('ALL STUDENTS'!$A:$A, MATCH(1, ('ALL STUDENTS'!$B:$B = B806) * ('ALL STUDENTS'!$C:$C = C806), 0)), "NOT FOUND")</f>
        <v>731</v>
      </c>
      <c r="J806" t="str">
        <f>IF(Table26[[#This Row],[Fee]]&gt;500,Table26[[#This Row],[Fee]],"")</f>
        <v/>
      </c>
    </row>
    <row r="807" spans="1:10" hidden="1">
      <c r="A807">
        <v>806</v>
      </c>
      <c r="B807" t="s">
        <v>47</v>
      </c>
      <c r="C807" t="s">
        <v>32</v>
      </c>
      <c r="D807" t="str">
        <f t="array" ref="D807">TEXT(Table26[[#This Row],[Date]],"MMMM")</f>
        <v>September</v>
      </c>
      <c r="E807">
        <v>500</v>
      </c>
      <c r="F807" t="s">
        <v>589</v>
      </c>
      <c r="G807" t="s">
        <v>1494</v>
      </c>
      <c r="H807" s="38">
        <v>46272</v>
      </c>
      <c r="I807" cm="1">
        <f t="array" ref="I807">IFERROR(INDEX('ALL STUDENTS'!$A:$A, MATCH(1, ('ALL STUDENTS'!$B:$B = B807) * ('ALL STUDENTS'!$C:$C = C807), 0)), "NOT FOUND")</f>
        <v>3075</v>
      </c>
      <c r="J807" t="str">
        <f>IF(Table26[[#This Row],[Fee]]&gt;500,Table26[[#This Row],[Fee]],"")</f>
        <v/>
      </c>
    </row>
    <row r="808" spans="1:10" hidden="1">
      <c r="A808">
        <v>807</v>
      </c>
      <c r="B808" t="s">
        <v>47</v>
      </c>
      <c r="C808" t="s">
        <v>32</v>
      </c>
      <c r="D808" t="str">
        <f t="array" ref="D808">TEXT(Table26[[#This Row],[Date]],"MMMM")</f>
        <v>September</v>
      </c>
      <c r="E808">
        <v>500</v>
      </c>
      <c r="F808" t="s">
        <v>589</v>
      </c>
      <c r="G808" t="s">
        <v>1495</v>
      </c>
      <c r="H808" s="38">
        <v>46272</v>
      </c>
      <c r="I808" cm="1">
        <f t="array" ref="I808">IFERROR(INDEX('ALL STUDENTS'!$A:$A, MATCH(1, ('ALL STUDENTS'!$B:$B = B808) * ('ALL STUDENTS'!$C:$C = C808), 0)), "NOT FOUND")</f>
        <v>3075</v>
      </c>
      <c r="J808" t="str">
        <f>IF(Table26[[#This Row],[Fee]]&gt;500,Table26[[#This Row],[Fee]],"")</f>
        <v/>
      </c>
    </row>
    <row r="809" spans="1:10" hidden="1">
      <c r="A809">
        <v>808</v>
      </c>
      <c r="B809" t="s">
        <v>47</v>
      </c>
      <c r="C809" t="s">
        <v>32</v>
      </c>
      <c r="D809" t="str">
        <f t="array" ref="D809">TEXT(Table26[[#This Row],[Date]],"MMMM")</f>
        <v>September</v>
      </c>
      <c r="E809">
        <v>500</v>
      </c>
      <c r="F809" t="s">
        <v>589</v>
      </c>
      <c r="G809" t="s">
        <v>1496</v>
      </c>
      <c r="H809" s="38">
        <v>46272</v>
      </c>
      <c r="I809" cm="1">
        <f t="array" ref="I809">IFERROR(INDEX('ALL STUDENTS'!$A:$A, MATCH(1, ('ALL STUDENTS'!$B:$B = B809) * ('ALL STUDENTS'!$C:$C = C809), 0)), "NOT FOUND")</f>
        <v>3075</v>
      </c>
      <c r="J809" t="str">
        <f>IF(Table26[[#This Row],[Fee]]&gt;500,Table26[[#This Row],[Fee]],"")</f>
        <v/>
      </c>
    </row>
    <row r="810" spans="1:10" hidden="1">
      <c r="A810">
        <v>809</v>
      </c>
      <c r="B810" t="s">
        <v>136</v>
      </c>
      <c r="C810" t="s">
        <v>128</v>
      </c>
      <c r="D810" t="str">
        <f t="array" ref="D810">TEXT(Table26[[#This Row],[Date]],"MMMM")</f>
        <v>September</v>
      </c>
      <c r="E810">
        <v>500</v>
      </c>
      <c r="F810" t="s">
        <v>589</v>
      </c>
      <c r="G810" t="s">
        <v>1497</v>
      </c>
      <c r="H810" s="38">
        <v>46272</v>
      </c>
      <c r="I810" cm="1">
        <f t="array" ref="I810">IFERROR(INDEX('ALL STUDENTS'!$A:$A, MATCH(1, ('ALL STUDENTS'!$B:$B = B810) * ('ALL STUDENTS'!$C:$C = C810), 0)), "NOT FOUND")</f>
        <v>1716</v>
      </c>
      <c r="J810" t="str">
        <f>IF(Table26[[#This Row],[Fee]]&gt;500,Table26[[#This Row],[Fee]],"")</f>
        <v/>
      </c>
    </row>
    <row r="811" spans="1:10" hidden="1">
      <c r="A811">
        <v>810</v>
      </c>
      <c r="B811" t="s">
        <v>555</v>
      </c>
      <c r="C811" t="s">
        <v>548</v>
      </c>
      <c r="D811" t="str">
        <f t="array" ref="D811">TEXT(Table26[[#This Row],[Date]],"MMMM")</f>
        <v>September</v>
      </c>
      <c r="E811">
        <v>500</v>
      </c>
      <c r="F811" t="s">
        <v>589</v>
      </c>
      <c r="G811" t="s">
        <v>1498</v>
      </c>
      <c r="H811" s="38">
        <v>46272</v>
      </c>
      <c r="I811" cm="1">
        <f t="array" ref="I811">IFERROR(INDEX('ALL STUDENTS'!$A:$A, MATCH(1, ('ALL STUDENTS'!$B:$B = B811) * ('ALL STUDENTS'!$C:$C = C811), 0)), "NOT FOUND")</f>
        <v>174</v>
      </c>
      <c r="J811" t="str">
        <f>IF(Table26[[#This Row],[Fee]]&gt;500,Table26[[#This Row],[Fee]],"")</f>
        <v/>
      </c>
    </row>
    <row r="812" spans="1:10" hidden="1">
      <c r="A812">
        <v>811</v>
      </c>
      <c r="B812" t="s">
        <v>315</v>
      </c>
      <c r="C812" t="s">
        <v>304</v>
      </c>
      <c r="D812" t="str">
        <f t="array" ref="D812">TEXT(Table26[[#This Row],[Date]],"MMMM")</f>
        <v>September</v>
      </c>
      <c r="E812">
        <v>500</v>
      </c>
      <c r="F812" t="s">
        <v>589</v>
      </c>
      <c r="G812" t="s">
        <v>1499</v>
      </c>
      <c r="H812" s="38">
        <v>46272</v>
      </c>
      <c r="I812" cm="1">
        <f t="array" ref="I812">IFERROR(INDEX('ALL STUDENTS'!$A:$A, MATCH(1, ('ALL STUDENTS'!$B:$B = B812) * ('ALL STUDENTS'!$C:$C = C812), 0)), "NOT FOUND")</f>
        <v>2360</v>
      </c>
      <c r="J812" t="str">
        <f>IF(Table26[[#This Row],[Fee]]&gt;500,Table26[[#This Row],[Fee]],"")</f>
        <v/>
      </c>
    </row>
    <row r="813" spans="1:10" hidden="1">
      <c r="A813">
        <v>812</v>
      </c>
      <c r="B813" t="s">
        <v>169</v>
      </c>
      <c r="C813" t="s">
        <v>159</v>
      </c>
      <c r="D813" t="str">
        <f t="array" ref="D813">TEXT(Table26[[#This Row],[Date]],"MMMM")</f>
        <v>September</v>
      </c>
      <c r="E813">
        <v>500</v>
      </c>
      <c r="F813" t="s">
        <v>589</v>
      </c>
      <c r="G813" t="s">
        <v>1500</v>
      </c>
      <c r="H813" s="38">
        <v>46272</v>
      </c>
      <c r="I813" cm="1">
        <f t="array" ref="I813">IFERROR(INDEX('ALL STUDENTS'!$A:$A, MATCH(1, ('ALL STUDENTS'!$B:$B = B813) * ('ALL STUDENTS'!$C:$C = C813), 0)), "NOT FOUND")</f>
        <v>2636</v>
      </c>
      <c r="J813" t="str">
        <f>IF(Table26[[#This Row],[Fee]]&gt;500,Table26[[#This Row],[Fee]],"")</f>
        <v/>
      </c>
    </row>
    <row r="814" spans="1:10" hidden="1">
      <c r="A814">
        <v>813</v>
      </c>
      <c r="B814" t="s">
        <v>373</v>
      </c>
      <c r="C814" t="s">
        <v>366</v>
      </c>
      <c r="D814" t="str">
        <f t="array" ref="D814">TEXT(Table26[[#This Row],[Date]],"MMMM")</f>
        <v>August</v>
      </c>
      <c r="E814">
        <v>500</v>
      </c>
      <c r="F814" t="s">
        <v>589</v>
      </c>
      <c r="G814" t="s">
        <v>1501</v>
      </c>
      <c r="H814" s="38">
        <v>46264</v>
      </c>
      <c r="I814" cm="1">
        <f t="array" ref="I814">IFERROR(INDEX('ALL STUDENTS'!$A:$A, MATCH(1, ('ALL STUDENTS'!$B:$B = B814) * ('ALL STUDENTS'!$C:$C = C814), 0)), "NOT FOUND")</f>
        <v>815</v>
      </c>
      <c r="J814" t="str">
        <f>IF(Table26[[#This Row],[Fee]]&gt;500,Table26[[#This Row],[Fee]],"")</f>
        <v/>
      </c>
    </row>
    <row r="815" spans="1:10" hidden="1">
      <c r="A815">
        <v>814</v>
      </c>
      <c r="B815" t="s">
        <v>373</v>
      </c>
      <c r="C815" t="s">
        <v>366</v>
      </c>
      <c r="D815" t="str">
        <f t="array" ref="D815">TEXT(Table26[[#This Row],[Date]],"MMMM")</f>
        <v>August</v>
      </c>
      <c r="E815">
        <v>500</v>
      </c>
      <c r="F815" t="s">
        <v>589</v>
      </c>
      <c r="G815" t="s">
        <v>1502</v>
      </c>
      <c r="H815" s="38">
        <v>46264</v>
      </c>
      <c r="I815" cm="1">
        <f t="array" ref="I815">IFERROR(INDEX('ALL STUDENTS'!$A:$A, MATCH(1, ('ALL STUDENTS'!$B:$B = B815) * ('ALL STUDENTS'!$C:$C = C815), 0)), "NOT FOUND")</f>
        <v>815</v>
      </c>
      <c r="J815" t="str">
        <f>IF(Table26[[#This Row],[Fee]]&gt;500,Table26[[#This Row],[Fee]],"")</f>
        <v/>
      </c>
    </row>
    <row r="816" spans="1:10" hidden="1">
      <c r="A816">
        <v>815</v>
      </c>
      <c r="B816" t="s">
        <v>373</v>
      </c>
      <c r="C816" t="s">
        <v>366</v>
      </c>
      <c r="D816" t="str">
        <f t="array" ref="D816">TEXT(Table26[[#This Row],[Date]],"MMMM")</f>
        <v>August</v>
      </c>
      <c r="E816">
        <v>500</v>
      </c>
      <c r="F816" t="s">
        <v>589</v>
      </c>
      <c r="G816" t="s">
        <v>1503</v>
      </c>
      <c r="H816" s="38">
        <v>46264</v>
      </c>
      <c r="I816" cm="1">
        <f t="array" ref="I816">IFERROR(INDEX('ALL STUDENTS'!$A:$A, MATCH(1, ('ALL STUDENTS'!$B:$B = B816) * ('ALL STUDENTS'!$C:$C = C816), 0)), "NOT FOUND")</f>
        <v>815</v>
      </c>
      <c r="J816" t="str">
        <f>IF(Table26[[#This Row],[Fee]]&gt;500,Table26[[#This Row],[Fee]],"")</f>
        <v/>
      </c>
    </row>
    <row r="817" spans="1:10" hidden="1">
      <c r="A817">
        <v>816</v>
      </c>
      <c r="B817" t="s">
        <v>494</v>
      </c>
      <c r="C817" t="s">
        <v>488</v>
      </c>
      <c r="D817" t="str">
        <f t="array" ref="D817">TEXT(Table26[[#This Row],[Date]],"MMMM")</f>
        <v>August</v>
      </c>
      <c r="E817">
        <v>500</v>
      </c>
      <c r="F817" t="s">
        <v>589</v>
      </c>
      <c r="G817" t="s">
        <v>1504</v>
      </c>
      <c r="H817" s="38">
        <v>46261</v>
      </c>
      <c r="I817" cm="1">
        <f t="array" ref="I817">IFERROR(INDEX('ALL STUDENTS'!$A:$A, MATCH(1, ('ALL STUDENTS'!$B:$B = B817) * ('ALL STUDENTS'!$C:$C = C817), 0)), "NOT FOUND")</f>
        <v>338</v>
      </c>
      <c r="J817" t="str">
        <f>IF(Table26[[#This Row],[Fee]]&gt;500,Table26[[#This Row],[Fee]],"")</f>
        <v/>
      </c>
    </row>
    <row r="818" spans="1:10" hidden="1">
      <c r="A818">
        <v>817</v>
      </c>
      <c r="B818" t="s">
        <v>64</v>
      </c>
      <c r="C818" t="s">
        <v>62</v>
      </c>
      <c r="D818" t="str">
        <f t="array" ref="D818">TEXT(Table26[[#This Row],[Date]],"MMMM")</f>
        <v>September</v>
      </c>
      <c r="E818">
        <v>500</v>
      </c>
      <c r="F818" t="s">
        <v>589</v>
      </c>
      <c r="G818" t="s">
        <v>1505</v>
      </c>
      <c r="H818" s="38">
        <v>46270</v>
      </c>
      <c r="I818" cm="1">
        <f t="array" ref="I818">IFERROR(INDEX('ALL STUDENTS'!$A:$A, MATCH(1, ('ALL STUDENTS'!$B:$B = B818) * ('ALL STUDENTS'!$C:$C = C818), 0)), "NOT FOUND")</f>
        <v>3189</v>
      </c>
      <c r="J818" t="str">
        <f>IF(Table26[[#This Row],[Fee]]&gt;500,Table26[[#This Row],[Fee]],"")</f>
        <v/>
      </c>
    </row>
    <row r="819" spans="1:10" hidden="1">
      <c r="A819">
        <v>818</v>
      </c>
      <c r="B819" t="s">
        <v>64</v>
      </c>
      <c r="C819" t="s">
        <v>62</v>
      </c>
      <c r="D819" t="str">
        <f t="array" ref="D819">TEXT(Table26[[#This Row],[Date]],"MMMM")</f>
        <v>September</v>
      </c>
      <c r="E819">
        <v>500</v>
      </c>
      <c r="F819" t="s">
        <v>589</v>
      </c>
      <c r="G819" t="s">
        <v>1506</v>
      </c>
      <c r="H819" s="38">
        <v>46270</v>
      </c>
      <c r="I819" cm="1">
        <f t="array" ref="I819">IFERROR(INDEX('ALL STUDENTS'!$A:$A, MATCH(1, ('ALL STUDENTS'!$B:$B = B819) * ('ALL STUDENTS'!$C:$C = C819), 0)), "NOT FOUND")</f>
        <v>3189</v>
      </c>
      <c r="J819" t="str">
        <f>IF(Table26[[#This Row],[Fee]]&gt;500,Table26[[#This Row],[Fee]],"")</f>
        <v/>
      </c>
    </row>
    <row r="820" spans="1:10" hidden="1">
      <c r="A820">
        <v>819</v>
      </c>
      <c r="B820" t="s">
        <v>64</v>
      </c>
      <c r="C820" t="s">
        <v>62</v>
      </c>
      <c r="D820" t="str">
        <f t="array" ref="D820">TEXT(Table26[[#This Row],[Date]],"MMMM")</f>
        <v>September</v>
      </c>
      <c r="E820">
        <v>500</v>
      </c>
      <c r="F820" t="s">
        <v>589</v>
      </c>
      <c r="G820" t="s">
        <v>1507</v>
      </c>
      <c r="H820" s="38">
        <v>46270</v>
      </c>
      <c r="I820" cm="1">
        <f t="array" ref="I820">IFERROR(INDEX('ALL STUDENTS'!$A:$A, MATCH(1, ('ALL STUDENTS'!$B:$B = B820) * ('ALL STUDENTS'!$C:$C = C820), 0)), "NOT FOUND")</f>
        <v>3189</v>
      </c>
      <c r="J820" t="str">
        <f>IF(Table26[[#This Row],[Fee]]&gt;500,Table26[[#This Row],[Fee]],"")</f>
        <v/>
      </c>
    </row>
    <row r="821" spans="1:10">
      <c r="A821">
        <v>820</v>
      </c>
      <c r="B821" t="s">
        <v>18</v>
      </c>
      <c r="C821" t="s">
        <v>4</v>
      </c>
      <c r="D821" t="str">
        <f t="array" ref="D821">TEXT(Table26[[#This Row],[Date]],"MMMM")</f>
        <v>September</v>
      </c>
      <c r="E821">
        <v>500</v>
      </c>
      <c r="F821" t="s">
        <v>589</v>
      </c>
      <c r="G821" t="s">
        <v>1508</v>
      </c>
      <c r="H821" s="38">
        <v>46270</v>
      </c>
      <c r="I821" t="str" cm="1">
        <f t="array" ref="I821">IFERROR(INDEX('ALL STUDENTS'!$A:$A, MATCH(1, ('ALL STUDENTS'!$B:$B = B821) * ('ALL STUDENTS'!$C:$C = C821), 0)), "NOT FOUND")</f>
        <v>NOT FOUND</v>
      </c>
      <c r="J821" t="str">
        <f>IF(Table26[[#This Row],[Fee]]&gt;500,Table26[[#This Row],[Fee]],"")</f>
        <v/>
      </c>
    </row>
    <row r="822" spans="1:10" hidden="1">
      <c r="A822">
        <v>821</v>
      </c>
      <c r="B822" t="s">
        <v>451</v>
      </c>
      <c r="C822" t="s">
        <v>447</v>
      </c>
      <c r="D822" t="str">
        <f t="array" ref="D822">TEXT(Table26[[#This Row],[Date]],"MMMM")</f>
        <v>September</v>
      </c>
      <c r="E822">
        <v>500</v>
      </c>
      <c r="F822" t="s">
        <v>589</v>
      </c>
      <c r="G822" t="s">
        <v>1509</v>
      </c>
      <c r="H822" s="38">
        <v>46270</v>
      </c>
      <c r="I822" cm="1">
        <f t="array" ref="I822">IFERROR(INDEX('ALL STUDENTS'!$A:$A, MATCH(1, ('ALL STUDENTS'!$B:$B = B822) * ('ALL STUDENTS'!$C:$C = C822), 0)), "NOT FOUND")</f>
        <v>678</v>
      </c>
      <c r="J822" t="str">
        <f>IF(Table26[[#This Row],[Fee]]&gt;500,Table26[[#This Row],[Fee]],"")</f>
        <v/>
      </c>
    </row>
    <row r="823" spans="1:10" hidden="1">
      <c r="A823">
        <v>822</v>
      </c>
      <c r="B823" t="s">
        <v>451</v>
      </c>
      <c r="C823" t="s">
        <v>447</v>
      </c>
      <c r="D823" t="str">
        <f t="array" ref="D823">TEXT(Table26[[#This Row],[Date]],"MMMM")</f>
        <v>September</v>
      </c>
      <c r="E823">
        <v>500</v>
      </c>
      <c r="F823" t="s">
        <v>589</v>
      </c>
      <c r="G823" t="s">
        <v>1510</v>
      </c>
      <c r="H823" s="38">
        <v>46270</v>
      </c>
      <c r="I823" cm="1">
        <f t="array" ref="I823">IFERROR(INDEX('ALL STUDENTS'!$A:$A, MATCH(1, ('ALL STUDENTS'!$B:$B = B823) * ('ALL STUDENTS'!$C:$C = C823), 0)), "NOT FOUND")</f>
        <v>678</v>
      </c>
      <c r="J823" t="str">
        <f>IF(Table26[[#This Row],[Fee]]&gt;500,Table26[[#This Row],[Fee]],"")</f>
        <v/>
      </c>
    </row>
    <row r="824" spans="1:10" hidden="1">
      <c r="A824">
        <v>823</v>
      </c>
      <c r="B824" t="s">
        <v>451</v>
      </c>
      <c r="C824" t="s">
        <v>447</v>
      </c>
      <c r="D824" t="str">
        <f t="array" ref="D824">TEXT(Table26[[#This Row],[Date]],"MMMM")</f>
        <v>September</v>
      </c>
      <c r="E824">
        <v>500</v>
      </c>
      <c r="F824" t="s">
        <v>589</v>
      </c>
      <c r="G824" t="s">
        <v>1511</v>
      </c>
      <c r="H824" s="38">
        <v>46270</v>
      </c>
      <c r="I824" cm="1">
        <f t="array" ref="I824">IFERROR(INDEX('ALL STUDENTS'!$A:$A, MATCH(1, ('ALL STUDENTS'!$B:$B = B824) * ('ALL STUDENTS'!$C:$C = C824), 0)), "NOT FOUND")</f>
        <v>678</v>
      </c>
      <c r="J824" t="str">
        <f>IF(Table26[[#This Row],[Fee]]&gt;500,Table26[[#This Row],[Fee]],"")</f>
        <v/>
      </c>
    </row>
    <row r="825" spans="1:10" hidden="1">
      <c r="A825">
        <v>824</v>
      </c>
      <c r="B825" t="s">
        <v>384</v>
      </c>
      <c r="C825" t="s">
        <v>374</v>
      </c>
      <c r="D825" t="str">
        <f t="array" ref="D825">TEXT(Table26[[#This Row],[Date]],"MMMM")</f>
        <v>August</v>
      </c>
      <c r="E825">
        <v>500</v>
      </c>
      <c r="F825" t="s">
        <v>589</v>
      </c>
      <c r="G825" t="s">
        <v>1512</v>
      </c>
      <c r="H825" s="38">
        <v>46246</v>
      </c>
      <c r="I825" cm="1">
        <f t="array" ref="I825">IFERROR(INDEX('ALL STUDENTS'!$A:$A, MATCH(1, ('ALL STUDENTS'!$B:$B = B825) * ('ALL STUDENTS'!$C:$C = C825), 0)), "NOT FOUND")</f>
        <v>864</v>
      </c>
      <c r="J825" t="str">
        <f>IF(Table26[[#This Row],[Fee]]&gt;500,Table26[[#This Row],[Fee]],"")</f>
        <v/>
      </c>
    </row>
    <row r="826" spans="1:10" hidden="1">
      <c r="A826">
        <v>825</v>
      </c>
      <c r="B826" t="s">
        <v>384</v>
      </c>
      <c r="C826" t="s">
        <v>374</v>
      </c>
      <c r="D826" t="str">
        <f t="array" ref="D826">TEXT(Table26[[#This Row],[Date]],"MMMM")</f>
        <v>September</v>
      </c>
      <c r="E826">
        <v>500</v>
      </c>
      <c r="F826" t="s">
        <v>589</v>
      </c>
      <c r="G826" t="s">
        <v>1513</v>
      </c>
      <c r="H826" s="38">
        <v>46267</v>
      </c>
      <c r="I826" cm="1">
        <f t="array" ref="I826">IFERROR(INDEX('ALL STUDENTS'!$A:$A, MATCH(1, ('ALL STUDENTS'!$B:$B = B826) * ('ALL STUDENTS'!$C:$C = C826), 0)), "NOT FOUND")</f>
        <v>864</v>
      </c>
      <c r="J826" t="str">
        <f>IF(Table26[[#This Row],[Fee]]&gt;500,Table26[[#This Row],[Fee]],"")</f>
        <v/>
      </c>
    </row>
    <row r="827" spans="1:10" hidden="1">
      <c r="A827">
        <v>826</v>
      </c>
      <c r="B827" t="s">
        <v>514</v>
      </c>
      <c r="C827" t="s">
        <v>509</v>
      </c>
      <c r="D827" t="str">
        <f t="array" ref="D827">TEXT(Table26[[#This Row],[Date]],"MMMM")</f>
        <v>September</v>
      </c>
      <c r="E827">
        <v>500</v>
      </c>
      <c r="F827" t="s">
        <v>589</v>
      </c>
      <c r="G827" t="s">
        <v>1514</v>
      </c>
      <c r="H827" s="38">
        <v>46270</v>
      </c>
      <c r="I827" cm="1">
        <f t="array" ref="I827">IFERROR(INDEX('ALL STUDENTS'!$A:$A, MATCH(1, ('ALL STUDENTS'!$B:$B = B827) * ('ALL STUDENTS'!$C:$C = C827), 0)), "NOT FOUND")</f>
        <v>463</v>
      </c>
      <c r="J827" t="str">
        <f>IF(Table26[[#This Row],[Fee]]&gt;500,Table26[[#This Row],[Fee]],"")</f>
        <v/>
      </c>
    </row>
    <row r="828" spans="1:10" hidden="1">
      <c r="A828">
        <v>827</v>
      </c>
      <c r="B828" t="s">
        <v>514</v>
      </c>
      <c r="C828" t="s">
        <v>509</v>
      </c>
      <c r="D828" t="str">
        <f t="array" ref="D828">TEXT(Table26[[#This Row],[Date]],"MMMM")</f>
        <v>September</v>
      </c>
      <c r="E828">
        <v>500</v>
      </c>
      <c r="F828" t="s">
        <v>589</v>
      </c>
      <c r="G828" t="s">
        <v>1515</v>
      </c>
      <c r="H828" s="38">
        <v>46270</v>
      </c>
      <c r="I828" cm="1">
        <f t="array" ref="I828">IFERROR(INDEX('ALL STUDENTS'!$A:$A, MATCH(1, ('ALL STUDENTS'!$B:$B = B828) * ('ALL STUDENTS'!$C:$C = C828), 0)), "NOT FOUND")</f>
        <v>463</v>
      </c>
      <c r="J828" t="str">
        <f>IF(Table26[[#This Row],[Fee]]&gt;500,Table26[[#This Row],[Fee]],"")</f>
        <v/>
      </c>
    </row>
    <row r="829" spans="1:10" hidden="1">
      <c r="A829">
        <v>828</v>
      </c>
      <c r="B829" t="s">
        <v>514</v>
      </c>
      <c r="C829" t="s">
        <v>509</v>
      </c>
      <c r="D829" t="str">
        <f t="array" ref="D829">TEXT(Table26[[#This Row],[Date]],"MMMM")</f>
        <v>September</v>
      </c>
      <c r="E829">
        <v>500</v>
      </c>
      <c r="F829" t="s">
        <v>589</v>
      </c>
      <c r="G829" t="s">
        <v>1516</v>
      </c>
      <c r="H829" s="38">
        <v>46270</v>
      </c>
      <c r="I829" cm="1">
        <f t="array" ref="I829">IFERROR(INDEX('ALL STUDENTS'!$A:$A, MATCH(1, ('ALL STUDENTS'!$B:$B = B829) * ('ALL STUDENTS'!$C:$C = C829), 0)), "NOT FOUND")</f>
        <v>463</v>
      </c>
      <c r="J829" t="str">
        <f>IF(Table26[[#This Row],[Fee]]&gt;500,Table26[[#This Row],[Fee]],"")</f>
        <v/>
      </c>
    </row>
    <row r="830" spans="1:10" hidden="1">
      <c r="A830">
        <v>829</v>
      </c>
      <c r="B830" t="s">
        <v>414</v>
      </c>
      <c r="C830" t="s">
        <v>409</v>
      </c>
      <c r="D830" t="str">
        <f t="array" ref="D830">TEXT(Table26[[#This Row],[Date]],"MMMM")</f>
        <v>August</v>
      </c>
      <c r="E830">
        <v>500</v>
      </c>
      <c r="F830" t="s">
        <v>589</v>
      </c>
      <c r="G830" t="s">
        <v>1517</v>
      </c>
      <c r="H830" s="38">
        <v>46240</v>
      </c>
      <c r="I830" cm="1">
        <f t="array" ref="I830">IFERROR(INDEX('ALL STUDENTS'!$A:$A, MATCH(1, ('ALL STUDENTS'!$B:$B = B830) * ('ALL STUDENTS'!$C:$C = C830), 0)), "NOT FOUND")</f>
        <v>955</v>
      </c>
      <c r="J830" t="str">
        <f>IF(Table26[[#This Row],[Fee]]&gt;500,Table26[[#This Row],[Fee]],"")</f>
        <v/>
      </c>
    </row>
    <row r="831" spans="1:10" hidden="1">
      <c r="A831">
        <v>830</v>
      </c>
      <c r="B831" t="s">
        <v>414</v>
      </c>
      <c r="C831" t="s">
        <v>409</v>
      </c>
      <c r="D831" t="str">
        <f t="array" ref="D831">TEXT(Table26[[#This Row],[Date]],"MMMM")</f>
        <v>August</v>
      </c>
      <c r="E831">
        <v>500</v>
      </c>
      <c r="F831" t="s">
        <v>589</v>
      </c>
      <c r="G831" t="s">
        <v>1518</v>
      </c>
      <c r="H831" s="38">
        <v>46240</v>
      </c>
      <c r="I831" cm="1">
        <f t="array" ref="I831">IFERROR(INDEX('ALL STUDENTS'!$A:$A, MATCH(1, ('ALL STUDENTS'!$B:$B = B831) * ('ALL STUDENTS'!$C:$C = C831), 0)), "NOT FOUND")</f>
        <v>955</v>
      </c>
      <c r="J831" t="str">
        <f>IF(Table26[[#This Row],[Fee]]&gt;500,Table26[[#This Row],[Fee]],"")</f>
        <v/>
      </c>
    </row>
    <row r="832" spans="1:10" hidden="1">
      <c r="A832">
        <v>831</v>
      </c>
      <c r="B832" t="s">
        <v>414</v>
      </c>
      <c r="C832" t="s">
        <v>409</v>
      </c>
      <c r="D832" t="str">
        <f t="array" ref="D832">TEXT(Table26[[#This Row],[Date]],"MMMM")</f>
        <v>September</v>
      </c>
      <c r="E832">
        <v>500</v>
      </c>
      <c r="F832" t="s">
        <v>589</v>
      </c>
      <c r="G832" t="s">
        <v>1519</v>
      </c>
      <c r="H832" s="38">
        <v>46269</v>
      </c>
      <c r="I832" cm="1">
        <f t="array" ref="I832">IFERROR(INDEX('ALL STUDENTS'!$A:$A, MATCH(1, ('ALL STUDENTS'!$B:$B = B832) * ('ALL STUDENTS'!$C:$C = C832), 0)), "NOT FOUND")</f>
        <v>955</v>
      </c>
      <c r="J832" t="str">
        <f>IF(Table26[[#This Row],[Fee]]&gt;500,Table26[[#This Row],[Fee]],"")</f>
        <v/>
      </c>
    </row>
    <row r="833" spans="1:10" hidden="1">
      <c r="A833">
        <v>832</v>
      </c>
      <c r="B833" t="s">
        <v>316</v>
      </c>
      <c r="C833" t="s">
        <v>304</v>
      </c>
      <c r="D833" t="str">
        <f t="array" ref="D833">TEXT(Table26[[#This Row],[Date]],"MMMM")</f>
        <v>September</v>
      </c>
      <c r="E833">
        <v>500</v>
      </c>
      <c r="F833" t="s">
        <v>589</v>
      </c>
      <c r="G833" t="s">
        <v>1520</v>
      </c>
      <c r="H833" s="38">
        <v>46269</v>
      </c>
      <c r="I833" cm="1">
        <f t="array" ref="I833">IFERROR(INDEX('ALL STUDENTS'!$A:$A, MATCH(1, ('ALL STUDENTS'!$B:$B = B833) * ('ALL STUDENTS'!$C:$C = C833), 0)), "NOT FOUND")</f>
        <v>2371</v>
      </c>
      <c r="J833" t="str">
        <f>IF(Table26[[#This Row],[Fee]]&gt;500,Table26[[#This Row],[Fee]],"")</f>
        <v/>
      </c>
    </row>
    <row r="834" spans="1:10" hidden="1">
      <c r="A834">
        <v>833</v>
      </c>
      <c r="B834" t="s">
        <v>316</v>
      </c>
      <c r="C834" t="s">
        <v>304</v>
      </c>
      <c r="D834" t="str">
        <f t="array" ref="D834">TEXT(Table26[[#This Row],[Date]],"MMMM")</f>
        <v>September</v>
      </c>
      <c r="E834">
        <v>500</v>
      </c>
      <c r="F834" t="s">
        <v>589</v>
      </c>
      <c r="G834" t="s">
        <v>1521</v>
      </c>
      <c r="H834" s="38">
        <v>46269</v>
      </c>
      <c r="I834" cm="1">
        <f t="array" ref="I834">IFERROR(INDEX('ALL STUDENTS'!$A:$A, MATCH(1, ('ALL STUDENTS'!$B:$B = B834) * ('ALL STUDENTS'!$C:$C = C834), 0)), "NOT FOUND")</f>
        <v>2371</v>
      </c>
      <c r="J834" t="str">
        <f>IF(Table26[[#This Row],[Fee]]&gt;500,Table26[[#This Row],[Fee]],"")</f>
        <v/>
      </c>
    </row>
    <row r="835" spans="1:10" hidden="1">
      <c r="A835">
        <v>834</v>
      </c>
      <c r="B835" t="s">
        <v>316</v>
      </c>
      <c r="C835" t="s">
        <v>304</v>
      </c>
      <c r="D835" t="str">
        <f t="array" ref="D835">TEXT(Table26[[#This Row],[Date]],"MMMM")</f>
        <v>September</v>
      </c>
      <c r="E835">
        <v>500</v>
      </c>
      <c r="F835" t="s">
        <v>589</v>
      </c>
      <c r="G835" t="s">
        <v>1522</v>
      </c>
      <c r="H835" s="38">
        <v>46269</v>
      </c>
      <c r="I835" cm="1">
        <f t="array" ref="I835">IFERROR(INDEX('ALL STUDENTS'!$A:$A, MATCH(1, ('ALL STUDENTS'!$B:$B = B835) * ('ALL STUDENTS'!$C:$C = C835), 0)), "NOT FOUND")</f>
        <v>2371</v>
      </c>
      <c r="J835" t="str">
        <f>IF(Table26[[#This Row],[Fee]]&gt;500,Table26[[#This Row],[Fee]],"")</f>
        <v/>
      </c>
    </row>
    <row r="836" spans="1:10" hidden="1">
      <c r="A836">
        <v>835</v>
      </c>
      <c r="B836" t="s">
        <v>19</v>
      </c>
      <c r="C836" t="s">
        <v>4</v>
      </c>
      <c r="D836" t="str">
        <f t="array" ref="D836">TEXT(Table26[[#This Row],[Date]],"MMMM")</f>
        <v>September</v>
      </c>
      <c r="E836">
        <v>500</v>
      </c>
      <c r="F836" t="s">
        <v>589</v>
      </c>
      <c r="G836" t="s">
        <v>1523</v>
      </c>
      <c r="H836" s="38">
        <v>46269</v>
      </c>
      <c r="I836" cm="1">
        <f t="array" ref="I836">IFERROR(INDEX('ALL STUDENTS'!$A:$A, MATCH(1, ('ALL STUDENTS'!$B:$B = B836) * ('ALL STUDENTS'!$C:$C = C836), 0)), "NOT FOUND")</f>
        <v>3026</v>
      </c>
      <c r="J836" t="str">
        <f>IF(Table26[[#This Row],[Fee]]&gt;500,Table26[[#This Row],[Fee]],"")</f>
        <v/>
      </c>
    </row>
    <row r="837" spans="1:10" hidden="1">
      <c r="A837">
        <v>836</v>
      </c>
      <c r="B837" t="s">
        <v>396</v>
      </c>
      <c r="C837" t="s">
        <v>386</v>
      </c>
      <c r="D837" t="str">
        <f t="array" ref="D837">TEXT(Table26[[#This Row],[Date]],"MMMM")</f>
        <v>September</v>
      </c>
      <c r="E837">
        <v>500</v>
      </c>
      <c r="F837" t="s">
        <v>589</v>
      </c>
      <c r="G837" t="s">
        <v>1524</v>
      </c>
      <c r="H837" s="38">
        <v>46270</v>
      </c>
      <c r="I837" cm="1">
        <f t="array" ref="I837">IFERROR(INDEX('ALL STUDENTS'!$A:$A, MATCH(1, ('ALL STUDENTS'!$B:$B = B837) * ('ALL STUDENTS'!$C:$C = C837), 0)), "NOT FOUND")</f>
        <v>906</v>
      </c>
      <c r="J837" t="str">
        <f>IF(Table26[[#This Row],[Fee]]&gt;500,Table26[[#This Row],[Fee]],"")</f>
        <v/>
      </c>
    </row>
    <row r="838" spans="1:10" hidden="1">
      <c r="A838">
        <v>837</v>
      </c>
      <c r="B838" t="s">
        <v>396</v>
      </c>
      <c r="C838" t="s">
        <v>386</v>
      </c>
      <c r="D838" t="str">
        <f t="array" ref="D838">TEXT(Table26[[#This Row],[Date]],"MMMM")</f>
        <v>September</v>
      </c>
      <c r="E838">
        <v>500</v>
      </c>
      <c r="F838" t="s">
        <v>589</v>
      </c>
      <c r="G838" t="s">
        <v>1525</v>
      </c>
      <c r="H838" s="38">
        <v>46270</v>
      </c>
      <c r="I838" cm="1">
        <f t="array" ref="I838">IFERROR(INDEX('ALL STUDENTS'!$A:$A, MATCH(1, ('ALL STUDENTS'!$B:$B = B838) * ('ALL STUDENTS'!$C:$C = C838), 0)), "NOT FOUND")</f>
        <v>906</v>
      </c>
      <c r="J838" t="str">
        <f>IF(Table26[[#This Row],[Fee]]&gt;500,Table26[[#This Row],[Fee]],"")</f>
        <v/>
      </c>
    </row>
    <row r="839" spans="1:10" hidden="1">
      <c r="A839">
        <v>838</v>
      </c>
      <c r="B839" t="s">
        <v>396</v>
      </c>
      <c r="C839" t="s">
        <v>386</v>
      </c>
      <c r="D839" t="str">
        <f t="array" ref="D839">TEXT(Table26[[#This Row],[Date]],"MMMM")</f>
        <v>September</v>
      </c>
      <c r="E839">
        <v>500</v>
      </c>
      <c r="F839" t="s">
        <v>589</v>
      </c>
      <c r="G839" t="s">
        <v>1526</v>
      </c>
      <c r="H839" s="38">
        <v>46270</v>
      </c>
      <c r="I839" cm="1">
        <f t="array" ref="I839">IFERROR(INDEX('ALL STUDENTS'!$A:$A, MATCH(1, ('ALL STUDENTS'!$B:$B = B839) * ('ALL STUDENTS'!$C:$C = C839), 0)), "NOT FOUND")</f>
        <v>906</v>
      </c>
      <c r="J839" t="str">
        <f>IF(Table26[[#This Row],[Fee]]&gt;500,Table26[[#This Row],[Fee]],"")</f>
        <v/>
      </c>
    </row>
    <row r="840" spans="1:10" hidden="1">
      <c r="A840">
        <v>839</v>
      </c>
      <c r="B840" t="s">
        <v>317</v>
      </c>
      <c r="C840" t="s">
        <v>304</v>
      </c>
      <c r="D840" t="str">
        <f t="array" ref="D840">TEXT(Table26[[#This Row],[Date]],"MMMM")</f>
        <v>September</v>
      </c>
      <c r="E840">
        <v>500</v>
      </c>
      <c r="F840" t="s">
        <v>589</v>
      </c>
      <c r="G840" t="s">
        <v>1527</v>
      </c>
      <c r="H840" s="38">
        <v>46271</v>
      </c>
      <c r="I840" cm="1">
        <f t="array" ref="I840">IFERROR(INDEX('ALL STUDENTS'!$A:$A, MATCH(1, ('ALL STUDENTS'!$B:$B = B840) * ('ALL STUDENTS'!$C:$C = C840), 0)), "NOT FOUND")</f>
        <v>2366</v>
      </c>
      <c r="J840" t="str">
        <f>IF(Table26[[#This Row],[Fee]]&gt;500,Table26[[#This Row],[Fee]],"")</f>
        <v/>
      </c>
    </row>
    <row r="841" spans="1:10" hidden="1">
      <c r="A841">
        <v>840</v>
      </c>
      <c r="B841" t="s">
        <v>300</v>
      </c>
      <c r="C841" t="s">
        <v>299</v>
      </c>
      <c r="D841" t="str">
        <f t="array" ref="D841">TEXT(Table26[[#This Row],[Date]],"MMMM")</f>
        <v>September</v>
      </c>
      <c r="E841">
        <v>500</v>
      </c>
      <c r="F841" t="s">
        <v>589</v>
      </c>
      <c r="G841" t="s">
        <v>1528</v>
      </c>
      <c r="H841" s="38">
        <v>46268</v>
      </c>
      <c r="I841" cm="1">
        <f t="array" ref="I841">IFERROR(INDEX('ALL STUDENTS'!$A:$A, MATCH(1, ('ALL STUDENTS'!$B:$B = B841) * ('ALL STUDENTS'!$C:$C = C841), 0)), "NOT FOUND")</f>
        <v>2322</v>
      </c>
      <c r="J841" t="str">
        <f>IF(Table26[[#This Row],[Fee]]&gt;500,Table26[[#This Row],[Fee]],"")</f>
        <v/>
      </c>
    </row>
    <row r="842" spans="1:10" hidden="1">
      <c r="A842">
        <v>841</v>
      </c>
      <c r="B842" t="s">
        <v>300</v>
      </c>
      <c r="C842" t="s">
        <v>299</v>
      </c>
      <c r="D842" t="str">
        <f t="array" ref="D842">TEXT(Table26[[#This Row],[Date]],"MMMM")</f>
        <v>September</v>
      </c>
      <c r="E842">
        <v>500</v>
      </c>
      <c r="F842" t="s">
        <v>589</v>
      </c>
      <c r="G842" t="s">
        <v>1529</v>
      </c>
      <c r="H842" s="38">
        <v>46268</v>
      </c>
      <c r="I842" cm="1">
        <f t="array" ref="I842">IFERROR(INDEX('ALL STUDENTS'!$A:$A, MATCH(1, ('ALL STUDENTS'!$B:$B = B842) * ('ALL STUDENTS'!$C:$C = C842), 0)), "NOT FOUND")</f>
        <v>2322</v>
      </c>
      <c r="J842" t="str">
        <f>IF(Table26[[#This Row],[Fee]]&gt;500,Table26[[#This Row],[Fee]],"")</f>
        <v/>
      </c>
    </row>
    <row r="843" spans="1:10" hidden="1">
      <c r="A843">
        <v>842</v>
      </c>
      <c r="B843" t="s">
        <v>300</v>
      </c>
      <c r="C843" t="s">
        <v>299</v>
      </c>
      <c r="D843" t="str">
        <f t="array" ref="D843">TEXT(Table26[[#This Row],[Date]],"MMMM")</f>
        <v>September</v>
      </c>
      <c r="E843">
        <v>500</v>
      </c>
      <c r="F843" t="s">
        <v>589</v>
      </c>
      <c r="G843" t="s">
        <v>1530</v>
      </c>
      <c r="H843" s="38">
        <v>46268</v>
      </c>
      <c r="I843" cm="1">
        <f t="array" ref="I843">IFERROR(INDEX('ALL STUDENTS'!$A:$A, MATCH(1, ('ALL STUDENTS'!$B:$B = B843) * ('ALL STUDENTS'!$C:$C = C843), 0)), "NOT FOUND")</f>
        <v>2322</v>
      </c>
      <c r="J843" t="str">
        <f>IF(Table26[[#This Row],[Fee]]&gt;500,Table26[[#This Row],[Fee]],"")</f>
        <v/>
      </c>
    </row>
    <row r="844" spans="1:10" hidden="1">
      <c r="A844">
        <v>843</v>
      </c>
      <c r="B844" t="s">
        <v>56</v>
      </c>
      <c r="C844" t="s">
        <v>51</v>
      </c>
      <c r="D844" t="str">
        <f t="array" ref="D844">TEXT(Table26[[#This Row],[Date]],"MMMM")</f>
        <v>August</v>
      </c>
      <c r="E844">
        <v>500</v>
      </c>
      <c r="F844" t="s">
        <v>589</v>
      </c>
      <c r="G844" t="s">
        <v>1531</v>
      </c>
      <c r="H844" s="38">
        <v>46252</v>
      </c>
      <c r="I844" cm="1">
        <f t="array" ref="I844">IFERROR(INDEX('ALL STUDENTS'!$A:$A, MATCH(1, ('ALL STUDENTS'!$B:$B = B844) * ('ALL STUDENTS'!$C:$C = C844), 0)), "NOT FOUND")</f>
        <v>3109</v>
      </c>
      <c r="J844" t="str">
        <f>IF(Table26[[#This Row],[Fee]]&gt;500,Table26[[#This Row],[Fee]],"")</f>
        <v/>
      </c>
    </row>
    <row r="845" spans="1:10" hidden="1">
      <c r="A845">
        <v>844</v>
      </c>
      <c r="B845" t="s">
        <v>111</v>
      </c>
      <c r="C845" t="s">
        <v>102</v>
      </c>
      <c r="D845" t="str">
        <f t="array" ref="D845">TEXT(Table26[[#This Row],[Date]],"MMMM")</f>
        <v>August</v>
      </c>
      <c r="E845">
        <v>500</v>
      </c>
      <c r="F845" t="s">
        <v>589</v>
      </c>
      <c r="G845" t="s">
        <v>1532</v>
      </c>
      <c r="H845" s="38">
        <v>46243</v>
      </c>
      <c r="I845" cm="1">
        <f t="array" ref="I845">IFERROR(INDEX('ALL STUDENTS'!$A:$A, MATCH(1, ('ALL STUDENTS'!$B:$B = B845) * ('ALL STUDENTS'!$C:$C = C845), 0)), "NOT FOUND")</f>
        <v>1620</v>
      </c>
      <c r="J845" t="str">
        <f>IF(Table26[[#This Row],[Fee]]&gt;500,Table26[[#This Row],[Fee]],"")</f>
        <v/>
      </c>
    </row>
    <row r="846" spans="1:10" hidden="1">
      <c r="A846">
        <v>845</v>
      </c>
      <c r="B846" t="s">
        <v>111</v>
      </c>
      <c r="C846" t="s">
        <v>102</v>
      </c>
      <c r="D846" t="str">
        <f t="array" ref="D846">TEXT(Table26[[#This Row],[Date]],"MMMM")</f>
        <v>September</v>
      </c>
      <c r="E846">
        <v>500</v>
      </c>
      <c r="F846" t="s">
        <v>589</v>
      </c>
      <c r="G846" t="s">
        <v>1533</v>
      </c>
      <c r="H846" s="38">
        <v>46269</v>
      </c>
      <c r="I846" cm="1">
        <f t="array" ref="I846">IFERROR(INDEX('ALL STUDENTS'!$A:$A, MATCH(1, ('ALL STUDENTS'!$B:$B = B846) * ('ALL STUDENTS'!$C:$C = C846), 0)), "NOT FOUND")</f>
        <v>1620</v>
      </c>
      <c r="J846" t="str">
        <f>IF(Table26[[#This Row],[Fee]]&gt;500,Table26[[#This Row],[Fee]],"")</f>
        <v/>
      </c>
    </row>
    <row r="847" spans="1:10" hidden="1">
      <c r="A847">
        <v>846</v>
      </c>
      <c r="B847" t="s">
        <v>318</v>
      </c>
      <c r="C847" t="s">
        <v>304</v>
      </c>
      <c r="D847" t="str">
        <f t="array" ref="D847">TEXT(Table26[[#This Row],[Date]],"MMMM")</f>
        <v>August</v>
      </c>
      <c r="E847">
        <v>500</v>
      </c>
      <c r="F847" t="s">
        <v>589</v>
      </c>
      <c r="G847" t="s">
        <v>1534</v>
      </c>
      <c r="H847" s="38">
        <v>46255</v>
      </c>
      <c r="I847" cm="1">
        <f t="array" ref="I847">IFERROR(INDEX('ALL STUDENTS'!$A:$A, MATCH(1, ('ALL STUDENTS'!$B:$B = B847) * ('ALL STUDENTS'!$C:$C = C847), 0)), "NOT FOUND")</f>
        <v>2372</v>
      </c>
      <c r="J847" t="str">
        <f>IF(Table26[[#This Row],[Fee]]&gt;500,Table26[[#This Row],[Fee]],"")</f>
        <v/>
      </c>
    </row>
    <row r="848" spans="1:10" hidden="1">
      <c r="A848">
        <v>847</v>
      </c>
      <c r="B848" t="s">
        <v>193</v>
      </c>
      <c r="C848" t="s">
        <v>185</v>
      </c>
      <c r="D848" t="str">
        <f t="array" ref="D848">TEXT(Table26[[#This Row],[Date]],"MMMM")</f>
        <v>September</v>
      </c>
      <c r="E848">
        <v>500</v>
      </c>
      <c r="F848" t="s">
        <v>589</v>
      </c>
      <c r="G848" t="s">
        <v>1535</v>
      </c>
      <c r="H848" s="38">
        <v>46270</v>
      </c>
      <c r="I848" cm="1">
        <f t="array" ref="I848">IFERROR(INDEX('ALL STUDENTS'!$A:$A, MATCH(1, ('ALL STUDENTS'!$B:$B = B848) * ('ALL STUDENTS'!$C:$C = C848), 0)), "NOT FOUND")</f>
        <v>1805</v>
      </c>
      <c r="J848" t="str">
        <f>IF(Table26[[#This Row],[Fee]]&gt;500,Table26[[#This Row],[Fee]],"")</f>
        <v/>
      </c>
    </row>
    <row r="849" spans="1:10" hidden="1">
      <c r="A849">
        <v>848</v>
      </c>
      <c r="B849" t="s">
        <v>301</v>
      </c>
      <c r="C849" t="s">
        <v>299</v>
      </c>
      <c r="D849" t="str">
        <f t="array" ref="D849">TEXT(Table26[[#This Row],[Date]],"MMMM")</f>
        <v>September</v>
      </c>
      <c r="E849">
        <v>500</v>
      </c>
      <c r="F849" t="s">
        <v>589</v>
      </c>
      <c r="G849" t="s">
        <v>1536</v>
      </c>
      <c r="H849" s="38">
        <v>46270</v>
      </c>
      <c r="I849" cm="1">
        <f t="array" ref="I849">IFERROR(INDEX('ALL STUDENTS'!$A:$A, MATCH(1, ('ALL STUDENTS'!$B:$B = B849) * ('ALL STUDENTS'!$C:$C = C849), 0)), "NOT FOUND")</f>
        <v>2737</v>
      </c>
      <c r="J849" t="str">
        <f>IF(Table26[[#This Row],[Fee]]&gt;500,Table26[[#This Row],[Fee]],"")</f>
        <v/>
      </c>
    </row>
    <row r="850" spans="1:10">
      <c r="A850">
        <v>849</v>
      </c>
      <c r="B850" t="s">
        <v>145</v>
      </c>
      <c r="C850" t="s">
        <v>303</v>
      </c>
      <c r="D850" t="str">
        <f t="array" ref="D850">TEXT(Table26[[#This Row],[Date]],"MMMM")</f>
        <v>September</v>
      </c>
      <c r="E850">
        <v>500</v>
      </c>
      <c r="F850" t="s">
        <v>589</v>
      </c>
      <c r="G850" t="s">
        <v>1537</v>
      </c>
      <c r="H850" s="38">
        <v>46270</v>
      </c>
      <c r="I850" t="str" cm="1">
        <f t="array" ref="I850">IFERROR(INDEX('ALL STUDENTS'!$A:$A, MATCH(1, ('ALL STUDENTS'!$B:$B = B850) * ('ALL STUDENTS'!$C:$C = C850), 0)), "NOT FOUND")</f>
        <v>NOT FOUND</v>
      </c>
      <c r="J850" t="str">
        <f>IF(Table26[[#This Row],[Fee]]&gt;500,Table26[[#This Row],[Fee]],"")</f>
        <v/>
      </c>
    </row>
    <row r="851" spans="1:10">
      <c r="A851">
        <v>850</v>
      </c>
      <c r="B851" t="s">
        <v>145</v>
      </c>
      <c r="C851" t="s">
        <v>303</v>
      </c>
      <c r="D851" t="str">
        <f t="array" ref="D851">TEXT(Table26[[#This Row],[Date]],"MMMM")</f>
        <v>September</v>
      </c>
      <c r="E851">
        <v>500</v>
      </c>
      <c r="F851" t="s">
        <v>589</v>
      </c>
      <c r="G851" t="s">
        <v>1538</v>
      </c>
      <c r="H851" s="38">
        <v>46270</v>
      </c>
      <c r="I851" t="str" cm="1">
        <f t="array" ref="I851">IFERROR(INDEX('ALL STUDENTS'!$A:$A, MATCH(1, ('ALL STUDENTS'!$B:$B = B851) * ('ALL STUDENTS'!$C:$C = C851), 0)), "NOT FOUND")</f>
        <v>NOT FOUND</v>
      </c>
      <c r="J851" t="str">
        <f>IF(Table26[[#This Row],[Fee]]&gt;500,Table26[[#This Row],[Fee]],"")</f>
        <v/>
      </c>
    </row>
    <row r="852" spans="1:10">
      <c r="A852">
        <v>851</v>
      </c>
      <c r="B852" t="s">
        <v>145</v>
      </c>
      <c r="C852" t="s">
        <v>303</v>
      </c>
      <c r="D852" t="str">
        <f t="array" ref="D852">TEXT(Table26[[#This Row],[Date]],"MMMM")</f>
        <v>September</v>
      </c>
      <c r="E852">
        <v>500</v>
      </c>
      <c r="F852" t="s">
        <v>589</v>
      </c>
      <c r="G852" t="s">
        <v>1539</v>
      </c>
      <c r="H852" s="38">
        <v>46270</v>
      </c>
      <c r="I852" t="str" cm="1">
        <f t="array" ref="I852">IFERROR(INDEX('ALL STUDENTS'!$A:$A, MATCH(1, ('ALL STUDENTS'!$B:$B = B852) * ('ALL STUDENTS'!$C:$C = C852), 0)), "NOT FOUND")</f>
        <v>NOT FOUND</v>
      </c>
      <c r="J852" t="str">
        <f>IF(Table26[[#This Row],[Fee]]&gt;500,Table26[[#This Row],[Fee]],"")</f>
        <v/>
      </c>
    </row>
    <row r="853" spans="1:10" hidden="1">
      <c r="A853">
        <v>852</v>
      </c>
      <c r="B853" t="s">
        <v>452</v>
      </c>
      <c r="C853" t="s">
        <v>447</v>
      </c>
      <c r="D853" t="str">
        <f t="array" ref="D853">TEXT(Table26[[#This Row],[Date]],"MMMM")</f>
        <v>September</v>
      </c>
      <c r="E853">
        <v>500</v>
      </c>
      <c r="F853" t="s">
        <v>589</v>
      </c>
      <c r="G853" t="s">
        <v>1540</v>
      </c>
      <c r="H853" s="38">
        <v>46267</v>
      </c>
      <c r="I853" cm="1">
        <f t="array" ref="I853">IFERROR(INDEX('ALL STUDENTS'!$A:$A, MATCH(1, ('ALL STUDENTS'!$B:$B = B853) * ('ALL STUDENTS'!$C:$C = C853), 0)), "NOT FOUND")</f>
        <v>675</v>
      </c>
      <c r="J853" t="str">
        <f>IF(Table26[[#This Row],[Fee]]&gt;500,Table26[[#This Row],[Fee]],"")</f>
        <v/>
      </c>
    </row>
    <row r="854" spans="1:10" hidden="1">
      <c r="A854">
        <v>853</v>
      </c>
      <c r="B854" t="s">
        <v>363</v>
      </c>
      <c r="C854" t="s">
        <v>356</v>
      </c>
      <c r="D854" t="str">
        <f t="array" ref="D854">TEXT(Table26[[#This Row],[Date]],"MMMM")</f>
        <v>September</v>
      </c>
      <c r="E854">
        <v>500</v>
      </c>
      <c r="F854" t="s">
        <v>589</v>
      </c>
      <c r="G854" t="s">
        <v>1541</v>
      </c>
      <c r="H854" s="38">
        <v>46270</v>
      </c>
      <c r="I854" cm="1">
        <f t="array" ref="I854">IFERROR(INDEX('ALL STUDENTS'!$A:$A, MATCH(1, ('ALL STUDENTS'!$B:$B = B854) * ('ALL STUDENTS'!$C:$C = C854), 0)), "NOT FOUND")</f>
        <v>771</v>
      </c>
      <c r="J854" t="str">
        <f>IF(Table26[[#This Row],[Fee]]&gt;500,Table26[[#This Row],[Fee]],"")</f>
        <v/>
      </c>
    </row>
    <row r="855" spans="1:10" hidden="1">
      <c r="A855">
        <v>854</v>
      </c>
      <c r="B855" t="s">
        <v>363</v>
      </c>
      <c r="C855" t="s">
        <v>356</v>
      </c>
      <c r="D855" t="str">
        <f t="array" ref="D855">TEXT(Table26[[#This Row],[Date]],"MMMM")</f>
        <v>September</v>
      </c>
      <c r="E855">
        <v>500</v>
      </c>
      <c r="F855" t="s">
        <v>589</v>
      </c>
      <c r="G855" t="s">
        <v>1542</v>
      </c>
      <c r="H855" s="38">
        <v>46270</v>
      </c>
      <c r="I855" cm="1">
        <f t="array" ref="I855">IFERROR(INDEX('ALL STUDENTS'!$A:$A, MATCH(1, ('ALL STUDENTS'!$B:$B = B855) * ('ALL STUDENTS'!$C:$C = C855), 0)), "NOT FOUND")</f>
        <v>771</v>
      </c>
      <c r="J855" t="str">
        <f>IF(Table26[[#This Row],[Fee]]&gt;500,Table26[[#This Row],[Fee]],"")</f>
        <v/>
      </c>
    </row>
    <row r="856" spans="1:10" hidden="1">
      <c r="A856">
        <v>855</v>
      </c>
      <c r="B856" t="s">
        <v>363</v>
      </c>
      <c r="C856" t="s">
        <v>356</v>
      </c>
      <c r="D856" t="str">
        <f t="array" ref="D856">TEXT(Table26[[#This Row],[Date]],"MMMM")</f>
        <v>September</v>
      </c>
      <c r="E856">
        <v>500</v>
      </c>
      <c r="F856" t="s">
        <v>589</v>
      </c>
      <c r="G856" t="s">
        <v>1543</v>
      </c>
      <c r="H856" s="38">
        <v>46270</v>
      </c>
      <c r="I856" cm="1">
        <f t="array" ref="I856">IFERROR(INDEX('ALL STUDENTS'!$A:$A, MATCH(1, ('ALL STUDENTS'!$B:$B = B856) * ('ALL STUDENTS'!$C:$C = C856), 0)), "NOT FOUND")</f>
        <v>771</v>
      </c>
      <c r="J856" t="str">
        <f>IF(Table26[[#This Row],[Fee]]&gt;500,Table26[[#This Row],[Fee]],"")</f>
        <v/>
      </c>
    </row>
    <row r="857" spans="1:10" hidden="1">
      <c r="A857">
        <v>856</v>
      </c>
      <c r="B857" t="s">
        <v>332</v>
      </c>
      <c r="C857" t="s">
        <v>324</v>
      </c>
      <c r="D857" t="str">
        <f t="array" ref="D857">TEXT(Table26[[#This Row],[Date]],"MMMM")</f>
        <v>September</v>
      </c>
      <c r="E857">
        <v>500</v>
      </c>
      <c r="F857" t="s">
        <v>589</v>
      </c>
      <c r="G857" t="s">
        <v>1544</v>
      </c>
      <c r="H857" s="38">
        <v>46270</v>
      </c>
      <c r="I857" cm="1">
        <f t="array" ref="I857">IFERROR(INDEX('ALL STUDENTS'!$A:$A, MATCH(1, ('ALL STUDENTS'!$B:$B = B857) * ('ALL STUDENTS'!$C:$C = C857), 0)), "NOT FOUND")</f>
        <v>2464</v>
      </c>
      <c r="J857" t="str">
        <f>IF(Table26[[#This Row],[Fee]]&gt;500,Table26[[#This Row],[Fee]],"")</f>
        <v/>
      </c>
    </row>
    <row r="858" spans="1:10" hidden="1">
      <c r="A858">
        <v>857</v>
      </c>
      <c r="B858" t="s">
        <v>332</v>
      </c>
      <c r="C858" t="s">
        <v>324</v>
      </c>
      <c r="D858" t="str">
        <f t="array" ref="D858">TEXT(Table26[[#This Row],[Date]],"MMMM")</f>
        <v>September</v>
      </c>
      <c r="E858">
        <v>500</v>
      </c>
      <c r="F858" t="s">
        <v>589</v>
      </c>
      <c r="G858" t="s">
        <v>1545</v>
      </c>
      <c r="H858" s="38">
        <v>46270</v>
      </c>
      <c r="I858" cm="1">
        <f t="array" ref="I858">IFERROR(INDEX('ALL STUDENTS'!$A:$A, MATCH(1, ('ALL STUDENTS'!$B:$B = B858) * ('ALL STUDENTS'!$C:$C = C858), 0)), "NOT FOUND")</f>
        <v>2464</v>
      </c>
      <c r="J858" t="str">
        <f>IF(Table26[[#This Row],[Fee]]&gt;500,Table26[[#This Row],[Fee]],"")</f>
        <v/>
      </c>
    </row>
    <row r="859" spans="1:10" hidden="1">
      <c r="A859">
        <v>858</v>
      </c>
      <c r="B859" t="s">
        <v>332</v>
      </c>
      <c r="C859" t="s">
        <v>324</v>
      </c>
      <c r="D859" t="str">
        <f t="array" ref="D859">TEXT(Table26[[#This Row],[Date]],"MMMM")</f>
        <v>September</v>
      </c>
      <c r="E859">
        <v>500</v>
      </c>
      <c r="F859" t="s">
        <v>589</v>
      </c>
      <c r="G859" t="s">
        <v>1546</v>
      </c>
      <c r="H859" s="38">
        <v>46270</v>
      </c>
      <c r="I859" cm="1">
        <f t="array" ref="I859">IFERROR(INDEX('ALL STUDENTS'!$A:$A, MATCH(1, ('ALL STUDENTS'!$B:$B = B859) * ('ALL STUDENTS'!$C:$C = C859), 0)), "NOT FOUND")</f>
        <v>2464</v>
      </c>
      <c r="J859" t="str">
        <f>IF(Table26[[#This Row],[Fee]]&gt;500,Table26[[#This Row],[Fee]],"")</f>
        <v/>
      </c>
    </row>
    <row r="860" spans="1:10" hidden="1">
      <c r="A860">
        <v>859</v>
      </c>
      <c r="B860" t="s">
        <v>152</v>
      </c>
      <c r="C860" t="s">
        <v>149</v>
      </c>
      <c r="D860" t="str">
        <f t="array" ref="D860">TEXT(Table26[[#This Row],[Date]],"MMMM")</f>
        <v>September</v>
      </c>
      <c r="E860">
        <v>500</v>
      </c>
      <c r="F860" t="s">
        <v>589</v>
      </c>
      <c r="G860" t="s">
        <v>1547</v>
      </c>
      <c r="H860" s="38">
        <v>46270</v>
      </c>
      <c r="I860" cm="1">
        <f t="array" ref="I860">IFERROR(INDEX('ALL STUDENTS'!$A:$A, MATCH(1, ('ALL STUDENTS'!$B:$B = B860) * ('ALL STUDENTS'!$C:$C = C860), 0)), "NOT FOUND")</f>
        <v>1795</v>
      </c>
      <c r="J860" t="str">
        <f>IF(Table26[[#This Row],[Fee]]&gt;500,Table26[[#This Row],[Fee]],"")</f>
        <v/>
      </c>
    </row>
    <row r="861" spans="1:10" hidden="1">
      <c r="A861">
        <v>860</v>
      </c>
      <c r="B861" t="s">
        <v>249</v>
      </c>
      <c r="C861" t="s">
        <v>232</v>
      </c>
      <c r="D861" t="str">
        <f t="array" ref="D861">TEXT(Table26[[#This Row],[Date]],"MMMM")</f>
        <v>August</v>
      </c>
      <c r="E861">
        <v>500</v>
      </c>
      <c r="F861" t="s">
        <v>589</v>
      </c>
      <c r="G861" t="s">
        <v>1548</v>
      </c>
      <c r="H861" s="38">
        <v>46254</v>
      </c>
      <c r="I861" cm="1">
        <f t="array" ref="I861">IFERROR(INDEX('ALL STUDENTS'!$A:$A, MATCH(1, ('ALL STUDENTS'!$B:$B = B861) * ('ALL STUDENTS'!$C:$C = C861), 0)), "NOT FOUND")</f>
        <v>2107</v>
      </c>
      <c r="J861" t="str">
        <f>IF(Table26[[#This Row],[Fee]]&gt;500,Table26[[#This Row],[Fee]],"")</f>
        <v/>
      </c>
    </row>
    <row r="862" spans="1:10" hidden="1">
      <c r="A862">
        <v>861</v>
      </c>
      <c r="B862" t="s">
        <v>48</v>
      </c>
      <c r="C862" t="s">
        <v>32</v>
      </c>
      <c r="D862" t="str">
        <f t="array" ref="D862">TEXT(Table26[[#This Row],[Date]],"MMMM")</f>
        <v>September</v>
      </c>
      <c r="E862">
        <v>500</v>
      </c>
      <c r="F862" t="s">
        <v>589</v>
      </c>
      <c r="G862" t="s">
        <v>1549</v>
      </c>
      <c r="H862" s="38">
        <v>46268</v>
      </c>
      <c r="I862" cm="1">
        <f t="array" ref="I862">IFERROR(INDEX('ALL STUDENTS'!$A:$A, MATCH(1, ('ALL STUDENTS'!$B:$B = B862) * ('ALL STUDENTS'!$C:$C = C862), 0)), "NOT FOUND")</f>
        <v>3073</v>
      </c>
      <c r="J862" t="str">
        <f>IF(Table26[[#This Row],[Fee]]&gt;500,Table26[[#This Row],[Fee]],"")</f>
        <v/>
      </c>
    </row>
    <row r="863" spans="1:10" hidden="1">
      <c r="A863">
        <v>862</v>
      </c>
      <c r="B863" t="s">
        <v>49</v>
      </c>
      <c r="C863" t="s">
        <v>32</v>
      </c>
      <c r="D863" t="str">
        <f t="array" ref="D863">TEXT(Table26[[#This Row],[Date]],"MMMM")</f>
        <v>September</v>
      </c>
      <c r="E863">
        <v>500</v>
      </c>
      <c r="F863" t="s">
        <v>589</v>
      </c>
      <c r="G863" t="s">
        <v>1550</v>
      </c>
      <c r="H863" s="38">
        <v>46269</v>
      </c>
      <c r="I863" cm="1">
        <f t="array" ref="I863">IFERROR(INDEX('ALL STUDENTS'!$A:$A, MATCH(1, ('ALL STUDENTS'!$B:$B = B863) * ('ALL STUDENTS'!$C:$C = C863), 0)), "NOT FOUND")</f>
        <v>3070</v>
      </c>
      <c r="J863" t="str">
        <f>IF(Table26[[#This Row],[Fee]]&gt;500,Table26[[#This Row],[Fee]],"")</f>
        <v/>
      </c>
    </row>
    <row r="864" spans="1:10" hidden="1">
      <c r="A864">
        <v>863</v>
      </c>
      <c r="B864" t="s">
        <v>49</v>
      </c>
      <c r="C864" t="s">
        <v>32</v>
      </c>
      <c r="D864" t="str">
        <f t="array" ref="D864">TEXT(Table26[[#This Row],[Date]],"MMMM")</f>
        <v>September</v>
      </c>
      <c r="E864">
        <v>500</v>
      </c>
      <c r="F864" t="s">
        <v>589</v>
      </c>
      <c r="G864" t="s">
        <v>1551</v>
      </c>
      <c r="H864" s="38">
        <v>46269</v>
      </c>
      <c r="I864" cm="1">
        <f t="array" ref="I864">IFERROR(INDEX('ALL STUDENTS'!$A:$A, MATCH(1, ('ALL STUDENTS'!$B:$B = B864) * ('ALL STUDENTS'!$C:$C = C864), 0)), "NOT FOUND")</f>
        <v>3070</v>
      </c>
      <c r="J864" t="str">
        <f>IF(Table26[[#This Row],[Fee]]&gt;500,Table26[[#This Row],[Fee]],"")</f>
        <v/>
      </c>
    </row>
    <row r="865" spans="1:10" hidden="1">
      <c r="A865">
        <v>864</v>
      </c>
      <c r="B865" t="s">
        <v>49</v>
      </c>
      <c r="C865" t="s">
        <v>32</v>
      </c>
      <c r="D865" t="str">
        <f t="array" ref="D865">TEXT(Table26[[#This Row],[Date]],"MMMM")</f>
        <v>September</v>
      </c>
      <c r="E865">
        <v>500</v>
      </c>
      <c r="F865" t="s">
        <v>589</v>
      </c>
      <c r="G865" t="s">
        <v>1552</v>
      </c>
      <c r="H865" s="38">
        <v>46269</v>
      </c>
      <c r="I865" cm="1">
        <f t="array" ref="I865">IFERROR(INDEX('ALL STUDENTS'!$A:$A, MATCH(1, ('ALL STUDENTS'!$B:$B = B865) * ('ALL STUDENTS'!$C:$C = C865), 0)), "NOT FOUND")</f>
        <v>3070</v>
      </c>
      <c r="J865" t="str">
        <f>IF(Table26[[#This Row],[Fee]]&gt;500,Table26[[#This Row],[Fee]],"")</f>
        <v/>
      </c>
    </row>
    <row r="866" spans="1:10" hidden="1">
      <c r="A866">
        <v>865</v>
      </c>
      <c r="B866" t="s">
        <v>60</v>
      </c>
      <c r="C866" t="s">
        <v>58</v>
      </c>
      <c r="D866" t="str">
        <f t="array" ref="D866">TEXT(Table26[[#This Row],[Date]],"MMMM")</f>
        <v>September</v>
      </c>
      <c r="E866">
        <v>500</v>
      </c>
      <c r="F866" t="s">
        <v>589</v>
      </c>
      <c r="G866" t="s">
        <v>1553</v>
      </c>
      <c r="H866" s="38">
        <v>46270</v>
      </c>
      <c r="I866" cm="1">
        <f t="array" ref="I866">IFERROR(INDEX('ALL STUDENTS'!$A:$A, MATCH(1, ('ALL STUDENTS'!$B:$B = B866) * ('ALL STUDENTS'!$C:$C = C866), 0)), "NOT FOUND")</f>
        <v>3135</v>
      </c>
      <c r="J866" t="str">
        <f>IF(Table26[[#This Row],[Fee]]&gt;500,Table26[[#This Row],[Fee]],"")</f>
        <v/>
      </c>
    </row>
    <row r="867" spans="1:10" hidden="1">
      <c r="A867">
        <v>866</v>
      </c>
      <c r="B867" t="s">
        <v>60</v>
      </c>
      <c r="C867" t="s">
        <v>58</v>
      </c>
      <c r="D867" t="str">
        <f t="array" ref="D867">TEXT(Table26[[#This Row],[Date]],"MMMM")</f>
        <v>September</v>
      </c>
      <c r="E867">
        <v>500</v>
      </c>
      <c r="F867" t="s">
        <v>589</v>
      </c>
      <c r="G867" t="s">
        <v>1554</v>
      </c>
      <c r="H867" s="38">
        <v>46270</v>
      </c>
      <c r="I867" cm="1">
        <f t="array" ref="I867">IFERROR(INDEX('ALL STUDENTS'!$A:$A, MATCH(1, ('ALL STUDENTS'!$B:$B = B867) * ('ALL STUDENTS'!$C:$C = C867), 0)), "NOT FOUND")</f>
        <v>3135</v>
      </c>
      <c r="J867" t="str">
        <f>IF(Table26[[#This Row],[Fee]]&gt;500,Table26[[#This Row],[Fee]],"")</f>
        <v/>
      </c>
    </row>
    <row r="868" spans="1:10" hidden="1">
      <c r="A868">
        <v>867</v>
      </c>
      <c r="B868" t="s">
        <v>60</v>
      </c>
      <c r="C868" t="s">
        <v>58</v>
      </c>
      <c r="D868" t="str">
        <f t="array" ref="D868">TEXT(Table26[[#This Row],[Date]],"MMMM")</f>
        <v>September</v>
      </c>
      <c r="E868">
        <v>500</v>
      </c>
      <c r="F868" t="s">
        <v>589</v>
      </c>
      <c r="G868" t="s">
        <v>1555</v>
      </c>
      <c r="H868" s="38">
        <v>46270</v>
      </c>
      <c r="I868" cm="1">
        <f t="array" ref="I868">IFERROR(INDEX('ALL STUDENTS'!$A:$A, MATCH(1, ('ALL STUDENTS'!$B:$B = B868) * ('ALL STUDENTS'!$C:$C = C868), 0)), "NOT FOUND")</f>
        <v>3135</v>
      </c>
      <c r="J868" t="str">
        <f>IF(Table26[[#This Row],[Fee]]&gt;500,Table26[[#This Row],[Fee]],"")</f>
        <v/>
      </c>
    </row>
    <row r="869" spans="1:10" hidden="1">
      <c r="A869">
        <v>868</v>
      </c>
      <c r="B869" t="s">
        <v>50</v>
      </c>
      <c r="C869" t="s">
        <v>32</v>
      </c>
      <c r="D869" t="str">
        <f t="array" ref="D869">TEXT(Table26[[#This Row],[Date]],"MMMM")</f>
        <v>August</v>
      </c>
      <c r="E869">
        <v>500</v>
      </c>
      <c r="F869" t="s">
        <v>589</v>
      </c>
      <c r="G869" t="s">
        <v>1556</v>
      </c>
      <c r="H869" s="38">
        <v>46254</v>
      </c>
      <c r="I869" cm="1">
        <f t="array" ref="I869">IFERROR(INDEX('ALL STUDENTS'!$A:$A, MATCH(1, ('ALL STUDENTS'!$B:$B = B869) * ('ALL STUDENTS'!$C:$C = C869), 0)), "NOT FOUND")</f>
        <v>3080</v>
      </c>
      <c r="J869" t="str">
        <f>IF(Table26[[#This Row],[Fee]]&gt;500,Table26[[#This Row],[Fee]],"")</f>
        <v/>
      </c>
    </row>
    <row r="870" spans="1:10" hidden="1">
      <c r="A870">
        <v>869</v>
      </c>
      <c r="B870" t="s">
        <v>292</v>
      </c>
      <c r="C870" t="s">
        <v>286</v>
      </c>
      <c r="D870" t="str">
        <f t="array" ref="D870">TEXT(Table26[[#This Row],[Date]],"MMMM")</f>
        <v>September</v>
      </c>
      <c r="E870">
        <v>500</v>
      </c>
      <c r="F870" t="s">
        <v>589</v>
      </c>
      <c r="G870" t="s">
        <v>1557</v>
      </c>
      <c r="H870" s="38">
        <v>46270</v>
      </c>
      <c r="I870" cm="1">
        <f t="array" ref="I870">IFERROR(INDEX('ALL STUDENTS'!$A:$A, MATCH(1, ('ALL STUDENTS'!$B:$B = B870) * ('ALL STUDENTS'!$C:$C = C870), 0)), "NOT FOUND")</f>
        <v>2258</v>
      </c>
      <c r="J870" t="str">
        <f>IF(Table26[[#This Row],[Fee]]&gt;500,Table26[[#This Row],[Fee]],"")</f>
        <v/>
      </c>
    </row>
    <row r="871" spans="1:10" hidden="1">
      <c r="A871">
        <v>870</v>
      </c>
      <c r="B871" t="s">
        <v>292</v>
      </c>
      <c r="C871" t="s">
        <v>286</v>
      </c>
      <c r="D871" t="str">
        <f t="array" ref="D871">TEXT(Table26[[#This Row],[Date]],"MMMM")</f>
        <v>September</v>
      </c>
      <c r="E871">
        <v>500</v>
      </c>
      <c r="F871" t="s">
        <v>589</v>
      </c>
      <c r="G871" t="s">
        <v>1558</v>
      </c>
      <c r="H871" s="38">
        <v>46270</v>
      </c>
      <c r="I871" cm="1">
        <f t="array" ref="I871">IFERROR(INDEX('ALL STUDENTS'!$A:$A, MATCH(1, ('ALL STUDENTS'!$B:$B = B871) * ('ALL STUDENTS'!$C:$C = C871), 0)), "NOT FOUND")</f>
        <v>2258</v>
      </c>
      <c r="J871" t="str">
        <f>IF(Table26[[#This Row],[Fee]]&gt;500,Table26[[#This Row],[Fee]],"")</f>
        <v/>
      </c>
    </row>
    <row r="872" spans="1:10" hidden="1">
      <c r="A872">
        <v>871</v>
      </c>
      <c r="B872" t="s">
        <v>292</v>
      </c>
      <c r="C872" t="s">
        <v>286</v>
      </c>
      <c r="D872" t="str">
        <f t="array" ref="D872">TEXT(Table26[[#This Row],[Date]],"MMMM")</f>
        <v>September</v>
      </c>
      <c r="E872">
        <v>500</v>
      </c>
      <c r="F872" t="s">
        <v>589</v>
      </c>
      <c r="G872" t="s">
        <v>1559</v>
      </c>
      <c r="H872" s="38">
        <v>46270</v>
      </c>
      <c r="I872" cm="1">
        <f t="array" ref="I872">IFERROR(INDEX('ALL STUDENTS'!$A:$A, MATCH(1, ('ALL STUDENTS'!$B:$B = B872) * ('ALL STUDENTS'!$C:$C = C872), 0)), "NOT FOUND")</f>
        <v>2258</v>
      </c>
      <c r="J872" t="str">
        <f>IF(Table26[[#This Row],[Fee]]&gt;500,Table26[[#This Row],[Fee]],"")</f>
        <v/>
      </c>
    </row>
    <row r="873" spans="1:10" hidden="1">
      <c r="A873">
        <v>872</v>
      </c>
      <c r="B873" t="s">
        <v>61</v>
      </c>
      <c r="C873" t="s">
        <v>58</v>
      </c>
      <c r="D873" t="str">
        <f t="array" ref="D873">TEXT(Table26[[#This Row],[Date]],"MMMM")</f>
        <v>September</v>
      </c>
      <c r="E873">
        <v>500</v>
      </c>
      <c r="F873" t="s">
        <v>589</v>
      </c>
      <c r="G873" t="s">
        <v>1560</v>
      </c>
      <c r="H873" s="38">
        <v>46270</v>
      </c>
      <c r="I873" cm="1">
        <f t="array" ref="I873">IFERROR(INDEX('ALL STUDENTS'!$A:$A, MATCH(1, ('ALL STUDENTS'!$B:$B = B873) * ('ALL STUDENTS'!$C:$C = C873), 0)), "NOT FOUND")</f>
        <v>3165</v>
      </c>
      <c r="J873" t="str">
        <f>IF(Table26[[#This Row],[Fee]]&gt;500,Table26[[#This Row],[Fee]],"")</f>
        <v/>
      </c>
    </row>
    <row r="874" spans="1:10" hidden="1">
      <c r="A874">
        <v>873</v>
      </c>
      <c r="B874" t="s">
        <v>61</v>
      </c>
      <c r="C874" t="s">
        <v>58</v>
      </c>
      <c r="D874" t="str">
        <f t="array" ref="D874">TEXT(Table26[[#This Row],[Date]],"MMMM")</f>
        <v>September</v>
      </c>
      <c r="E874">
        <v>500</v>
      </c>
      <c r="F874" t="s">
        <v>589</v>
      </c>
      <c r="G874" t="s">
        <v>1561</v>
      </c>
      <c r="H874" s="38">
        <v>46270</v>
      </c>
      <c r="I874" cm="1">
        <f t="array" ref="I874">IFERROR(INDEX('ALL STUDENTS'!$A:$A, MATCH(1, ('ALL STUDENTS'!$B:$B = B874) * ('ALL STUDENTS'!$C:$C = C874), 0)), "NOT FOUND")</f>
        <v>3165</v>
      </c>
      <c r="J874" t="str">
        <f>IF(Table26[[#This Row],[Fee]]&gt;500,Table26[[#This Row],[Fee]],"")</f>
        <v/>
      </c>
    </row>
    <row r="875" spans="1:10" hidden="1">
      <c r="A875">
        <v>874</v>
      </c>
      <c r="B875" t="s">
        <v>61</v>
      </c>
      <c r="C875" t="s">
        <v>58</v>
      </c>
      <c r="D875" t="str">
        <f t="array" ref="D875">TEXT(Table26[[#This Row],[Date]],"MMMM")</f>
        <v>September</v>
      </c>
      <c r="E875">
        <v>500</v>
      </c>
      <c r="F875" t="s">
        <v>589</v>
      </c>
      <c r="G875" t="s">
        <v>1562</v>
      </c>
      <c r="H875" s="38">
        <v>46270</v>
      </c>
      <c r="I875" cm="1">
        <f t="array" ref="I875">IFERROR(INDEX('ALL STUDENTS'!$A:$A, MATCH(1, ('ALL STUDENTS'!$B:$B = B875) * ('ALL STUDENTS'!$C:$C = C875), 0)), "NOT FOUND")</f>
        <v>3165</v>
      </c>
      <c r="J875" t="str">
        <f>IF(Table26[[#This Row],[Fee]]&gt;500,Table26[[#This Row],[Fee]],"")</f>
        <v/>
      </c>
    </row>
    <row r="876" spans="1:10" hidden="1">
      <c r="A876">
        <v>875</v>
      </c>
      <c r="B876" t="s">
        <v>342</v>
      </c>
      <c r="C876" t="s">
        <v>340</v>
      </c>
      <c r="D876" t="str">
        <f t="array" ref="D876">TEXT(Table26[[#This Row],[Date]],"MMMM")</f>
        <v>September</v>
      </c>
      <c r="E876">
        <v>500</v>
      </c>
      <c r="F876" t="s">
        <v>589</v>
      </c>
      <c r="G876" t="s">
        <v>1563</v>
      </c>
      <c r="H876" s="38">
        <v>46267</v>
      </c>
      <c r="I876" cm="1">
        <f t="array" ref="I876">IFERROR(INDEX('ALL STUDENTS'!$A:$A, MATCH(1, ('ALL STUDENTS'!$B:$B = B876) * ('ALL STUDENTS'!$C:$C = C876), 0)), "NOT FOUND")</f>
        <v>2504</v>
      </c>
      <c r="J876" t="str">
        <f>IF(Table26[[#This Row],[Fee]]&gt;500,Table26[[#This Row],[Fee]],"")</f>
        <v/>
      </c>
    </row>
    <row r="877" spans="1:10" hidden="1">
      <c r="A877">
        <v>876</v>
      </c>
      <c r="B877" t="s">
        <v>342</v>
      </c>
      <c r="C877" t="s">
        <v>340</v>
      </c>
      <c r="D877" t="str">
        <f t="array" ref="D877">TEXT(Table26[[#This Row],[Date]],"MMMM")</f>
        <v>September</v>
      </c>
      <c r="E877">
        <v>500</v>
      </c>
      <c r="F877" t="s">
        <v>589</v>
      </c>
      <c r="G877" t="s">
        <v>1564</v>
      </c>
      <c r="H877" s="38">
        <v>46267</v>
      </c>
      <c r="I877" cm="1">
        <f t="array" ref="I877">IFERROR(INDEX('ALL STUDENTS'!$A:$A, MATCH(1, ('ALL STUDENTS'!$B:$B = B877) * ('ALL STUDENTS'!$C:$C = C877), 0)), "NOT FOUND")</f>
        <v>2504</v>
      </c>
      <c r="J877" t="str">
        <f>IF(Table26[[#This Row],[Fee]]&gt;500,Table26[[#This Row],[Fee]],"")</f>
        <v/>
      </c>
    </row>
    <row r="878" spans="1:10" hidden="1">
      <c r="A878">
        <v>877</v>
      </c>
      <c r="B878" t="s">
        <v>79</v>
      </c>
      <c r="C878" t="s">
        <v>68</v>
      </c>
      <c r="D878" t="str">
        <f t="array" ref="D878">TEXT(Table26[[#This Row],[Date]],"MMMM")</f>
        <v>September</v>
      </c>
      <c r="E878">
        <v>500</v>
      </c>
      <c r="F878" t="s">
        <v>589</v>
      </c>
      <c r="G878" t="s">
        <v>1565</v>
      </c>
      <c r="H878" s="38">
        <v>46270</v>
      </c>
      <c r="I878" cm="1">
        <f t="array" ref="I878">IFERROR(INDEX('ALL STUDENTS'!$A:$A, MATCH(1, ('ALL STUDENTS'!$B:$B = B878) * ('ALL STUDENTS'!$C:$C = C878), 0)), "NOT FOUND")</f>
        <v>1512</v>
      </c>
      <c r="J878" t="str">
        <f>IF(Table26[[#This Row],[Fee]]&gt;500,Table26[[#This Row],[Fee]],"")</f>
        <v/>
      </c>
    </row>
    <row r="879" spans="1:10" hidden="1">
      <c r="A879">
        <v>878</v>
      </c>
      <c r="B879" t="s">
        <v>79</v>
      </c>
      <c r="C879" t="s">
        <v>68</v>
      </c>
      <c r="D879" t="str">
        <f t="array" ref="D879">TEXT(Table26[[#This Row],[Date]],"MMMM")</f>
        <v>September</v>
      </c>
      <c r="E879">
        <v>500</v>
      </c>
      <c r="F879" t="s">
        <v>589</v>
      </c>
      <c r="G879" t="s">
        <v>1566</v>
      </c>
      <c r="H879" s="38">
        <v>46270</v>
      </c>
      <c r="I879" cm="1">
        <f t="array" ref="I879">IFERROR(INDEX('ALL STUDENTS'!$A:$A, MATCH(1, ('ALL STUDENTS'!$B:$B = B879) * ('ALL STUDENTS'!$C:$C = C879), 0)), "NOT FOUND")</f>
        <v>1512</v>
      </c>
      <c r="J879" t="str">
        <f>IF(Table26[[#This Row],[Fee]]&gt;500,Table26[[#This Row],[Fee]],"")</f>
        <v/>
      </c>
    </row>
    <row r="880" spans="1:10" hidden="1">
      <c r="A880">
        <v>879</v>
      </c>
      <c r="B880" t="s">
        <v>79</v>
      </c>
      <c r="C880" t="s">
        <v>68</v>
      </c>
      <c r="D880" t="str">
        <f t="array" ref="D880">TEXT(Table26[[#This Row],[Date]],"MMMM")</f>
        <v>September</v>
      </c>
      <c r="E880">
        <v>500</v>
      </c>
      <c r="F880" t="s">
        <v>589</v>
      </c>
      <c r="G880" t="s">
        <v>1567</v>
      </c>
      <c r="H880" s="38">
        <v>46270</v>
      </c>
      <c r="I880" cm="1">
        <f t="array" ref="I880">IFERROR(INDEX('ALL STUDENTS'!$A:$A, MATCH(1, ('ALL STUDENTS'!$B:$B = B880) * ('ALL STUDENTS'!$C:$C = C880), 0)), "NOT FOUND")</f>
        <v>1512</v>
      </c>
      <c r="J880" t="str">
        <f>IF(Table26[[#This Row],[Fee]]&gt;500,Table26[[#This Row],[Fee]],"")</f>
        <v/>
      </c>
    </row>
    <row r="881" spans="1:10" hidden="1">
      <c r="A881">
        <v>880</v>
      </c>
      <c r="B881" t="s">
        <v>137</v>
      </c>
      <c r="C881" t="s">
        <v>128</v>
      </c>
      <c r="D881" t="str">
        <f t="array" ref="D881">TEXT(Table26[[#This Row],[Date]],"MMMM")</f>
        <v>September</v>
      </c>
      <c r="E881">
        <v>500</v>
      </c>
      <c r="F881" t="s">
        <v>589</v>
      </c>
      <c r="G881" t="s">
        <v>1568</v>
      </c>
      <c r="H881" s="38">
        <v>46270</v>
      </c>
      <c r="I881" cm="1">
        <f t="array" ref="I881">IFERROR(INDEX('ALL STUDENTS'!$A:$A, MATCH(1, ('ALL STUDENTS'!$B:$B = B881) * ('ALL STUDENTS'!$C:$C = C881), 0)), "NOT FOUND")</f>
        <v>1705</v>
      </c>
      <c r="J881" t="str">
        <f>IF(Table26[[#This Row],[Fee]]&gt;500,Table26[[#This Row],[Fee]],"")</f>
        <v/>
      </c>
    </row>
    <row r="882" spans="1:10" hidden="1">
      <c r="A882">
        <v>881</v>
      </c>
      <c r="B882" t="s">
        <v>319</v>
      </c>
      <c r="C882" t="s">
        <v>304</v>
      </c>
      <c r="D882" t="str">
        <f t="array" ref="D882">TEXT(Table26[[#This Row],[Date]],"MMMM")</f>
        <v>September</v>
      </c>
      <c r="E882">
        <v>500</v>
      </c>
      <c r="F882" t="s">
        <v>589</v>
      </c>
      <c r="G882" t="s">
        <v>1569</v>
      </c>
      <c r="H882" s="38">
        <v>46269</v>
      </c>
      <c r="I882" cm="1">
        <f t="array" ref="I882">IFERROR(INDEX('ALL STUDENTS'!$A:$A, MATCH(1, ('ALL STUDENTS'!$B:$B = B882) * ('ALL STUDENTS'!$C:$C = C882), 0)), "NOT FOUND")</f>
        <v>2376</v>
      </c>
      <c r="J882" t="str">
        <f>IF(Table26[[#This Row],[Fee]]&gt;500,Table26[[#This Row],[Fee]],"")</f>
        <v/>
      </c>
    </row>
    <row r="883" spans="1:10" hidden="1">
      <c r="A883">
        <v>882</v>
      </c>
      <c r="B883" t="s">
        <v>319</v>
      </c>
      <c r="C883" t="s">
        <v>304</v>
      </c>
      <c r="D883" t="str">
        <f t="array" ref="D883">TEXT(Table26[[#This Row],[Date]],"MMMM")</f>
        <v>September</v>
      </c>
      <c r="E883">
        <v>500</v>
      </c>
      <c r="F883" t="s">
        <v>589</v>
      </c>
      <c r="G883" t="s">
        <v>1570</v>
      </c>
      <c r="H883" s="38">
        <v>46269</v>
      </c>
      <c r="I883" cm="1">
        <f t="array" ref="I883">IFERROR(INDEX('ALL STUDENTS'!$A:$A, MATCH(1, ('ALL STUDENTS'!$B:$B = B883) * ('ALL STUDENTS'!$C:$C = C883), 0)), "NOT FOUND")</f>
        <v>2376</v>
      </c>
      <c r="J883" t="str">
        <f>IF(Table26[[#This Row],[Fee]]&gt;500,Table26[[#This Row],[Fee]],"")</f>
        <v/>
      </c>
    </row>
    <row r="884" spans="1:10" hidden="1">
      <c r="A884">
        <v>883</v>
      </c>
      <c r="B884" t="s">
        <v>319</v>
      </c>
      <c r="C884" t="s">
        <v>304</v>
      </c>
      <c r="D884" t="str">
        <f t="array" ref="D884">TEXT(Table26[[#This Row],[Date]],"MMMM")</f>
        <v>September</v>
      </c>
      <c r="E884">
        <v>500</v>
      </c>
      <c r="F884" t="s">
        <v>589</v>
      </c>
      <c r="G884" t="s">
        <v>1571</v>
      </c>
      <c r="H884" s="38">
        <v>46269</v>
      </c>
      <c r="I884" cm="1">
        <f t="array" ref="I884">IFERROR(INDEX('ALL STUDENTS'!$A:$A, MATCH(1, ('ALL STUDENTS'!$B:$B = B884) * ('ALL STUDENTS'!$C:$C = C884), 0)), "NOT FOUND")</f>
        <v>2376</v>
      </c>
      <c r="J884" t="str">
        <f>IF(Table26[[#This Row],[Fee]]&gt;500,Table26[[#This Row],[Fee]],"")</f>
        <v/>
      </c>
    </row>
    <row r="885" spans="1:10" hidden="1">
      <c r="A885">
        <v>884</v>
      </c>
      <c r="B885" t="s">
        <v>31</v>
      </c>
      <c r="C885" t="s">
        <v>20</v>
      </c>
      <c r="D885" t="str">
        <f t="array" ref="D885">TEXT(Table26[[#This Row],[Date]],"MMMM")</f>
        <v>September</v>
      </c>
      <c r="E885">
        <v>500</v>
      </c>
      <c r="F885" t="s">
        <v>589</v>
      </c>
      <c r="G885" t="s">
        <v>1572</v>
      </c>
      <c r="H885" s="38">
        <v>46269</v>
      </c>
      <c r="I885" cm="1">
        <f t="array" ref="I885">IFERROR(INDEX('ALL STUDENTS'!$A:$A, MATCH(1, ('ALL STUDENTS'!$B:$B = B885) * ('ALL STUDENTS'!$C:$C = C885), 0)), "NOT FOUND")</f>
        <v>3053</v>
      </c>
      <c r="J885" t="str">
        <f>IF(Table26[[#This Row],[Fee]]&gt;500,Table26[[#This Row],[Fee]],"")</f>
        <v/>
      </c>
    </row>
    <row r="886" spans="1:10" hidden="1">
      <c r="A886">
        <v>885</v>
      </c>
      <c r="B886" t="s">
        <v>31</v>
      </c>
      <c r="C886" t="s">
        <v>20</v>
      </c>
      <c r="D886" t="str">
        <f t="array" ref="D886">TEXT(Table26[[#This Row],[Date]],"MMMM")</f>
        <v>September</v>
      </c>
      <c r="E886">
        <v>500</v>
      </c>
      <c r="F886" t="s">
        <v>589</v>
      </c>
      <c r="G886" t="s">
        <v>1573</v>
      </c>
      <c r="H886" s="38">
        <v>46269</v>
      </c>
      <c r="I886" cm="1">
        <f t="array" ref="I886">IFERROR(INDEX('ALL STUDENTS'!$A:$A, MATCH(1, ('ALL STUDENTS'!$B:$B = B886) * ('ALL STUDENTS'!$C:$C = C886), 0)), "NOT FOUND")</f>
        <v>3053</v>
      </c>
      <c r="J886" t="str">
        <f>IF(Table26[[#This Row],[Fee]]&gt;500,Table26[[#This Row],[Fee]],"")</f>
        <v/>
      </c>
    </row>
    <row r="887" spans="1:10" hidden="1">
      <c r="A887">
        <v>886</v>
      </c>
      <c r="B887" t="s">
        <v>31</v>
      </c>
      <c r="C887" t="s">
        <v>20</v>
      </c>
      <c r="D887" t="str">
        <f t="array" ref="D887">TEXT(Table26[[#This Row],[Date]],"MMMM")</f>
        <v>September</v>
      </c>
      <c r="E887">
        <v>500</v>
      </c>
      <c r="F887" t="s">
        <v>589</v>
      </c>
      <c r="G887" t="s">
        <v>1574</v>
      </c>
      <c r="H887" s="38">
        <v>46269</v>
      </c>
      <c r="I887" cm="1">
        <f t="array" ref="I887">IFERROR(INDEX('ALL STUDENTS'!$A:$A, MATCH(1, ('ALL STUDENTS'!$B:$B = B887) * ('ALL STUDENTS'!$C:$C = C887), 0)), "NOT FOUND")</f>
        <v>3053</v>
      </c>
      <c r="J887" t="str">
        <f>IF(Table26[[#This Row],[Fee]]&gt;500,Table26[[#This Row],[Fee]],"")</f>
        <v/>
      </c>
    </row>
    <row r="888" spans="1:10" hidden="1">
      <c r="A888">
        <v>887</v>
      </c>
      <c r="B888" t="s">
        <v>323</v>
      </c>
      <c r="C888" t="s">
        <v>320</v>
      </c>
      <c r="D888" t="str">
        <f t="array" ref="D888">TEXT(Table26[[#This Row],[Date]],"MMMM")</f>
        <v>September</v>
      </c>
      <c r="E888">
        <v>500</v>
      </c>
      <c r="F888" t="s">
        <v>589</v>
      </c>
      <c r="G888" t="s">
        <v>1575</v>
      </c>
      <c r="H888" s="38">
        <v>46270</v>
      </c>
      <c r="I888" cm="1">
        <f t="array" ref="I888">IFERROR(INDEX('ALL STUDENTS'!$A:$A, MATCH(1, ('ALL STUDENTS'!$B:$B = B888) * ('ALL STUDENTS'!$C:$C = C888), 0)), "NOT FOUND")</f>
        <v>2432</v>
      </c>
      <c r="J888" t="str">
        <f>IF(Table26[[#This Row],[Fee]]&gt;500,Table26[[#This Row],[Fee]],"")</f>
        <v/>
      </c>
    </row>
    <row r="889" spans="1:10" hidden="1">
      <c r="A889">
        <v>888</v>
      </c>
      <c r="B889" t="s">
        <v>302</v>
      </c>
      <c r="C889" t="s">
        <v>299</v>
      </c>
      <c r="D889" t="str">
        <f t="array" ref="D889">TEXT(Table26[[#This Row],[Date]],"MMMM")</f>
        <v>September</v>
      </c>
      <c r="E889">
        <v>500</v>
      </c>
      <c r="F889" t="s">
        <v>589</v>
      </c>
      <c r="G889" t="s">
        <v>1576</v>
      </c>
      <c r="H889" s="38">
        <v>46270</v>
      </c>
      <c r="I889" cm="1">
        <f t="array" ref="I889">IFERROR(INDEX('ALL STUDENTS'!$A:$A, MATCH(1, ('ALL STUDENTS'!$B:$B = B889) * ('ALL STUDENTS'!$C:$C = C889), 0)), "NOT FOUND")</f>
        <v>2321</v>
      </c>
      <c r="J889" t="str">
        <f>IF(Table26[[#This Row],[Fee]]&gt;500,Table26[[#This Row],[Fee]],"")</f>
        <v/>
      </c>
    </row>
    <row r="890" spans="1:10" hidden="1">
      <c r="A890">
        <v>889</v>
      </c>
      <c r="B890" t="s">
        <v>302</v>
      </c>
      <c r="C890" t="s">
        <v>299</v>
      </c>
      <c r="D890" t="str">
        <f t="array" ref="D890">TEXT(Table26[[#This Row],[Date]],"MMMM")</f>
        <v>September</v>
      </c>
      <c r="E890">
        <v>500</v>
      </c>
      <c r="F890" t="s">
        <v>589</v>
      </c>
      <c r="G890" t="s">
        <v>1577</v>
      </c>
      <c r="H890" s="38">
        <v>46270</v>
      </c>
      <c r="I890" cm="1">
        <f t="array" ref="I890">IFERROR(INDEX('ALL STUDENTS'!$A:$A, MATCH(1, ('ALL STUDENTS'!$B:$B = B890) * ('ALL STUDENTS'!$C:$C = C890), 0)), "NOT FOUND")</f>
        <v>2321</v>
      </c>
      <c r="J890" t="str">
        <f>IF(Table26[[#This Row],[Fee]]&gt;500,Table26[[#This Row],[Fee]],"")</f>
        <v/>
      </c>
    </row>
    <row r="891" spans="1:10" hidden="1">
      <c r="A891">
        <v>890</v>
      </c>
      <c r="B891" t="s">
        <v>302</v>
      </c>
      <c r="C891" t="s">
        <v>299</v>
      </c>
      <c r="D891" t="str">
        <f t="array" ref="D891">TEXT(Table26[[#This Row],[Date]],"MMMM")</f>
        <v>September</v>
      </c>
      <c r="E891">
        <v>500</v>
      </c>
      <c r="F891" t="s">
        <v>589</v>
      </c>
      <c r="G891" t="s">
        <v>1578</v>
      </c>
      <c r="H891" s="38">
        <v>46270</v>
      </c>
      <c r="I891" cm="1">
        <f t="array" ref="I891">IFERROR(INDEX('ALL STUDENTS'!$A:$A, MATCH(1, ('ALL STUDENTS'!$B:$B = B891) * ('ALL STUDENTS'!$C:$C = C891), 0)), "NOT FOUND")</f>
        <v>2321</v>
      </c>
      <c r="J891" t="str">
        <f>IF(Table26[[#This Row],[Fee]]&gt;500,Table26[[#This Row],[Fee]],"")</f>
        <v/>
      </c>
    </row>
    <row r="892" spans="1:10" hidden="1">
      <c r="A892">
        <v>891</v>
      </c>
      <c r="B892" t="s">
        <v>250</v>
      </c>
      <c r="C892" t="s">
        <v>232</v>
      </c>
      <c r="D892" t="str">
        <f t="array" ref="D892">TEXT(Table26[[#This Row],[Date]],"MMMM")</f>
        <v>September</v>
      </c>
      <c r="E892">
        <v>500</v>
      </c>
      <c r="F892" t="s">
        <v>589</v>
      </c>
      <c r="G892" t="s">
        <v>1579</v>
      </c>
      <c r="H892" s="38">
        <v>46270</v>
      </c>
      <c r="I892" cm="1">
        <f t="array" ref="I892">IFERROR(INDEX('ALL STUDENTS'!$A:$A, MATCH(1, ('ALL STUDENTS'!$B:$B = B892) * ('ALL STUDENTS'!$C:$C = C892), 0)), "NOT FOUND")</f>
        <v>2089</v>
      </c>
      <c r="J892" t="str">
        <f>IF(Table26[[#This Row],[Fee]]&gt;500,Table26[[#This Row],[Fee]],"")</f>
        <v/>
      </c>
    </row>
    <row r="893" spans="1:10" hidden="1">
      <c r="A893">
        <v>892</v>
      </c>
      <c r="B893" t="s">
        <v>5</v>
      </c>
      <c r="C893" t="s">
        <v>4</v>
      </c>
      <c r="D893" t="str">
        <f t="array" ref="D893">TEXT(Table26[[#This Row],[Date]],"MMMM")</f>
        <v>September</v>
      </c>
      <c r="E893">
        <v>500</v>
      </c>
      <c r="F893" t="s">
        <v>589</v>
      </c>
      <c r="G893" t="s">
        <v>1580</v>
      </c>
      <c r="H893" s="38">
        <v>46270</v>
      </c>
      <c r="I893" cm="1">
        <f t="array" ref="I893">IFERROR(INDEX('ALL STUDENTS'!$A:$A, MATCH(1, ('ALL STUDENTS'!$B:$B = B893) * ('ALL STUDENTS'!$C:$C = C893), 0)), "NOT FOUND")</f>
        <v>3004</v>
      </c>
      <c r="J893" t="str">
        <f>IF(Table26[[#This Row],[Fee]]&gt;500,Table26[[#This Row],[Fee]],"")</f>
        <v/>
      </c>
    </row>
    <row r="894" spans="1:10" hidden="1">
      <c r="A894">
        <v>893</v>
      </c>
      <c r="B894" t="s">
        <v>118</v>
      </c>
      <c r="C894" t="s">
        <v>113</v>
      </c>
      <c r="D894" t="str">
        <f t="array" ref="D894">TEXT(Table26[[#This Row],[Date]],"MMMM")</f>
        <v>September</v>
      </c>
      <c r="E894">
        <v>500</v>
      </c>
      <c r="F894" t="s">
        <v>589</v>
      </c>
      <c r="G894" t="s">
        <v>1581</v>
      </c>
      <c r="H894" s="38">
        <v>46270</v>
      </c>
      <c r="I894" cm="1">
        <f t="array" ref="I894">IFERROR(INDEX('ALL STUDENTS'!$A:$A, MATCH(1, ('ALL STUDENTS'!$B:$B = B894) * ('ALL STUDENTS'!$C:$C = C894), 0)), "NOT FOUND")</f>
        <v>1629</v>
      </c>
      <c r="J894" t="str">
        <f>IF(Table26[[#This Row],[Fee]]&gt;500,Table26[[#This Row],[Fee]],"")</f>
        <v/>
      </c>
    </row>
    <row r="895" spans="1:10" hidden="1">
      <c r="A895">
        <v>894</v>
      </c>
      <c r="B895" t="s">
        <v>118</v>
      </c>
      <c r="C895" t="s">
        <v>113</v>
      </c>
      <c r="D895" t="str">
        <f t="array" ref="D895">TEXT(Table26[[#This Row],[Date]],"MMMM")</f>
        <v>September</v>
      </c>
      <c r="E895">
        <v>500</v>
      </c>
      <c r="F895" t="s">
        <v>589</v>
      </c>
      <c r="G895" t="s">
        <v>1582</v>
      </c>
      <c r="H895" s="38">
        <v>46270</v>
      </c>
      <c r="I895" cm="1">
        <f t="array" ref="I895">IFERROR(INDEX('ALL STUDENTS'!$A:$A, MATCH(1, ('ALL STUDENTS'!$B:$B = B895) * ('ALL STUDENTS'!$C:$C = C895), 0)), "NOT FOUND")</f>
        <v>1629</v>
      </c>
      <c r="J895" t="str">
        <f>IF(Table26[[#This Row],[Fee]]&gt;500,Table26[[#This Row],[Fee]],"")</f>
        <v/>
      </c>
    </row>
    <row r="896" spans="1:10" hidden="1">
      <c r="A896">
        <v>895</v>
      </c>
      <c r="B896" t="s">
        <v>118</v>
      </c>
      <c r="C896" t="s">
        <v>113</v>
      </c>
      <c r="D896" t="str">
        <f t="array" ref="D896">TEXT(Table26[[#This Row],[Date]],"MMMM")</f>
        <v>September</v>
      </c>
      <c r="E896">
        <v>500</v>
      </c>
      <c r="F896" t="s">
        <v>589</v>
      </c>
      <c r="G896" t="s">
        <v>1583</v>
      </c>
      <c r="H896" s="38">
        <v>46270</v>
      </c>
      <c r="I896" cm="1">
        <f t="array" ref="I896">IFERROR(INDEX('ALL STUDENTS'!$A:$A, MATCH(1, ('ALL STUDENTS'!$B:$B = B896) * ('ALL STUDENTS'!$C:$C = C896), 0)), "NOT FOUND")</f>
        <v>1629</v>
      </c>
      <c r="J896" t="str">
        <f>IF(Table26[[#This Row],[Fee]]&gt;500,Table26[[#This Row],[Fee]],"")</f>
        <v/>
      </c>
    </row>
    <row r="897" spans="1:10" hidden="1">
      <c r="A897">
        <v>896</v>
      </c>
      <c r="B897" t="s">
        <v>580</v>
      </c>
      <c r="C897" t="s">
        <v>579</v>
      </c>
      <c r="D897" t="str">
        <f t="array" ref="D897">TEXT(Table26[[#This Row],[Date]],"MMMM")</f>
        <v>September</v>
      </c>
      <c r="E897">
        <v>500</v>
      </c>
      <c r="F897" t="s">
        <v>589</v>
      </c>
      <c r="G897" t="s">
        <v>1584</v>
      </c>
      <c r="H897" s="38">
        <v>46268</v>
      </c>
      <c r="I897" cm="1">
        <f t="array" ref="I897">IFERROR(INDEX('ALL STUDENTS'!$A:$A, MATCH(1, ('ALL STUDENTS'!$B:$B = B897) * ('ALL STUDENTS'!$C:$C = C897), 0)), "NOT FOUND")</f>
        <v>1198</v>
      </c>
      <c r="J897" t="str">
        <f>IF(Table26[[#This Row],[Fee]]&gt;500,Table26[[#This Row],[Fee]],"")</f>
        <v/>
      </c>
    </row>
    <row r="898" spans="1:10" hidden="1">
      <c r="A898">
        <v>897</v>
      </c>
      <c r="B898" t="s">
        <v>251</v>
      </c>
      <c r="C898" t="s">
        <v>232</v>
      </c>
      <c r="D898" t="str">
        <f t="array" ref="D898">TEXT(Table26[[#This Row],[Date]],"MMMM")</f>
        <v>September</v>
      </c>
      <c r="E898">
        <v>500</v>
      </c>
      <c r="F898" t="s">
        <v>589</v>
      </c>
      <c r="G898" t="s">
        <v>1585</v>
      </c>
      <c r="H898" s="38">
        <v>46268</v>
      </c>
      <c r="I898" cm="1">
        <f t="array" ref="I898">IFERROR(INDEX('ALL STUDENTS'!$A:$A, MATCH(1, ('ALL STUDENTS'!$B:$B = B898) * ('ALL STUDENTS'!$C:$C = C898), 0)), "NOT FOUND")</f>
        <v>2090</v>
      </c>
      <c r="J898" t="str">
        <f>IF(Table26[[#This Row],[Fee]]&gt;500,Table26[[#This Row],[Fee]],"")</f>
        <v/>
      </c>
    </row>
    <row r="899" spans="1:10" hidden="1">
      <c r="A899">
        <v>898</v>
      </c>
      <c r="B899" t="s">
        <v>164</v>
      </c>
      <c r="C899" t="s">
        <v>159</v>
      </c>
      <c r="D899" t="str">
        <f t="array" ref="D899">TEXT(Table26[[#This Row],[Date]],"MMMM")</f>
        <v>September</v>
      </c>
      <c r="E899">
        <v>500</v>
      </c>
      <c r="F899" t="s">
        <v>589</v>
      </c>
      <c r="G899" t="s">
        <v>1586</v>
      </c>
      <c r="H899" s="38">
        <v>46270</v>
      </c>
      <c r="I899" cm="1">
        <f t="array" ref="I899">IFERROR(INDEX('ALL STUDENTS'!$A:$A, MATCH(1, ('ALL STUDENTS'!$B:$B = B899) * ('ALL STUDENTS'!$C:$C = C899), 0)), "NOT FOUND")</f>
        <v>2620</v>
      </c>
      <c r="J899" t="str">
        <f>IF(Table26[[#This Row],[Fee]]&gt;500,Table26[[#This Row],[Fee]],"")</f>
        <v/>
      </c>
    </row>
    <row r="900" spans="1:10" hidden="1">
      <c r="A900">
        <v>899</v>
      </c>
      <c r="B900" t="s">
        <v>333</v>
      </c>
      <c r="C900" t="s">
        <v>324</v>
      </c>
      <c r="D900" t="str">
        <f t="array" ref="D900">TEXT(Table26[[#This Row],[Date]],"MMMM")</f>
        <v>September</v>
      </c>
      <c r="E900">
        <v>500</v>
      </c>
      <c r="F900" t="s">
        <v>589</v>
      </c>
      <c r="G900" t="s">
        <v>1587</v>
      </c>
      <c r="H900" s="38">
        <v>46268</v>
      </c>
      <c r="I900" cm="1">
        <f t="array" ref="I900">IFERROR(INDEX('ALL STUDENTS'!$A:$A, MATCH(1, ('ALL STUDENTS'!$B:$B = B900) * ('ALL STUDENTS'!$C:$C = C900), 0)), "NOT FOUND")</f>
        <v>2440</v>
      </c>
      <c r="J900" t="str">
        <f>IF(Table26[[#This Row],[Fee]]&gt;500,Table26[[#This Row],[Fee]],"")</f>
        <v/>
      </c>
    </row>
    <row r="901" spans="1:10" hidden="1">
      <c r="A901">
        <v>900</v>
      </c>
      <c r="B901" t="s">
        <v>434</v>
      </c>
      <c r="C901" t="s">
        <v>429</v>
      </c>
      <c r="D901" t="str">
        <f t="array" ref="D901">TEXT(Table26[[#This Row],[Date]],"MMMM")</f>
        <v>August</v>
      </c>
      <c r="E901">
        <v>500</v>
      </c>
      <c r="F901" t="s">
        <v>589</v>
      </c>
      <c r="G901" t="s">
        <v>1588</v>
      </c>
      <c r="H901" s="38">
        <v>46240</v>
      </c>
      <c r="I901" cm="1">
        <f t="array" ref="I901">IFERROR(INDEX('ALL STUDENTS'!$A:$A, MATCH(1, ('ALL STUDENTS'!$B:$B = B901) * ('ALL STUDENTS'!$C:$C = C901), 0)), "NOT FOUND")</f>
        <v>572</v>
      </c>
      <c r="J901" t="str">
        <f>IF(Table26[[#This Row],[Fee]]&gt;500,Table26[[#This Row],[Fee]],"")</f>
        <v/>
      </c>
    </row>
    <row r="902" spans="1:10" hidden="1">
      <c r="A902">
        <v>901</v>
      </c>
      <c r="B902" t="s">
        <v>57</v>
      </c>
      <c r="C902" t="s">
        <v>51</v>
      </c>
      <c r="D902" t="str">
        <f t="array" ref="D902">TEXT(Table26[[#This Row],[Date]],"MMMM")</f>
        <v>September</v>
      </c>
      <c r="E902">
        <v>500</v>
      </c>
      <c r="F902" t="s">
        <v>589</v>
      </c>
      <c r="G902" t="s">
        <v>1589</v>
      </c>
      <c r="H902" s="38">
        <v>46270</v>
      </c>
      <c r="I902" cm="1">
        <f t="array" ref="I902">IFERROR(INDEX('ALL STUDENTS'!$A:$A, MATCH(1, ('ALL STUDENTS'!$B:$B = B902) * ('ALL STUDENTS'!$C:$C = C902), 0)), "NOT FOUND")</f>
        <v>3127</v>
      </c>
      <c r="J902" t="str">
        <f>IF(Table26[[#This Row],[Fee]]&gt;500,Table26[[#This Row],[Fee]],"")</f>
        <v/>
      </c>
    </row>
    <row r="903" spans="1:10" hidden="1">
      <c r="A903">
        <v>902</v>
      </c>
      <c r="B903" t="s">
        <v>36</v>
      </c>
      <c r="C903" t="s">
        <v>32</v>
      </c>
      <c r="D903" t="str">
        <f t="array" ref="D903">TEXT(Table26[[#This Row],[Date]],"MMMM")</f>
        <v>September</v>
      </c>
      <c r="E903">
        <v>500</v>
      </c>
      <c r="F903" t="s">
        <v>589</v>
      </c>
      <c r="G903" t="s">
        <v>1590</v>
      </c>
      <c r="H903" s="38">
        <v>46269</v>
      </c>
      <c r="I903" cm="1">
        <f t="array" ref="I903">IFERROR(INDEX('ALL STUDENTS'!$A:$A, MATCH(1, ('ALL STUDENTS'!$B:$B = B903) * ('ALL STUDENTS'!$C:$C = C903), 0)), "NOT FOUND")</f>
        <v>3081</v>
      </c>
      <c r="J903" t="str">
        <f>IF(Table26[[#This Row],[Fee]]&gt;500,Table26[[#This Row],[Fee]],"")</f>
        <v/>
      </c>
    </row>
    <row r="904" spans="1:10" hidden="1">
      <c r="A904">
        <v>903</v>
      </c>
      <c r="B904" t="s">
        <v>147</v>
      </c>
      <c r="C904" t="s">
        <v>138</v>
      </c>
      <c r="D904" t="str">
        <f t="array" ref="D904">TEXT(Table26[[#This Row],[Date]],"MMMM")</f>
        <v>September</v>
      </c>
      <c r="E904">
        <v>500</v>
      </c>
      <c r="F904" t="s">
        <v>589</v>
      </c>
      <c r="G904" t="s">
        <v>1591</v>
      </c>
      <c r="H904" s="38">
        <v>46270</v>
      </c>
      <c r="I904" cm="1">
        <f t="array" ref="I904">IFERROR(INDEX('ALL STUDENTS'!$A:$A, MATCH(1, ('ALL STUDENTS'!$B:$B = B904) * ('ALL STUDENTS'!$C:$C = C904), 0)), "NOT FOUND")</f>
        <v>1747</v>
      </c>
      <c r="J904" t="str">
        <f>IF(Table26[[#This Row],[Fee]]&gt;500,Table26[[#This Row],[Fee]],"")</f>
        <v/>
      </c>
    </row>
    <row r="905" spans="1:10" hidden="1">
      <c r="A905">
        <v>904</v>
      </c>
      <c r="B905" t="s">
        <v>408</v>
      </c>
      <c r="C905" t="s">
        <v>397</v>
      </c>
      <c r="D905" t="str">
        <f t="array" ref="D905">TEXT(Table26[[#This Row],[Date]],"MMMM")</f>
        <v>August</v>
      </c>
      <c r="E905">
        <v>500</v>
      </c>
      <c r="F905" t="s">
        <v>589</v>
      </c>
      <c r="G905" t="s">
        <v>1592</v>
      </c>
      <c r="H905" s="38">
        <v>46235</v>
      </c>
      <c r="I905" cm="1">
        <f t="array" ref="I905">IFERROR(INDEX('ALL STUDENTS'!$A:$A, MATCH(1, ('ALL STUDENTS'!$B:$B = B905) * ('ALL STUDENTS'!$C:$C = C905), 0)), "NOT FOUND")</f>
        <v>1022</v>
      </c>
      <c r="J905" t="str">
        <f>IF(Table26[[#This Row],[Fee]]&gt;500,Table26[[#This Row],[Fee]],"")</f>
        <v/>
      </c>
    </row>
    <row r="906" spans="1:10" hidden="1">
      <c r="A906">
        <v>905</v>
      </c>
      <c r="B906" t="s">
        <v>530</v>
      </c>
      <c r="C906" t="s">
        <v>526</v>
      </c>
      <c r="D906" t="str">
        <f t="array" ref="D906">TEXT(Table26[[#This Row],[Date]],"MMMM")</f>
        <v>September</v>
      </c>
      <c r="E906">
        <v>500</v>
      </c>
      <c r="F906" t="s">
        <v>589</v>
      </c>
      <c r="G906" t="s">
        <v>1593</v>
      </c>
      <c r="H906" s="38">
        <v>46267</v>
      </c>
      <c r="I906" cm="1">
        <f t="array" ref="I906">IFERROR(INDEX('ALL STUDENTS'!$A:$A, MATCH(1, ('ALL STUDENTS'!$B:$B = B906) * ('ALL STUDENTS'!$C:$C = C906), 0)), "NOT FOUND")</f>
        <v>126</v>
      </c>
      <c r="J906" t="str">
        <f>IF(Table26[[#This Row],[Fee]]&gt;500,Table26[[#This Row],[Fee]],"")</f>
        <v/>
      </c>
    </row>
    <row r="907" spans="1:10" hidden="1">
      <c r="A907">
        <v>906</v>
      </c>
      <c r="B907" t="s">
        <v>65</v>
      </c>
      <c r="C907" t="s">
        <v>62</v>
      </c>
      <c r="D907" t="str">
        <f t="array" ref="D907">TEXT(Table26[[#This Row],[Date]],"MMMM")</f>
        <v>September</v>
      </c>
      <c r="E907">
        <v>500</v>
      </c>
      <c r="F907" t="s">
        <v>589</v>
      </c>
      <c r="G907" t="s">
        <v>1594</v>
      </c>
      <c r="H907" s="38">
        <v>46267</v>
      </c>
      <c r="I907" cm="1">
        <f t="array" ref="I907">IFERROR(INDEX('ALL STUDENTS'!$A:$A, MATCH(1, ('ALL STUDENTS'!$B:$B = B907) * ('ALL STUDENTS'!$C:$C = C907), 0)), "NOT FOUND")</f>
        <v>3175</v>
      </c>
      <c r="J907" t="str">
        <f>IF(Table26[[#This Row],[Fee]]&gt;500,Table26[[#This Row],[Fee]],"")</f>
        <v/>
      </c>
    </row>
    <row r="908" spans="1:10" hidden="1">
      <c r="A908">
        <v>907</v>
      </c>
      <c r="B908" t="s">
        <v>65</v>
      </c>
      <c r="C908" t="s">
        <v>62</v>
      </c>
      <c r="D908" t="str">
        <f t="array" ref="D908">TEXT(Table26[[#This Row],[Date]],"MMMM")</f>
        <v>September</v>
      </c>
      <c r="E908">
        <v>500</v>
      </c>
      <c r="F908" t="s">
        <v>589</v>
      </c>
      <c r="G908" t="s">
        <v>1595</v>
      </c>
      <c r="H908" s="38">
        <v>46267</v>
      </c>
      <c r="I908" cm="1">
        <f t="array" ref="I908">IFERROR(INDEX('ALL STUDENTS'!$A:$A, MATCH(1, ('ALL STUDENTS'!$B:$B = B908) * ('ALL STUDENTS'!$C:$C = C908), 0)), "NOT FOUND")</f>
        <v>3175</v>
      </c>
      <c r="J908" t="str">
        <f>IF(Table26[[#This Row],[Fee]]&gt;500,Table26[[#This Row],[Fee]],"")</f>
        <v/>
      </c>
    </row>
    <row r="909" spans="1:10" hidden="1">
      <c r="A909">
        <v>908</v>
      </c>
      <c r="B909" t="s">
        <v>495</v>
      </c>
      <c r="C909" t="s">
        <v>488</v>
      </c>
      <c r="D909" t="str">
        <f t="array" ref="D909">TEXT(Table26[[#This Row],[Date]],"MMMM")</f>
        <v>September</v>
      </c>
      <c r="E909">
        <v>500</v>
      </c>
      <c r="F909" t="s">
        <v>589</v>
      </c>
      <c r="G909" t="s">
        <v>1596</v>
      </c>
      <c r="H909" s="38">
        <v>46267</v>
      </c>
      <c r="I909" cm="1">
        <f t="array" ref="I909">IFERROR(INDEX('ALL STUDENTS'!$A:$A, MATCH(1, ('ALL STUDENTS'!$B:$B = B909) * ('ALL STUDENTS'!$C:$C = C909), 0)), "NOT FOUND")</f>
        <v>325</v>
      </c>
      <c r="J909" t="str">
        <f>IF(Table26[[#This Row],[Fee]]&gt;500,Table26[[#This Row],[Fee]],"")</f>
        <v/>
      </c>
    </row>
    <row r="910" spans="1:10" hidden="1">
      <c r="A910">
        <v>909</v>
      </c>
      <c r="B910" t="s">
        <v>385</v>
      </c>
      <c r="C910" t="s">
        <v>374</v>
      </c>
      <c r="D910" t="str">
        <f t="array" ref="D910">TEXT(Table26[[#This Row],[Date]],"MMMM")</f>
        <v>September</v>
      </c>
      <c r="E910">
        <v>500</v>
      </c>
      <c r="F910" t="s">
        <v>589</v>
      </c>
      <c r="G910" t="s">
        <v>1597</v>
      </c>
      <c r="H910" s="38">
        <v>46268</v>
      </c>
      <c r="I910" cm="1">
        <f t="array" ref="I910">IFERROR(INDEX('ALL STUDENTS'!$A:$A, MATCH(1, ('ALL STUDENTS'!$B:$B = B910) * ('ALL STUDENTS'!$C:$C = C910), 0)), "NOT FOUND")</f>
        <v>846</v>
      </c>
      <c r="J910" t="str">
        <f>IF(Table26[[#This Row],[Fee]]&gt;500,Table26[[#This Row],[Fee]],"")</f>
        <v/>
      </c>
    </row>
    <row r="911" spans="1:10" hidden="1">
      <c r="A911">
        <v>910</v>
      </c>
      <c r="B911" t="s">
        <v>293</v>
      </c>
      <c r="C911" t="s">
        <v>286</v>
      </c>
      <c r="D911" t="str">
        <f t="array" ref="D911">TEXT(Table26[[#This Row],[Date]],"MMMM")</f>
        <v>September</v>
      </c>
      <c r="E911">
        <v>500</v>
      </c>
      <c r="F911" t="s">
        <v>589</v>
      </c>
      <c r="G911" t="s">
        <v>1598</v>
      </c>
      <c r="H911" s="38">
        <v>46267</v>
      </c>
      <c r="I911" cm="1">
        <f t="array" ref="I911">IFERROR(INDEX('ALL STUDENTS'!$A:$A, MATCH(1, ('ALL STUDENTS'!$B:$B = B911) * ('ALL STUDENTS'!$C:$C = C911), 0)), "NOT FOUND")</f>
        <v>2238</v>
      </c>
      <c r="J911" t="str">
        <f>IF(Table26[[#This Row],[Fee]]&gt;500,Table26[[#This Row],[Fee]],"")</f>
        <v/>
      </c>
    </row>
    <row r="912" spans="1:10" hidden="1">
      <c r="A912">
        <v>911</v>
      </c>
      <c r="B912" t="s">
        <v>293</v>
      </c>
      <c r="C912" t="s">
        <v>286</v>
      </c>
      <c r="D912" t="str">
        <f t="array" ref="D912">TEXT(Table26[[#This Row],[Date]],"MMMM")</f>
        <v>September</v>
      </c>
      <c r="E912">
        <v>500</v>
      </c>
      <c r="F912" t="s">
        <v>589</v>
      </c>
      <c r="G912" t="s">
        <v>1599</v>
      </c>
      <c r="H912" s="38">
        <v>46267</v>
      </c>
      <c r="I912" cm="1">
        <f t="array" ref="I912">IFERROR(INDEX('ALL STUDENTS'!$A:$A, MATCH(1, ('ALL STUDENTS'!$B:$B = B912) * ('ALL STUDENTS'!$C:$C = C912), 0)), "NOT FOUND")</f>
        <v>2238</v>
      </c>
      <c r="J912" t="str">
        <f>IF(Table26[[#This Row],[Fee]]&gt;500,Table26[[#This Row],[Fee]],"")</f>
        <v/>
      </c>
    </row>
    <row r="913" spans="1:10" hidden="1">
      <c r="A913">
        <v>912</v>
      </c>
      <c r="B913" t="s">
        <v>293</v>
      </c>
      <c r="C913" t="s">
        <v>286</v>
      </c>
      <c r="D913" t="str">
        <f t="array" ref="D913">TEXT(Table26[[#This Row],[Date]],"MMMM")</f>
        <v>September</v>
      </c>
      <c r="E913">
        <v>500</v>
      </c>
      <c r="F913" t="s">
        <v>589</v>
      </c>
      <c r="G913" t="s">
        <v>1600</v>
      </c>
      <c r="H913" s="38">
        <v>46267</v>
      </c>
      <c r="I913" cm="1">
        <f t="array" ref="I913">IFERROR(INDEX('ALL STUDENTS'!$A:$A, MATCH(1, ('ALL STUDENTS'!$B:$B = B913) * ('ALL STUDENTS'!$C:$C = C913), 0)), "NOT FOUND")</f>
        <v>2238</v>
      </c>
      <c r="J913" t="str">
        <f>IF(Table26[[#This Row],[Fee]]&gt;500,Table26[[#This Row],[Fee]],"")</f>
        <v/>
      </c>
    </row>
    <row r="914" spans="1:10" hidden="1">
      <c r="A914">
        <v>913</v>
      </c>
      <c r="B914" t="s">
        <v>264</v>
      </c>
      <c r="C914" t="s">
        <v>252</v>
      </c>
      <c r="D914" t="str">
        <f t="array" ref="D914">TEXT(Table26[[#This Row],[Date]],"MMMM")</f>
        <v>September</v>
      </c>
      <c r="E914">
        <v>500</v>
      </c>
      <c r="F914" t="s">
        <v>589</v>
      </c>
      <c r="G914" t="s">
        <v>1601</v>
      </c>
      <c r="H914" s="38">
        <v>46267</v>
      </c>
      <c r="I914" cm="1">
        <f t="array" ref="I914">IFERROR(INDEX('ALL STUDENTS'!$A:$A, MATCH(1, ('ALL STUDENTS'!$B:$B = B914) * ('ALL STUDENTS'!$C:$C = C914), 0)), "NOT FOUND")</f>
        <v>2138</v>
      </c>
      <c r="J914" t="str">
        <f>IF(Table26[[#This Row],[Fee]]&gt;500,Table26[[#This Row],[Fee]],"")</f>
        <v/>
      </c>
    </row>
    <row r="915" spans="1:10" hidden="1">
      <c r="A915">
        <v>914</v>
      </c>
      <c r="B915" t="s">
        <v>264</v>
      </c>
      <c r="C915" t="s">
        <v>252</v>
      </c>
      <c r="D915" t="str">
        <f t="array" ref="D915">TEXT(Table26[[#This Row],[Date]],"MMMM")</f>
        <v>September</v>
      </c>
      <c r="E915">
        <v>500</v>
      </c>
      <c r="F915" t="s">
        <v>589</v>
      </c>
      <c r="G915" t="s">
        <v>1602</v>
      </c>
      <c r="H915" s="38">
        <v>46267</v>
      </c>
      <c r="I915" cm="1">
        <f t="array" ref="I915">IFERROR(INDEX('ALL STUDENTS'!$A:$A, MATCH(1, ('ALL STUDENTS'!$B:$B = B915) * ('ALL STUDENTS'!$C:$C = C915), 0)), "NOT FOUND")</f>
        <v>2138</v>
      </c>
      <c r="J915" t="str">
        <f>IF(Table26[[#This Row],[Fee]]&gt;500,Table26[[#This Row],[Fee]],"")</f>
        <v/>
      </c>
    </row>
    <row r="916" spans="1:10" hidden="1">
      <c r="A916">
        <v>915</v>
      </c>
      <c r="B916" t="s">
        <v>264</v>
      </c>
      <c r="C916" t="s">
        <v>252</v>
      </c>
      <c r="D916" t="str">
        <f t="array" ref="D916">TEXT(Table26[[#This Row],[Date]],"MMMM")</f>
        <v>September</v>
      </c>
      <c r="E916">
        <v>500</v>
      </c>
      <c r="F916" t="s">
        <v>589</v>
      </c>
      <c r="G916" t="s">
        <v>1603</v>
      </c>
      <c r="H916" s="38">
        <v>46267</v>
      </c>
      <c r="I916" cm="1">
        <f t="array" ref="I916">IFERROR(INDEX('ALL STUDENTS'!$A:$A, MATCH(1, ('ALL STUDENTS'!$B:$B = B916) * ('ALL STUDENTS'!$C:$C = C916), 0)), "NOT FOUND")</f>
        <v>2138</v>
      </c>
      <c r="J916" t="str">
        <f>IF(Table26[[#This Row],[Fee]]&gt;500,Table26[[#This Row],[Fee]],"")</f>
        <v/>
      </c>
    </row>
    <row r="917" spans="1:10" hidden="1">
      <c r="A917">
        <v>916</v>
      </c>
      <c r="B917" t="s">
        <v>503</v>
      </c>
      <c r="C917" t="s">
        <v>499</v>
      </c>
      <c r="D917" t="str">
        <f t="array" ref="D917">TEXT(Table26[[#This Row],[Date]],"MMMM")</f>
        <v>September</v>
      </c>
      <c r="E917">
        <v>500</v>
      </c>
      <c r="F917" t="s">
        <v>589</v>
      </c>
      <c r="G917" t="s">
        <v>1604</v>
      </c>
      <c r="H917" s="38">
        <v>46267</v>
      </c>
      <c r="I917" cm="1">
        <f t="array" ref="I917">IFERROR(INDEX('ALL STUDENTS'!$A:$A, MATCH(1, ('ALL STUDENTS'!$B:$B = B917) * ('ALL STUDENTS'!$C:$C = C917), 0)), "NOT FOUND")</f>
        <v>424</v>
      </c>
      <c r="J917" t="str">
        <f>IF(Table26[[#This Row],[Fee]]&gt;500,Table26[[#This Row],[Fee]],"")</f>
        <v/>
      </c>
    </row>
    <row r="918" spans="1:10" hidden="1">
      <c r="A918">
        <v>917</v>
      </c>
      <c r="B918" t="s">
        <v>503</v>
      </c>
      <c r="C918" t="s">
        <v>499</v>
      </c>
      <c r="D918" t="str">
        <f t="array" ref="D918">TEXT(Table26[[#This Row],[Date]],"MMMM")</f>
        <v>September</v>
      </c>
      <c r="E918">
        <v>500</v>
      </c>
      <c r="F918" t="s">
        <v>589</v>
      </c>
      <c r="G918" t="s">
        <v>1605</v>
      </c>
      <c r="H918" s="38">
        <v>46267</v>
      </c>
      <c r="I918" cm="1">
        <f t="array" ref="I918">IFERROR(INDEX('ALL STUDENTS'!$A:$A, MATCH(1, ('ALL STUDENTS'!$B:$B = B918) * ('ALL STUDENTS'!$C:$C = C918), 0)), "NOT FOUND")</f>
        <v>424</v>
      </c>
      <c r="J918" t="str">
        <f>IF(Table26[[#This Row],[Fee]]&gt;500,Table26[[#This Row],[Fee]],"")</f>
        <v/>
      </c>
    </row>
    <row r="919" spans="1:10" hidden="1">
      <c r="A919">
        <v>918</v>
      </c>
      <c r="B919" t="s">
        <v>503</v>
      </c>
      <c r="C919" t="s">
        <v>499</v>
      </c>
      <c r="D919" t="str">
        <f t="array" ref="D919">TEXT(Table26[[#This Row],[Date]],"MMMM")</f>
        <v>September</v>
      </c>
      <c r="E919">
        <v>500</v>
      </c>
      <c r="F919" t="s">
        <v>589</v>
      </c>
      <c r="G919" t="s">
        <v>1606</v>
      </c>
      <c r="H919" s="38">
        <v>46267</v>
      </c>
      <c r="I919" cm="1">
        <f t="array" ref="I919">IFERROR(INDEX('ALL STUDENTS'!$A:$A, MATCH(1, ('ALL STUDENTS'!$B:$B = B919) * ('ALL STUDENTS'!$C:$C = C919), 0)), "NOT FOUND")</f>
        <v>424</v>
      </c>
      <c r="J919" t="str">
        <f>IF(Table26[[#This Row],[Fee]]&gt;500,Table26[[#This Row],[Fee]],"")</f>
        <v/>
      </c>
    </row>
    <row r="920" spans="1:10">
      <c r="A920">
        <v>919</v>
      </c>
      <c r="B920" t="s">
        <v>350</v>
      </c>
      <c r="C920" t="s">
        <v>340</v>
      </c>
      <c r="D920" t="str">
        <f t="array" ref="D920">TEXT(Table26[[#This Row],[Date]],"MMMM")</f>
        <v>August</v>
      </c>
      <c r="E920">
        <v>500</v>
      </c>
      <c r="F920" t="s">
        <v>589</v>
      </c>
      <c r="G920" t="s">
        <v>1607</v>
      </c>
      <c r="H920" s="38">
        <v>46256</v>
      </c>
      <c r="I920" t="str" cm="1">
        <f t="array" ref="I920">IFERROR(INDEX('ALL STUDENTS'!$A:$A, MATCH(1, ('ALL STUDENTS'!$B:$B = B920) * ('ALL STUDENTS'!$C:$C = C920), 0)), "NOT FOUND")</f>
        <v>NOT FOUND</v>
      </c>
      <c r="J920" t="str">
        <f>IF(Table26[[#This Row],[Fee]]&gt;500,Table26[[#This Row],[Fee]],"")</f>
        <v/>
      </c>
    </row>
    <row r="921" spans="1:10" hidden="1">
      <c r="A921">
        <v>920</v>
      </c>
      <c r="B921" t="s">
        <v>86</v>
      </c>
      <c r="C921" t="s">
        <v>80</v>
      </c>
      <c r="D921" t="str">
        <f t="array" ref="D921">TEXT(Table26[[#This Row],[Date]],"MMMM")</f>
        <v>September</v>
      </c>
      <c r="E921">
        <v>500</v>
      </c>
      <c r="F921" t="s">
        <v>589</v>
      </c>
      <c r="G921" t="s">
        <v>1608</v>
      </c>
      <c r="H921" s="38">
        <v>46272</v>
      </c>
      <c r="I921" cm="1">
        <f t="array" ref="I921">IFERROR(INDEX('ALL STUDENTS'!$A:$A, MATCH(1, ('ALL STUDENTS'!$B:$B = B921) * ('ALL STUDENTS'!$C:$C = C921), 0)), "NOT FOUND")</f>
        <v>2671</v>
      </c>
      <c r="J921" t="str">
        <f>IF(Table26[[#This Row],[Fee]]&gt;500,Table26[[#This Row],[Fee]],"")</f>
        <v/>
      </c>
    </row>
    <row r="922" spans="1:10" hidden="1">
      <c r="A922">
        <v>921</v>
      </c>
      <c r="B922" t="s">
        <v>52</v>
      </c>
      <c r="C922" t="s">
        <v>51</v>
      </c>
      <c r="D922" t="str">
        <f t="array" ref="D922">TEXT(Table26[[#This Row],[Date]],"MMMM")</f>
        <v>September</v>
      </c>
      <c r="E922">
        <v>500</v>
      </c>
      <c r="F922" t="s">
        <v>589</v>
      </c>
      <c r="G922" t="s">
        <v>1609</v>
      </c>
      <c r="H922" s="38">
        <v>46272</v>
      </c>
      <c r="I922" cm="1">
        <f t="array" ref="I922">IFERROR(INDEX('ALL STUDENTS'!$A:$A, MATCH(1, ('ALL STUDENTS'!$B:$B = B922) * ('ALL STUDENTS'!$C:$C = C922), 0)), "NOT FOUND")</f>
        <v>3112</v>
      </c>
      <c r="J922" t="str">
        <f>IF(Table26[[#This Row],[Fee]]&gt;500,Table26[[#This Row],[Fee]],"")</f>
        <v/>
      </c>
    </row>
    <row r="923" spans="1:10" hidden="1">
      <c r="A923">
        <v>922</v>
      </c>
      <c r="B923" t="s">
        <v>541</v>
      </c>
      <c r="C923" t="s">
        <v>538</v>
      </c>
      <c r="D923" t="str">
        <f t="array" ref="D923">TEXT(Table26[[#This Row],[Date]],"MMMM")</f>
        <v>September</v>
      </c>
      <c r="E923">
        <v>500</v>
      </c>
      <c r="F923" t="s">
        <v>589</v>
      </c>
      <c r="G923" t="s">
        <v>1610</v>
      </c>
      <c r="H923" s="38">
        <v>46272</v>
      </c>
      <c r="I923" cm="1">
        <f t="array" ref="I923">IFERROR(INDEX('ALL STUDENTS'!$A:$A, MATCH(1, ('ALL STUDENTS'!$B:$B = B923) * ('ALL STUDENTS'!$C:$C = C923), 0)), "NOT FOUND")</f>
        <v>23</v>
      </c>
      <c r="J923" t="str">
        <f>IF(Table26[[#This Row],[Fee]]&gt;500,Table26[[#This Row],[Fee]],"")</f>
        <v/>
      </c>
    </row>
    <row r="924" spans="1:10" hidden="1">
      <c r="A924">
        <v>923</v>
      </c>
      <c r="B924" t="s">
        <v>578</v>
      </c>
      <c r="C924" t="s">
        <v>577</v>
      </c>
      <c r="D924" t="str">
        <f t="array" ref="D924">TEXT(Table26[[#This Row],[Date]],"MMMM")</f>
        <v>September</v>
      </c>
      <c r="E924">
        <v>500</v>
      </c>
      <c r="F924" t="s">
        <v>589</v>
      </c>
      <c r="G924" t="s">
        <v>1611</v>
      </c>
      <c r="H924" s="38">
        <v>46270</v>
      </c>
      <c r="I924" cm="1">
        <f t="array" ref="I924">IFERROR(INDEX('ALL STUDENTS'!$A:$A, MATCH(1, ('ALL STUDENTS'!$B:$B = B924) * ('ALL STUDENTS'!$C:$C = C924), 0)), "NOT FOUND")</f>
        <v>1167</v>
      </c>
      <c r="J924" t="str">
        <f>IF(Table26[[#This Row],[Fee]]&gt;500,Table26[[#This Row],[Fee]],"")</f>
        <v/>
      </c>
    </row>
    <row r="925" spans="1:10" hidden="1">
      <c r="A925">
        <v>924</v>
      </c>
      <c r="B925" t="s">
        <v>578</v>
      </c>
      <c r="C925" t="s">
        <v>577</v>
      </c>
      <c r="D925" t="str">
        <f t="array" ref="D925">TEXT(Table26[[#This Row],[Date]],"MMMM")</f>
        <v>September</v>
      </c>
      <c r="E925">
        <v>500</v>
      </c>
      <c r="F925" t="s">
        <v>589</v>
      </c>
      <c r="G925" t="s">
        <v>1612</v>
      </c>
      <c r="H925" s="38">
        <v>46270</v>
      </c>
      <c r="I925" cm="1">
        <f t="array" ref="I925">IFERROR(INDEX('ALL STUDENTS'!$A:$A, MATCH(1, ('ALL STUDENTS'!$B:$B = B925) * ('ALL STUDENTS'!$C:$C = C925), 0)), "NOT FOUND")</f>
        <v>1167</v>
      </c>
      <c r="J925" t="str">
        <f>IF(Table26[[#This Row],[Fee]]&gt;500,Table26[[#This Row],[Fee]],"")</f>
        <v/>
      </c>
    </row>
    <row r="926" spans="1:10" hidden="1">
      <c r="A926">
        <v>925</v>
      </c>
      <c r="B926" t="s">
        <v>578</v>
      </c>
      <c r="C926" t="s">
        <v>577</v>
      </c>
      <c r="D926" t="str">
        <f t="array" ref="D926">TEXT(Table26[[#This Row],[Date]],"MMMM")</f>
        <v>September</v>
      </c>
      <c r="E926">
        <v>500</v>
      </c>
      <c r="F926" t="s">
        <v>589</v>
      </c>
      <c r="G926" t="s">
        <v>1613</v>
      </c>
      <c r="H926" s="38">
        <v>46270</v>
      </c>
      <c r="I926" cm="1">
        <f t="array" ref="I926">IFERROR(INDEX('ALL STUDENTS'!$A:$A, MATCH(1, ('ALL STUDENTS'!$B:$B = B926) * ('ALL STUDENTS'!$C:$C = C926), 0)), "NOT FOUND")</f>
        <v>1167</v>
      </c>
      <c r="J926" t="str">
        <f>IF(Table26[[#This Row],[Fee]]&gt;500,Table26[[#This Row],[Fee]],"")</f>
        <v/>
      </c>
    </row>
    <row r="927" spans="1:10" hidden="1">
      <c r="A927">
        <v>926</v>
      </c>
      <c r="B927" t="s">
        <v>364</v>
      </c>
      <c r="C927" t="s">
        <v>356</v>
      </c>
      <c r="D927" t="str">
        <f t="array" ref="D927">TEXT(Table26[[#This Row],[Date]],"MMMM")</f>
        <v>September</v>
      </c>
      <c r="E927">
        <v>500</v>
      </c>
      <c r="F927" t="s">
        <v>589</v>
      </c>
      <c r="G927" t="s">
        <v>1614</v>
      </c>
      <c r="H927" s="38">
        <v>46270</v>
      </c>
      <c r="I927" cm="1">
        <f t="array" ref="I927">IFERROR(INDEX('ALL STUDENTS'!$A:$A, MATCH(1, ('ALL STUDENTS'!$B:$B = B927) * ('ALL STUDENTS'!$C:$C = C927), 0)), "NOT FOUND")</f>
        <v>768</v>
      </c>
      <c r="J927" t="str">
        <f>IF(Table26[[#This Row],[Fee]]&gt;500,Table26[[#This Row],[Fee]],"")</f>
        <v/>
      </c>
    </row>
    <row r="928" spans="1:10" hidden="1">
      <c r="A928">
        <v>927</v>
      </c>
      <c r="B928" t="s">
        <v>364</v>
      </c>
      <c r="C928" t="s">
        <v>356</v>
      </c>
      <c r="D928" t="str">
        <f t="array" ref="D928">TEXT(Table26[[#This Row],[Date]],"MMMM")</f>
        <v>September</v>
      </c>
      <c r="E928">
        <v>500</v>
      </c>
      <c r="F928" t="s">
        <v>589</v>
      </c>
      <c r="G928" t="s">
        <v>1615</v>
      </c>
      <c r="H928" s="38">
        <v>46270</v>
      </c>
      <c r="I928" cm="1">
        <f t="array" ref="I928">IFERROR(INDEX('ALL STUDENTS'!$A:$A, MATCH(1, ('ALL STUDENTS'!$B:$B = B928) * ('ALL STUDENTS'!$C:$C = C928), 0)), "NOT FOUND")</f>
        <v>768</v>
      </c>
      <c r="J928" t="str">
        <f>IF(Table26[[#This Row],[Fee]]&gt;500,Table26[[#This Row],[Fee]],"")</f>
        <v/>
      </c>
    </row>
    <row r="929" spans="1:10" hidden="1">
      <c r="A929">
        <v>928</v>
      </c>
      <c r="B929" t="s">
        <v>364</v>
      </c>
      <c r="C929" t="s">
        <v>356</v>
      </c>
      <c r="D929" t="str">
        <f t="array" ref="D929">TEXT(Table26[[#This Row],[Date]],"MMMM")</f>
        <v>September</v>
      </c>
      <c r="E929">
        <v>500</v>
      </c>
      <c r="F929" t="s">
        <v>589</v>
      </c>
      <c r="G929" t="s">
        <v>1616</v>
      </c>
      <c r="H929" s="38">
        <v>46270</v>
      </c>
      <c r="I929" cm="1">
        <f t="array" ref="I929">IFERROR(INDEX('ALL STUDENTS'!$A:$A, MATCH(1, ('ALL STUDENTS'!$B:$B = B929) * ('ALL STUDENTS'!$C:$C = C929), 0)), "NOT FOUND")</f>
        <v>768</v>
      </c>
      <c r="J929" t="str">
        <f>IF(Table26[[#This Row],[Fee]]&gt;500,Table26[[#This Row],[Fee]],"")</f>
        <v/>
      </c>
    </row>
    <row r="930" spans="1:10" hidden="1">
      <c r="A930">
        <v>929</v>
      </c>
      <c r="B930" t="s">
        <v>170</v>
      </c>
      <c r="C930" t="s">
        <v>159</v>
      </c>
      <c r="D930" t="str">
        <f t="array" ref="D930">TEXT(Table26[[#This Row],[Date]],"MMMM")</f>
        <v>September</v>
      </c>
      <c r="E930">
        <v>500</v>
      </c>
      <c r="F930" t="s">
        <v>589</v>
      </c>
      <c r="G930" t="s">
        <v>1617</v>
      </c>
      <c r="H930" s="38">
        <v>46270</v>
      </c>
      <c r="I930" cm="1">
        <f t="array" ref="I930">IFERROR(INDEX('ALL STUDENTS'!$A:$A, MATCH(1, ('ALL STUDENTS'!$B:$B = B930) * ('ALL STUDENTS'!$C:$C = C930), 0)), "NOT FOUND")</f>
        <v>2638</v>
      </c>
      <c r="J930" t="str">
        <f>IF(Table26[[#This Row],[Fee]]&gt;500,Table26[[#This Row],[Fee]],"")</f>
        <v/>
      </c>
    </row>
    <row r="931" spans="1:10" hidden="1">
      <c r="A931">
        <v>930</v>
      </c>
      <c r="B931" t="s">
        <v>435</v>
      </c>
      <c r="C931" t="s">
        <v>429</v>
      </c>
      <c r="D931" t="str">
        <f t="array" ref="D931">TEXT(Table26[[#This Row],[Date]],"MMMM")</f>
        <v>July</v>
      </c>
      <c r="E931">
        <v>500</v>
      </c>
      <c r="F931" t="s">
        <v>589</v>
      </c>
      <c r="G931" t="s">
        <v>1618</v>
      </c>
      <c r="H931" s="38">
        <v>46225</v>
      </c>
      <c r="I931" cm="1">
        <f t="array" ref="I931">IFERROR(INDEX('ALL STUDENTS'!$A:$A, MATCH(1, ('ALL STUDENTS'!$B:$B = B931) * ('ALL STUDENTS'!$C:$C = C931), 0)), "NOT FOUND")</f>
        <v>587</v>
      </c>
      <c r="J931" t="str">
        <f>IF(Table26[[#This Row],[Fee]]&gt;500,Table26[[#This Row],[Fee]],"")</f>
        <v/>
      </c>
    </row>
    <row r="932" spans="1:10" hidden="1">
      <c r="A932">
        <v>931</v>
      </c>
      <c r="B932" t="s">
        <v>435</v>
      </c>
      <c r="C932" t="s">
        <v>429</v>
      </c>
      <c r="D932" t="str">
        <f t="array" ref="D932">TEXT(Table26[[#This Row],[Date]],"MMMM")</f>
        <v>September</v>
      </c>
      <c r="E932">
        <v>500</v>
      </c>
      <c r="F932" t="s">
        <v>589</v>
      </c>
      <c r="G932" t="s">
        <v>1619</v>
      </c>
      <c r="H932" s="38">
        <v>46270</v>
      </c>
      <c r="I932" cm="1">
        <f t="array" ref="I932">IFERROR(INDEX('ALL STUDENTS'!$A:$A, MATCH(1, ('ALL STUDENTS'!$B:$B = B932) * ('ALL STUDENTS'!$C:$C = C932), 0)), "NOT FOUND")</f>
        <v>587</v>
      </c>
      <c r="J932" t="str">
        <f>IF(Table26[[#This Row],[Fee]]&gt;500,Table26[[#This Row],[Fee]],"")</f>
        <v/>
      </c>
    </row>
    <row r="933" spans="1:10" hidden="1">
      <c r="A933">
        <v>932</v>
      </c>
      <c r="B933" t="s">
        <v>428</v>
      </c>
      <c r="C933" t="s">
        <v>421</v>
      </c>
      <c r="D933" t="str">
        <f t="array" ref="D933">TEXT(Table26[[#This Row],[Date]],"MMMM")</f>
        <v>September</v>
      </c>
      <c r="E933">
        <v>500</v>
      </c>
      <c r="F933" t="s">
        <v>589</v>
      </c>
      <c r="G933" t="s">
        <v>1620</v>
      </c>
      <c r="H933" s="38">
        <v>46270</v>
      </c>
      <c r="I933" cm="1">
        <f t="array" ref="I933">IFERROR(INDEX('ALL STUDENTS'!$A:$A, MATCH(1, ('ALL STUDENTS'!$B:$B = B933) * ('ALL STUDENTS'!$C:$C = C933), 0)), "NOT FOUND")</f>
        <v>1269</v>
      </c>
      <c r="J933" t="str">
        <f>IF(Table26[[#This Row],[Fee]]&gt;500,Table26[[#This Row],[Fee]],"")</f>
        <v/>
      </c>
    </row>
    <row r="934" spans="1:10" hidden="1">
      <c r="A934">
        <v>933</v>
      </c>
      <c r="B934" t="s">
        <v>428</v>
      </c>
      <c r="C934" t="s">
        <v>421</v>
      </c>
      <c r="D934" t="str">
        <f t="array" ref="D934">TEXT(Table26[[#This Row],[Date]],"MMMM")</f>
        <v>September</v>
      </c>
      <c r="E934">
        <v>500</v>
      </c>
      <c r="F934" t="s">
        <v>589</v>
      </c>
      <c r="G934" t="s">
        <v>1621</v>
      </c>
      <c r="H934" s="38">
        <v>46270</v>
      </c>
      <c r="I934" cm="1">
        <f t="array" ref="I934">IFERROR(INDEX('ALL STUDENTS'!$A:$A, MATCH(1, ('ALL STUDENTS'!$B:$B = B934) * ('ALL STUDENTS'!$C:$C = C934), 0)), "NOT FOUND")</f>
        <v>1269</v>
      </c>
      <c r="J934" t="str">
        <f>IF(Table26[[#This Row],[Fee]]&gt;500,Table26[[#This Row],[Fee]],"")</f>
        <v/>
      </c>
    </row>
    <row r="935" spans="1:10" hidden="1">
      <c r="A935">
        <v>934</v>
      </c>
      <c r="B935" t="s">
        <v>417</v>
      </c>
      <c r="C935" t="s">
        <v>415</v>
      </c>
      <c r="D935" t="str">
        <f t="array" ref="D935">TEXT(Table26[[#This Row],[Date]],"MMMM")</f>
        <v>September</v>
      </c>
      <c r="E935">
        <v>500</v>
      </c>
      <c r="F935" t="s">
        <v>589</v>
      </c>
      <c r="G935" t="s">
        <v>1622</v>
      </c>
      <c r="H935" s="38">
        <v>46269</v>
      </c>
      <c r="I935" cm="1">
        <f t="array" ref="I935">IFERROR(INDEX('ALL STUDENTS'!$A:$A, MATCH(1, ('ALL STUDENTS'!$B:$B = B935) * ('ALL STUDENTS'!$C:$C = C935), 0)), "NOT FOUND")</f>
        <v>1012</v>
      </c>
      <c r="J935" t="str">
        <f>IF(Table26[[#This Row],[Fee]]&gt;500,Table26[[#This Row],[Fee]],"")</f>
        <v/>
      </c>
    </row>
    <row r="936" spans="1:10" hidden="1">
      <c r="A936">
        <v>935</v>
      </c>
      <c r="B936" t="s">
        <v>365</v>
      </c>
      <c r="C936" t="s">
        <v>356</v>
      </c>
      <c r="D936" t="str">
        <f t="array" ref="D936">TEXT(Table26[[#This Row],[Date]],"MMMM")</f>
        <v>September</v>
      </c>
      <c r="E936">
        <v>500</v>
      </c>
      <c r="F936" t="s">
        <v>589</v>
      </c>
      <c r="G936" t="s">
        <v>1623</v>
      </c>
      <c r="H936" s="38">
        <v>46270</v>
      </c>
      <c r="I936" cm="1">
        <f t="array" ref="I936">IFERROR(INDEX('ALL STUDENTS'!$A:$A, MATCH(1, ('ALL STUDENTS'!$B:$B = B936) * ('ALL STUDENTS'!$C:$C = C936), 0)), "NOT FOUND")</f>
        <v>785</v>
      </c>
      <c r="J936" t="str">
        <f>IF(Table26[[#This Row],[Fee]]&gt;500,Table26[[#This Row],[Fee]],"")</f>
        <v/>
      </c>
    </row>
    <row r="937" spans="1:10" hidden="1">
      <c r="A937">
        <v>936</v>
      </c>
      <c r="B937" t="s">
        <v>564</v>
      </c>
      <c r="C937" t="s">
        <v>556</v>
      </c>
      <c r="D937" t="str">
        <f t="array" ref="D937">TEXT(Table26[[#This Row],[Date]],"MMMM")</f>
        <v>September</v>
      </c>
      <c r="E937">
        <v>500</v>
      </c>
      <c r="F937" t="s">
        <v>589</v>
      </c>
      <c r="G937" t="s">
        <v>1624</v>
      </c>
      <c r="H937" s="38">
        <v>46270</v>
      </c>
      <c r="I937" cm="1">
        <f t="array" ref="I937">IFERROR(INDEX('ALL STUDENTS'!$A:$A, MATCH(1, ('ALL STUDENTS'!$B:$B = B937) * ('ALL STUDENTS'!$C:$C = C937), 0)), "NOT FOUND")</f>
        <v>224</v>
      </c>
      <c r="J937" t="str">
        <f>IF(Table26[[#This Row],[Fee]]&gt;500,Table26[[#This Row],[Fee]],"")</f>
        <v/>
      </c>
    </row>
    <row r="938" spans="1:10" hidden="1">
      <c r="A938">
        <v>937</v>
      </c>
      <c r="B938" t="s">
        <v>336</v>
      </c>
      <c r="C938" t="s">
        <v>334</v>
      </c>
      <c r="D938" t="str">
        <f t="array" ref="D938">TEXT(Table26[[#This Row],[Date]],"MMMM")</f>
        <v>September</v>
      </c>
      <c r="E938">
        <v>500</v>
      </c>
      <c r="F938" t="s">
        <v>589</v>
      </c>
      <c r="G938" t="s">
        <v>1625</v>
      </c>
      <c r="H938" s="38">
        <v>46270</v>
      </c>
      <c r="I938" cm="1">
        <f t="array" ref="I938">IFERROR(INDEX('ALL STUDENTS'!$A:$A, MATCH(1, ('ALL STUDENTS'!$B:$B = B938) * ('ALL STUDENTS'!$C:$C = C938), 0)), "NOT FOUND")</f>
        <v>2478</v>
      </c>
      <c r="J938" t="str">
        <f>IF(Table26[[#This Row],[Fee]]&gt;500,Table26[[#This Row],[Fee]],"")</f>
        <v/>
      </c>
    </row>
    <row r="939" spans="1:10" hidden="1">
      <c r="A939">
        <v>938</v>
      </c>
      <c r="B939" t="s">
        <v>112</v>
      </c>
      <c r="C939" t="s">
        <v>102</v>
      </c>
      <c r="D939" t="str">
        <f t="array" ref="D939">TEXT(Table26[[#This Row],[Date]],"MMMM")</f>
        <v>September</v>
      </c>
      <c r="E939">
        <v>500</v>
      </c>
      <c r="F939" t="s">
        <v>589</v>
      </c>
      <c r="G939" t="s">
        <v>1626</v>
      </c>
      <c r="H939" s="38">
        <v>46270</v>
      </c>
      <c r="I939" cm="1">
        <f t="array" ref="I939">IFERROR(INDEX('ALL STUDENTS'!$A:$A, MATCH(1, ('ALL STUDENTS'!$B:$B = B939) * ('ALL STUDENTS'!$C:$C = C939), 0)), "NOT FOUND")</f>
        <v>2680</v>
      </c>
      <c r="J939" t="str">
        <f>IF(Table26[[#This Row],[Fee]]&gt;500,Table26[[#This Row],[Fee]],"")</f>
        <v/>
      </c>
    </row>
    <row r="940" spans="1:10" hidden="1">
      <c r="A940">
        <v>939</v>
      </c>
      <c r="B940" t="s">
        <v>112</v>
      </c>
      <c r="C940" t="s">
        <v>102</v>
      </c>
      <c r="D940" t="str">
        <f t="array" ref="D940">TEXT(Table26[[#This Row],[Date]],"MMMM")</f>
        <v>September</v>
      </c>
      <c r="E940">
        <v>500</v>
      </c>
      <c r="F940" t="s">
        <v>589</v>
      </c>
      <c r="G940" t="s">
        <v>1627</v>
      </c>
      <c r="H940" s="38">
        <v>46270</v>
      </c>
      <c r="I940" cm="1">
        <f t="array" ref="I940">IFERROR(INDEX('ALL STUDENTS'!$A:$A, MATCH(1, ('ALL STUDENTS'!$B:$B = B940) * ('ALL STUDENTS'!$C:$C = C940), 0)), "NOT FOUND")</f>
        <v>2680</v>
      </c>
      <c r="J940" t="str">
        <f>IF(Table26[[#This Row],[Fee]]&gt;500,Table26[[#This Row],[Fee]],"")</f>
        <v/>
      </c>
    </row>
    <row r="941" spans="1:10" hidden="1">
      <c r="A941">
        <v>940</v>
      </c>
      <c r="B941" t="s">
        <v>112</v>
      </c>
      <c r="C941" t="s">
        <v>102</v>
      </c>
      <c r="D941" t="str">
        <f t="array" ref="D941">TEXT(Table26[[#This Row],[Date]],"MMMM")</f>
        <v>September</v>
      </c>
      <c r="E941">
        <v>500</v>
      </c>
      <c r="F941" t="s">
        <v>589</v>
      </c>
      <c r="G941" t="s">
        <v>1628</v>
      </c>
      <c r="H941" s="38">
        <v>46270</v>
      </c>
      <c r="I941" cm="1">
        <f t="array" ref="I941">IFERROR(INDEX('ALL STUDENTS'!$A:$A, MATCH(1, ('ALL STUDENTS'!$B:$B = B941) * ('ALL STUDENTS'!$C:$C = C941), 0)), "NOT FOUND")</f>
        <v>2680</v>
      </c>
      <c r="J941" t="str">
        <f>IF(Table26[[#This Row],[Fee]]&gt;500,Table26[[#This Row],[Fee]],"")</f>
        <v/>
      </c>
    </row>
    <row r="942" spans="1:10" hidden="1">
      <c r="A942">
        <v>941</v>
      </c>
      <c r="B942" t="s">
        <v>66</v>
      </c>
      <c r="C942" t="s">
        <v>62</v>
      </c>
      <c r="D942" t="str">
        <f t="array" ref="D942">TEXT(Table26[[#This Row],[Date]],"MMMM")</f>
        <v>September</v>
      </c>
      <c r="E942">
        <v>500</v>
      </c>
      <c r="F942" t="s">
        <v>589</v>
      </c>
      <c r="G942" t="s">
        <v>1629</v>
      </c>
      <c r="H942" s="38">
        <v>46270</v>
      </c>
      <c r="I942" cm="1">
        <f t="array" ref="I942">IFERROR(INDEX('ALL STUDENTS'!$A:$A, MATCH(1, ('ALL STUDENTS'!$B:$B = B942) * ('ALL STUDENTS'!$C:$C = C942), 0)), "NOT FOUND")</f>
        <v>3176</v>
      </c>
      <c r="J942" t="str">
        <f>IF(Table26[[#This Row],[Fee]]&gt;500,Table26[[#This Row],[Fee]],"")</f>
        <v/>
      </c>
    </row>
    <row r="943" spans="1:10" hidden="1">
      <c r="A943">
        <v>942</v>
      </c>
      <c r="B943" t="s">
        <v>148</v>
      </c>
      <c r="C943" t="s">
        <v>138</v>
      </c>
      <c r="D943" t="str">
        <f t="array" ref="D943">TEXT(Table26[[#This Row],[Date]],"MMMM")</f>
        <v>September</v>
      </c>
      <c r="E943">
        <v>500</v>
      </c>
      <c r="F943" t="s">
        <v>589</v>
      </c>
      <c r="G943" t="s">
        <v>1630</v>
      </c>
      <c r="H943" s="38">
        <v>46270</v>
      </c>
      <c r="I943" cm="1">
        <f t="array" ref="I943">IFERROR(INDEX('ALL STUDENTS'!$A:$A, MATCH(1, ('ALL STUDENTS'!$B:$B = B943) * ('ALL STUDENTS'!$C:$C = C943), 0)), "NOT FOUND")</f>
        <v>1767</v>
      </c>
      <c r="J943" t="str">
        <f>IF(Table26[[#This Row],[Fee]]&gt;500,Table26[[#This Row],[Fee]],"")</f>
        <v/>
      </c>
    </row>
    <row r="944" spans="1:10" hidden="1">
      <c r="A944">
        <v>943</v>
      </c>
      <c r="B944" t="s">
        <v>148</v>
      </c>
      <c r="C944" t="s">
        <v>138</v>
      </c>
      <c r="D944" t="str">
        <f t="array" ref="D944">TEXT(Table26[[#This Row],[Date]],"MMMM")</f>
        <v>September</v>
      </c>
      <c r="E944">
        <v>500</v>
      </c>
      <c r="F944" t="s">
        <v>589</v>
      </c>
      <c r="G944" t="s">
        <v>1631</v>
      </c>
      <c r="H944" s="38">
        <v>46270</v>
      </c>
      <c r="I944" cm="1">
        <f t="array" ref="I944">IFERROR(INDEX('ALL STUDENTS'!$A:$A, MATCH(1, ('ALL STUDENTS'!$B:$B = B944) * ('ALL STUDENTS'!$C:$C = C944), 0)), "NOT FOUND")</f>
        <v>1767</v>
      </c>
      <c r="J944" t="str">
        <f>IF(Table26[[#This Row],[Fee]]&gt;500,Table26[[#This Row],[Fee]],"")</f>
        <v/>
      </c>
    </row>
    <row r="945" spans="1:10" hidden="1">
      <c r="A945">
        <v>944</v>
      </c>
      <c r="B945" t="s">
        <v>148</v>
      </c>
      <c r="C945" t="s">
        <v>138</v>
      </c>
      <c r="D945" t="str">
        <f t="array" ref="D945">TEXT(Table26[[#This Row],[Date]],"MMMM")</f>
        <v>September</v>
      </c>
      <c r="E945">
        <v>500</v>
      </c>
      <c r="F945" t="s">
        <v>589</v>
      </c>
      <c r="G945" t="s">
        <v>1632</v>
      </c>
      <c r="H945" s="38">
        <v>46270</v>
      </c>
      <c r="I945" cm="1">
        <f t="array" ref="I945">IFERROR(INDEX('ALL STUDENTS'!$A:$A, MATCH(1, ('ALL STUDENTS'!$B:$B = B945) * ('ALL STUDENTS'!$C:$C = C945), 0)), "NOT FOUND")</f>
        <v>1767</v>
      </c>
      <c r="J945" t="str">
        <f>IF(Table26[[#This Row],[Fee]]&gt;500,Table26[[#This Row],[Fee]],"")</f>
        <v/>
      </c>
    </row>
    <row r="946" spans="1:10" hidden="1">
      <c r="A946">
        <v>945</v>
      </c>
      <c r="B946" t="s">
        <v>67</v>
      </c>
      <c r="C946" t="s">
        <v>62</v>
      </c>
      <c r="D946" t="str">
        <f t="array" ref="D946">TEXT(Table26[[#This Row],[Date]],"MMMM")</f>
        <v>September</v>
      </c>
      <c r="E946">
        <v>500</v>
      </c>
      <c r="F946" t="s">
        <v>589</v>
      </c>
      <c r="G946" t="s">
        <v>1633</v>
      </c>
      <c r="H946" s="38">
        <v>46270</v>
      </c>
      <c r="I946" cm="1">
        <f t="array" ref="I946">IFERROR(INDEX('ALL STUDENTS'!$A:$A, MATCH(1, ('ALL STUDENTS'!$B:$B = B946) * ('ALL STUDENTS'!$C:$C = C946), 0)), "NOT FOUND")</f>
        <v>3183</v>
      </c>
      <c r="J946" t="str">
        <f>IF(Table26[[#This Row],[Fee]]&gt;500,Table26[[#This Row],[Fee]],"")</f>
        <v/>
      </c>
    </row>
    <row r="947" spans="1:10" hidden="1">
      <c r="A947">
        <v>946</v>
      </c>
      <c r="B947" t="s">
        <v>67</v>
      </c>
      <c r="C947" t="s">
        <v>62</v>
      </c>
      <c r="D947" t="str">
        <f t="array" ref="D947">TEXT(Table26[[#This Row],[Date]],"MMMM")</f>
        <v>September</v>
      </c>
      <c r="E947">
        <v>500</v>
      </c>
      <c r="F947" t="s">
        <v>589</v>
      </c>
      <c r="G947" t="s">
        <v>1634</v>
      </c>
      <c r="H947" s="38">
        <v>46270</v>
      </c>
      <c r="I947" cm="1">
        <f t="array" ref="I947">IFERROR(INDEX('ALL STUDENTS'!$A:$A, MATCH(1, ('ALL STUDENTS'!$B:$B = B947) * ('ALL STUDENTS'!$C:$C = C947), 0)), "NOT FOUND")</f>
        <v>3183</v>
      </c>
      <c r="J947" t="str">
        <f>IF(Table26[[#This Row],[Fee]]&gt;500,Table26[[#This Row],[Fee]],"")</f>
        <v/>
      </c>
    </row>
    <row r="948" spans="1:10" hidden="1">
      <c r="A948">
        <v>947</v>
      </c>
      <c r="B948" t="s">
        <v>67</v>
      </c>
      <c r="C948" t="s">
        <v>62</v>
      </c>
      <c r="D948" t="str">
        <f t="array" ref="D948">TEXT(Table26[[#This Row],[Date]],"MMMM")</f>
        <v>September</v>
      </c>
      <c r="E948">
        <v>500</v>
      </c>
      <c r="F948" t="s">
        <v>589</v>
      </c>
      <c r="G948" t="s">
        <v>1635</v>
      </c>
      <c r="H948" s="38">
        <v>46270</v>
      </c>
      <c r="I948" cm="1">
        <f t="array" ref="I948">IFERROR(INDEX('ALL STUDENTS'!$A:$A, MATCH(1, ('ALL STUDENTS'!$B:$B = B948) * ('ALL STUDENTS'!$C:$C = C948), 0)), "NOT FOUND")</f>
        <v>3183</v>
      </c>
      <c r="J948" t="str">
        <f>IF(Table26[[#This Row],[Fee]]&gt;500,Table26[[#This Row],[Fee]],"")</f>
        <v/>
      </c>
    </row>
    <row r="949" spans="1:10" hidden="1">
      <c r="A949">
        <v>948</v>
      </c>
      <c r="B949" t="s">
        <v>403</v>
      </c>
      <c r="C949" t="s">
        <v>397</v>
      </c>
      <c r="D949" t="str">
        <f t="array" ref="D949">TEXT(Table26[[#This Row],[Date]],"MMMM")</f>
        <v>September</v>
      </c>
      <c r="E949">
        <v>500</v>
      </c>
      <c r="F949" t="s">
        <v>589</v>
      </c>
      <c r="G949" t="s">
        <v>1636</v>
      </c>
      <c r="H949" s="38">
        <v>46270</v>
      </c>
      <c r="I949" cm="1">
        <f t="array" ref="I949">IFERROR(INDEX('ALL STUDENTS'!$A:$A, MATCH(1, ('ALL STUDENTS'!$B:$B = B949) * ('ALL STUDENTS'!$C:$C = C949), 0)), "NOT FOUND")</f>
        <v>940</v>
      </c>
      <c r="J949" t="str">
        <f>IF(Table26[[#This Row],[Fee]]&gt;500,Table26[[#This Row],[Fee]],"")</f>
        <v/>
      </c>
    </row>
    <row r="950" spans="1:10" hidden="1">
      <c r="A950">
        <v>949</v>
      </c>
      <c r="B950" t="s">
        <v>298</v>
      </c>
      <c r="C950" t="s">
        <v>294</v>
      </c>
      <c r="D950" t="str">
        <f t="array" ref="D950">TEXT(Table26[[#This Row],[Date]],"MMMM")</f>
        <v>September</v>
      </c>
      <c r="E950">
        <v>500</v>
      </c>
      <c r="F950" t="s">
        <v>589</v>
      </c>
      <c r="G950" t="s">
        <v>1637</v>
      </c>
      <c r="H950" s="38">
        <v>46271</v>
      </c>
      <c r="I950" cm="1">
        <f t="array" ref="I950">IFERROR(INDEX('ALL STUDENTS'!$A:$A, MATCH(1, ('ALL STUDENTS'!$B:$B = B950) * ('ALL STUDENTS'!$C:$C = C950), 0)), "NOT FOUND")</f>
        <v>2278</v>
      </c>
      <c r="J950" t="str">
        <f>IF(Table26[[#This Row],[Fee]]&gt;500,Table26[[#This Row],[Fee]],"")</f>
        <v/>
      </c>
    </row>
    <row r="951" spans="1:10" hidden="1">
      <c r="A951">
        <v>950</v>
      </c>
      <c r="B951" t="s">
        <v>519</v>
      </c>
      <c r="C951" t="s">
        <v>515</v>
      </c>
      <c r="D951" t="str">
        <f t="array" ref="D951">TEXT(Table26[[#This Row],[Date]],"MMMM")</f>
        <v>August</v>
      </c>
      <c r="E951">
        <v>500</v>
      </c>
      <c r="F951" t="s">
        <v>589</v>
      </c>
      <c r="G951" t="s">
        <v>1638</v>
      </c>
      <c r="H951" s="38">
        <v>46240</v>
      </c>
      <c r="I951" cm="1">
        <f t="array" ref="I951">IFERROR(INDEX('ALL STUDENTS'!$A:$A, MATCH(1, ('ALL STUDENTS'!$B:$B = B951) * ('ALL STUDENTS'!$C:$C = C951), 0)), "NOT FOUND")</f>
        <v>49</v>
      </c>
      <c r="J951" t="str">
        <f>IF(Table26[[#This Row],[Fee]]&gt;500,Table26[[#This Row],[Fee]],"")</f>
        <v/>
      </c>
    </row>
    <row r="952" spans="1:10" hidden="1">
      <c r="A952">
        <v>951</v>
      </c>
      <c r="B952" t="s">
        <v>519</v>
      </c>
      <c r="C952" t="s">
        <v>515</v>
      </c>
      <c r="D952" t="str">
        <f t="array" ref="D952">TEXT(Table26[[#This Row],[Date]],"MMMM")</f>
        <v>August</v>
      </c>
      <c r="E952">
        <v>500</v>
      </c>
      <c r="F952" t="s">
        <v>589</v>
      </c>
      <c r="G952" t="s">
        <v>1639</v>
      </c>
      <c r="H952" s="38">
        <v>46240</v>
      </c>
      <c r="I952" cm="1">
        <f t="array" ref="I952">IFERROR(INDEX('ALL STUDENTS'!$A:$A, MATCH(1, ('ALL STUDENTS'!$B:$B = B952) * ('ALL STUDENTS'!$C:$C = C952), 0)), "NOT FOUND")</f>
        <v>49</v>
      </c>
      <c r="J952" t="str">
        <f>IF(Table26[[#This Row],[Fee]]&gt;500,Table26[[#This Row],[Fee]],"")</f>
        <v/>
      </c>
    </row>
    <row r="953" spans="1:10" hidden="1">
      <c r="A953">
        <v>952</v>
      </c>
      <c r="B953" t="s">
        <v>519</v>
      </c>
      <c r="C953" t="s">
        <v>515</v>
      </c>
      <c r="D953" t="str">
        <f t="array" ref="D953">TEXT(Table26[[#This Row],[Date]],"MMMM")</f>
        <v>August</v>
      </c>
      <c r="E953">
        <v>500</v>
      </c>
      <c r="F953" t="s">
        <v>589</v>
      </c>
      <c r="G953" t="s">
        <v>1640</v>
      </c>
      <c r="H953" s="38">
        <v>46240</v>
      </c>
      <c r="I953" cm="1">
        <f t="array" ref="I953">IFERROR(INDEX('ALL STUDENTS'!$A:$A, MATCH(1, ('ALL STUDENTS'!$B:$B = B953) * ('ALL STUDENTS'!$C:$C = C953), 0)), "NOT FOUND")</f>
        <v>49</v>
      </c>
      <c r="J953" t="str">
        <f>IF(Table26[[#This Row],[Fee]]&gt;500,Table26[[#This Row],[Fee]],"")</f>
        <v/>
      </c>
    </row>
    <row r="954" spans="1:10" hidden="1">
      <c r="A954">
        <v>953</v>
      </c>
      <c r="B954" t="s">
        <v>184</v>
      </c>
      <c r="C954" s="3" t="s">
        <v>175</v>
      </c>
      <c r="D954" t="str">
        <f t="array" ref="D954">TEXT(Table26[[#This Row],[Date]],"MMMM")</f>
        <v>July</v>
      </c>
      <c r="E954">
        <v>500</v>
      </c>
      <c r="F954" t="s">
        <v>589</v>
      </c>
      <c r="G954" t="s">
        <v>1641</v>
      </c>
      <c r="H954" s="38">
        <v>46231</v>
      </c>
      <c r="I954" cm="1">
        <f t="array" ref="I954">IFERROR(INDEX('ALL STUDENTS'!$A:$A, MATCH(1, ('ALL STUDENTS'!$B:$B = B954) * ('ALL STUDENTS'!$C:$C = C954), 0)), "NOT FOUND")</f>
        <v>1896</v>
      </c>
      <c r="J954" t="str">
        <f>IF(Table26[[#This Row],[Fee]]&gt;500,Table26[[#This Row],[Fee]],"")</f>
        <v/>
      </c>
    </row>
    <row r="955" spans="1:10" hidden="1">
      <c r="A955">
        <v>954</v>
      </c>
      <c r="B955" t="s">
        <v>593</v>
      </c>
      <c r="C955" t="s">
        <v>252</v>
      </c>
      <c r="D955" t="str">
        <f t="array" ref="D955">TEXT(Table26[[#This Row],[Date]],"MMMM")</f>
        <v>September</v>
      </c>
      <c r="E955">
        <v>500</v>
      </c>
      <c r="F955" t="s">
        <v>589</v>
      </c>
      <c r="G955" t="s">
        <v>1642</v>
      </c>
      <c r="H955" s="38">
        <v>46270</v>
      </c>
      <c r="I955" cm="1">
        <f t="array" ref="I955">IFERROR(INDEX('ALL STUDENTS'!$A:$A, MATCH(1, ('ALL STUDENTS'!$B:$B = B955) * ('ALL STUDENTS'!$C:$C = C955), 0)), "NOT FOUND")</f>
        <v>2127</v>
      </c>
      <c r="J955" t="str">
        <f>IF(Table26[[#This Row],[Fee]]&gt;500,Table26[[#This Row],[Fee]],"")</f>
        <v/>
      </c>
    </row>
    <row r="956" spans="1:10" hidden="1">
      <c r="A956">
        <v>955</v>
      </c>
      <c r="B956" t="s">
        <v>593</v>
      </c>
      <c r="C956" t="s">
        <v>252</v>
      </c>
      <c r="D956" t="str">
        <f t="array" ref="D956">TEXT(Table26[[#This Row],[Date]],"MMMM")</f>
        <v>September</v>
      </c>
      <c r="E956">
        <v>500</v>
      </c>
      <c r="F956" t="s">
        <v>589</v>
      </c>
      <c r="G956" t="s">
        <v>1643</v>
      </c>
      <c r="H956" s="38">
        <v>46270</v>
      </c>
      <c r="I956" cm="1">
        <f t="array" ref="I956">IFERROR(INDEX('ALL STUDENTS'!$A:$A, MATCH(1, ('ALL STUDENTS'!$B:$B = B956) * ('ALL STUDENTS'!$C:$C = C956), 0)), "NOT FOUND")</f>
        <v>2127</v>
      </c>
      <c r="J956" t="str">
        <f>IF(Table26[[#This Row],[Fee]]&gt;500,Table26[[#This Row],[Fee]],"")</f>
        <v/>
      </c>
    </row>
    <row r="957" spans="1:10" hidden="1">
      <c r="A957">
        <v>956</v>
      </c>
      <c r="B957" t="s">
        <v>593</v>
      </c>
      <c r="C957" t="s">
        <v>252</v>
      </c>
      <c r="D957" t="str">
        <f t="array" ref="D957">TEXT(Table26[[#This Row],[Date]],"MMMM")</f>
        <v>September</v>
      </c>
      <c r="E957">
        <v>500</v>
      </c>
      <c r="F957" t="s">
        <v>589</v>
      </c>
      <c r="G957" t="s">
        <v>1644</v>
      </c>
      <c r="H957" s="38">
        <v>46270</v>
      </c>
      <c r="I957" cm="1">
        <f t="array" ref="I957">IFERROR(INDEX('ALL STUDENTS'!$A:$A, MATCH(1, ('ALL STUDENTS'!$B:$B = B957) * ('ALL STUDENTS'!$C:$C = C957), 0)), "NOT FOUND")</f>
        <v>2127</v>
      </c>
      <c r="J957" t="str">
        <f>IF(Table26[[#This Row],[Fee]]&gt;500,Table26[[#This Row],[Fee]],"")</f>
        <v/>
      </c>
    </row>
    <row r="958" spans="1:10" hidden="1">
      <c r="A958">
        <v>957</v>
      </c>
      <c r="B958" t="s">
        <v>594</v>
      </c>
      <c r="C958" t="s">
        <v>581</v>
      </c>
      <c r="D958" t="str">
        <f t="array" ref="D958">TEXT(Table26[[#This Row],[Date]],"MMMM")</f>
        <v>September</v>
      </c>
      <c r="E958">
        <v>500</v>
      </c>
      <c r="F958" t="s">
        <v>589</v>
      </c>
      <c r="G958" t="s">
        <v>1645</v>
      </c>
      <c r="H958" s="38">
        <v>46270</v>
      </c>
      <c r="I958" cm="1">
        <f t="array" ref="I958">IFERROR(INDEX('ALL STUDENTS'!$A:$A, MATCH(1, ('ALL STUDENTS'!$B:$B = B958) * ('ALL STUDENTS'!$C:$C = C958), 0)), "NOT FOUND")</f>
        <v>2581</v>
      </c>
      <c r="J958" t="str">
        <f>IF(Table26[[#This Row],[Fee]]&gt;500,Table26[[#This Row],[Fee]],"")</f>
        <v/>
      </c>
    </row>
    <row r="959" spans="1:10" hidden="1">
      <c r="A959">
        <v>958</v>
      </c>
      <c r="B959" t="s">
        <v>594</v>
      </c>
      <c r="C959" t="s">
        <v>581</v>
      </c>
      <c r="D959" t="str">
        <f t="array" ref="D959">TEXT(Table26[[#This Row],[Date]],"MMMM")</f>
        <v>September</v>
      </c>
      <c r="E959">
        <v>500</v>
      </c>
      <c r="F959" t="s">
        <v>589</v>
      </c>
      <c r="G959" t="s">
        <v>1646</v>
      </c>
      <c r="H959" s="38">
        <v>46270</v>
      </c>
      <c r="I959" cm="1">
        <f t="array" ref="I959">IFERROR(INDEX('ALL STUDENTS'!$A:$A, MATCH(1, ('ALL STUDENTS'!$B:$B = B959) * ('ALL STUDENTS'!$C:$C = C959), 0)), "NOT FOUND")</f>
        <v>2581</v>
      </c>
      <c r="J959" t="str">
        <f>IF(Table26[[#This Row],[Fee]]&gt;500,Table26[[#This Row],[Fee]],"")</f>
        <v/>
      </c>
    </row>
    <row r="960" spans="1:10" hidden="1">
      <c r="A960">
        <v>959</v>
      </c>
      <c r="B960" t="s">
        <v>594</v>
      </c>
      <c r="C960" t="s">
        <v>581</v>
      </c>
      <c r="D960" t="str">
        <f t="array" ref="D960">TEXT(Table26[[#This Row],[Date]],"MMMM")</f>
        <v>September</v>
      </c>
      <c r="E960">
        <v>500</v>
      </c>
      <c r="F960" t="s">
        <v>589</v>
      </c>
      <c r="G960" t="s">
        <v>1647</v>
      </c>
      <c r="H960" s="38">
        <v>46270</v>
      </c>
      <c r="I960" cm="1">
        <f t="array" ref="I960">IFERROR(INDEX('ALL STUDENTS'!$A:$A, MATCH(1, ('ALL STUDENTS'!$B:$B = B960) * ('ALL STUDENTS'!$C:$C = C960), 0)), "NOT FOUND")</f>
        <v>2581</v>
      </c>
      <c r="J960" t="str">
        <f>IF(Table26[[#This Row],[Fee]]&gt;500,Table26[[#This Row],[Fee]],"")</f>
        <v/>
      </c>
    </row>
    <row r="961" spans="1:10" hidden="1">
      <c r="A961">
        <v>960</v>
      </c>
      <c r="B961" t="s">
        <v>153</v>
      </c>
      <c r="C961" t="s">
        <v>149</v>
      </c>
      <c r="D961" t="str">
        <f t="array" ref="D961">TEXT(Table26[[#This Row],[Date]],"MMMM")</f>
        <v>September</v>
      </c>
      <c r="E961">
        <v>500</v>
      </c>
      <c r="F961" t="s">
        <v>589</v>
      </c>
      <c r="G961" t="s">
        <v>1648</v>
      </c>
      <c r="H961" s="38">
        <v>46270</v>
      </c>
      <c r="I961" cm="1">
        <f t="array" ref="I961">IFERROR(INDEX('ALL STUDENTS'!$A:$A, MATCH(1, ('ALL STUDENTS'!$B:$B = B961) * ('ALL STUDENTS'!$C:$C = C961), 0)), "NOT FOUND")</f>
        <v>1777</v>
      </c>
      <c r="J961" t="str">
        <f>IF(Table26[[#This Row],[Fee]]&gt;500,Table26[[#This Row],[Fee]],"")</f>
        <v/>
      </c>
    </row>
    <row r="962" spans="1:10" hidden="1">
      <c r="A962">
        <v>961</v>
      </c>
      <c r="B962" t="s">
        <v>595</v>
      </c>
      <c r="C962" t="s">
        <v>366</v>
      </c>
      <c r="D962" t="str">
        <f t="array" ref="D962">TEXT(Table26[[#This Row],[Date]],"MMMM")</f>
        <v>September</v>
      </c>
      <c r="E962">
        <v>500</v>
      </c>
      <c r="F962" t="s">
        <v>589</v>
      </c>
      <c r="G962" t="s">
        <v>1649</v>
      </c>
      <c r="H962" s="38">
        <v>46270</v>
      </c>
      <c r="I962" cm="1">
        <f t="array" ref="I962">IFERROR(INDEX('ALL STUDENTS'!$A:$A, MATCH(1, ('ALL STUDENTS'!$B:$B = B962) * ('ALL STUDENTS'!$C:$C = C962), 0)), "NOT FOUND")</f>
        <v>797</v>
      </c>
      <c r="J962" t="str">
        <f>IF(Table26[[#This Row],[Fee]]&gt;500,Table26[[#This Row],[Fee]],"")</f>
        <v/>
      </c>
    </row>
    <row r="963" spans="1:10" hidden="1">
      <c r="A963">
        <v>962</v>
      </c>
      <c r="B963" t="s">
        <v>595</v>
      </c>
      <c r="C963" t="s">
        <v>366</v>
      </c>
      <c r="D963" t="str">
        <f t="array" ref="D963">TEXT(Table26[[#This Row],[Date]],"MMMM")</f>
        <v>September</v>
      </c>
      <c r="E963">
        <v>500</v>
      </c>
      <c r="F963" t="s">
        <v>589</v>
      </c>
      <c r="G963" t="s">
        <v>1650</v>
      </c>
      <c r="H963" s="38">
        <v>46270</v>
      </c>
      <c r="I963" cm="1">
        <f t="array" ref="I963">IFERROR(INDEX('ALL STUDENTS'!$A:$A, MATCH(1, ('ALL STUDENTS'!$B:$B = B963) * ('ALL STUDENTS'!$C:$C = C963), 0)), "NOT FOUND")</f>
        <v>797</v>
      </c>
      <c r="J963" t="str">
        <f>IF(Table26[[#This Row],[Fee]]&gt;500,Table26[[#This Row],[Fee]],"")</f>
        <v/>
      </c>
    </row>
    <row r="964" spans="1:10" hidden="1">
      <c r="A964">
        <v>963</v>
      </c>
      <c r="B964" t="s">
        <v>595</v>
      </c>
      <c r="C964" t="s">
        <v>366</v>
      </c>
      <c r="D964" t="str">
        <f t="array" ref="D964">TEXT(Table26[[#This Row],[Date]],"MMMM")</f>
        <v>September</v>
      </c>
      <c r="E964">
        <v>500</v>
      </c>
      <c r="F964" t="s">
        <v>589</v>
      </c>
      <c r="G964" t="s">
        <v>1651</v>
      </c>
      <c r="H964" s="38">
        <v>46270</v>
      </c>
      <c r="I964" cm="1">
        <f t="array" ref="I964">IFERROR(INDEX('ALL STUDENTS'!$A:$A, MATCH(1, ('ALL STUDENTS'!$B:$B = B964) * ('ALL STUDENTS'!$C:$C = C964), 0)), "NOT FOUND")</f>
        <v>797</v>
      </c>
      <c r="J964" t="str">
        <f>IF(Table26[[#This Row],[Fee]]&gt;500,Table26[[#This Row],[Fee]],"")</f>
        <v/>
      </c>
    </row>
    <row r="965" spans="1:10" hidden="1">
      <c r="A965">
        <v>964</v>
      </c>
      <c r="B965" t="s">
        <v>596</v>
      </c>
      <c r="C965" t="s">
        <v>488</v>
      </c>
      <c r="D965" t="str">
        <f t="array" ref="D965">TEXT(Table26[[#This Row],[Date]],"MMMM")</f>
        <v>August</v>
      </c>
      <c r="E965">
        <v>500</v>
      </c>
      <c r="F965" t="s">
        <v>589</v>
      </c>
      <c r="G965" t="s">
        <v>1652</v>
      </c>
      <c r="H965" s="38">
        <v>46235</v>
      </c>
      <c r="I965" cm="1">
        <f t="array" ref="I965">IFERROR(INDEX('ALL STUDENTS'!$A:$A, MATCH(1, ('ALL STUDENTS'!$B:$B = B965) * ('ALL STUDENTS'!$C:$C = C965), 0)), "NOT FOUND")</f>
        <v>340</v>
      </c>
      <c r="J965" t="str">
        <f>IF(Table26[[#This Row],[Fee]]&gt;500,Table26[[#This Row],[Fee]],"")</f>
        <v/>
      </c>
    </row>
    <row r="966" spans="1:10" hidden="1">
      <c r="A966">
        <v>965</v>
      </c>
      <c r="B966" t="s">
        <v>596</v>
      </c>
      <c r="C966" t="s">
        <v>488</v>
      </c>
      <c r="D966" t="str">
        <f t="array" ref="D966">TEXT(Table26[[#This Row],[Date]],"MMMM")</f>
        <v>August</v>
      </c>
      <c r="E966">
        <v>500</v>
      </c>
      <c r="F966" t="s">
        <v>589</v>
      </c>
      <c r="G966" t="s">
        <v>1653</v>
      </c>
      <c r="H966" s="38">
        <v>46235</v>
      </c>
      <c r="I966" cm="1">
        <f t="array" ref="I966">IFERROR(INDEX('ALL STUDENTS'!$A:$A, MATCH(1, ('ALL STUDENTS'!$B:$B = B966) * ('ALL STUDENTS'!$C:$C = C966), 0)), "NOT FOUND")</f>
        <v>340</v>
      </c>
      <c r="J966" t="str">
        <f>IF(Table26[[#This Row],[Fee]]&gt;500,Table26[[#This Row],[Fee]],"")</f>
        <v/>
      </c>
    </row>
    <row r="967" spans="1:10" hidden="1">
      <c r="A967">
        <v>966</v>
      </c>
      <c r="B967" t="s">
        <v>596</v>
      </c>
      <c r="C967" t="s">
        <v>488</v>
      </c>
      <c r="D967" t="str">
        <f t="array" ref="D967">TEXT(Table26[[#This Row],[Date]],"MMMM")</f>
        <v>August</v>
      </c>
      <c r="E967">
        <v>500</v>
      </c>
      <c r="F967" t="s">
        <v>589</v>
      </c>
      <c r="G967" t="s">
        <v>1654</v>
      </c>
      <c r="H967" s="38">
        <v>46235</v>
      </c>
      <c r="I967" cm="1">
        <f t="array" ref="I967">IFERROR(INDEX('ALL STUDENTS'!$A:$A, MATCH(1, ('ALL STUDENTS'!$B:$B = B967) * ('ALL STUDENTS'!$C:$C = C967), 0)), "NOT FOUND")</f>
        <v>340</v>
      </c>
      <c r="J967" t="str">
        <f>IF(Table26[[#This Row],[Fee]]&gt;500,Table26[[#This Row],[Fee]],"")</f>
        <v/>
      </c>
    </row>
    <row r="968" spans="1:10">
      <c r="A968">
        <v>967</v>
      </c>
      <c r="B968" t="s">
        <v>597</v>
      </c>
      <c r="C968" t="s">
        <v>80</v>
      </c>
      <c r="D968" t="str">
        <f t="array" ref="D968">TEXT(Table26[[#This Row],[Date]],"MMMM")</f>
        <v>September</v>
      </c>
      <c r="E968">
        <v>500</v>
      </c>
      <c r="F968" t="s">
        <v>589</v>
      </c>
      <c r="G968" t="s">
        <v>1655</v>
      </c>
      <c r="H968" s="38">
        <v>46270</v>
      </c>
      <c r="I968" t="str" cm="1">
        <f t="array" ref="I968">IFERROR(INDEX('ALL STUDENTS'!$A:$A, MATCH(1, ('ALL STUDENTS'!$B:$B = B968) * ('ALL STUDENTS'!$C:$C = C968), 0)), "NOT FOUND")</f>
        <v>NOT FOUND</v>
      </c>
      <c r="J968" t="str">
        <f>IF(Table26[[#This Row],[Fee]]&gt;500,Table26[[#This Row],[Fee]],"")</f>
        <v/>
      </c>
    </row>
    <row r="969" spans="1:10">
      <c r="A969">
        <v>968</v>
      </c>
      <c r="B969" t="s">
        <v>597</v>
      </c>
      <c r="C969" t="s">
        <v>80</v>
      </c>
      <c r="D969" t="str">
        <f t="array" ref="D969">TEXT(Table26[[#This Row],[Date]],"MMMM")</f>
        <v>September</v>
      </c>
      <c r="E969">
        <v>500</v>
      </c>
      <c r="F969" t="s">
        <v>589</v>
      </c>
      <c r="G969" t="s">
        <v>1656</v>
      </c>
      <c r="H969" s="38">
        <v>46270</v>
      </c>
      <c r="I969" t="str" cm="1">
        <f t="array" ref="I969">IFERROR(INDEX('ALL STUDENTS'!$A:$A, MATCH(1, ('ALL STUDENTS'!$B:$B = B969) * ('ALL STUDENTS'!$C:$C = C969), 0)), "NOT FOUND")</f>
        <v>NOT FOUND</v>
      </c>
      <c r="J969" t="str">
        <f>IF(Table26[[#This Row],[Fee]]&gt;500,Table26[[#This Row],[Fee]],"")</f>
        <v/>
      </c>
    </row>
    <row r="970" spans="1:10">
      <c r="A970">
        <v>969</v>
      </c>
      <c r="B970" t="s">
        <v>597</v>
      </c>
      <c r="C970" t="s">
        <v>80</v>
      </c>
      <c r="D970" t="str">
        <f t="array" ref="D970">TEXT(Table26[[#This Row],[Date]],"MMMM")</f>
        <v>September</v>
      </c>
      <c r="E970">
        <v>500</v>
      </c>
      <c r="F970" t="s">
        <v>589</v>
      </c>
      <c r="G970" t="s">
        <v>1657</v>
      </c>
      <c r="H970" s="38">
        <v>46270</v>
      </c>
      <c r="I970" t="str" cm="1">
        <f t="array" ref="I970">IFERROR(INDEX('ALL STUDENTS'!$A:$A, MATCH(1, ('ALL STUDENTS'!$B:$B = B970) * ('ALL STUDENTS'!$C:$C = C970), 0)), "NOT FOUND")</f>
        <v>NOT FOUND</v>
      </c>
      <c r="J970" t="str">
        <f>IF(Table26[[#This Row],[Fee]]&gt;500,Table26[[#This Row],[Fee]],"")</f>
        <v/>
      </c>
    </row>
    <row r="971" spans="1:10" hidden="1">
      <c r="A971">
        <v>970</v>
      </c>
      <c r="B971" t="s">
        <v>598</v>
      </c>
      <c r="C971" t="s">
        <v>294</v>
      </c>
      <c r="D971" t="str">
        <f t="array" ref="D971">TEXT(Table26[[#This Row],[Date]],"MMMM")</f>
        <v>September</v>
      </c>
      <c r="E971">
        <v>500</v>
      </c>
      <c r="F971" t="s">
        <v>589</v>
      </c>
      <c r="G971" t="s">
        <v>1658</v>
      </c>
      <c r="H971" s="38">
        <v>46272</v>
      </c>
      <c r="I971" cm="1">
        <f t="array" ref="I971">IFERROR(INDEX('ALL STUDENTS'!$A:$A, MATCH(1, ('ALL STUDENTS'!$B:$B = B971) * ('ALL STUDENTS'!$C:$C = C971), 0)), "NOT FOUND")</f>
        <v>2293</v>
      </c>
      <c r="J971" t="str">
        <f>IF(Table26[[#This Row],[Fee]]&gt;500,Table26[[#This Row],[Fee]],"")</f>
        <v/>
      </c>
    </row>
    <row r="972" spans="1:10" hidden="1">
      <c r="A972">
        <v>971</v>
      </c>
      <c r="B972" t="s">
        <v>599</v>
      </c>
      <c r="C972" t="s">
        <v>496</v>
      </c>
      <c r="D972" t="str">
        <f t="array" ref="D972">TEXT(Table26[[#This Row],[Date]],"MMMM")</f>
        <v>September</v>
      </c>
      <c r="E972">
        <v>500</v>
      </c>
      <c r="F972" t="s">
        <v>589</v>
      </c>
      <c r="G972" t="s">
        <v>1659</v>
      </c>
      <c r="H972" s="38">
        <v>46272</v>
      </c>
      <c r="I972" cm="1">
        <f t="array" ref="I972">IFERROR(INDEX('ALL STUDENTS'!$A:$A, MATCH(1, ('ALL STUDENTS'!$B:$B = B972) * ('ALL STUDENTS'!$C:$C = C972), 0)), "NOT FOUND")</f>
        <v>374</v>
      </c>
      <c r="J972" t="str">
        <f>IF(Table26[[#This Row],[Fee]]&gt;500,Table26[[#This Row],[Fee]],"")</f>
        <v/>
      </c>
    </row>
    <row r="973" spans="1:10" hidden="1">
      <c r="A973">
        <v>972</v>
      </c>
      <c r="B973" t="s">
        <v>180</v>
      </c>
      <c r="C973" s="3" t="s">
        <v>175</v>
      </c>
      <c r="D973" t="str">
        <f t="array" ref="D973">TEXT(Table26[[#This Row],[Date]],"MMMM")</f>
        <v>September</v>
      </c>
      <c r="E973">
        <v>500</v>
      </c>
      <c r="F973" t="s">
        <v>589</v>
      </c>
      <c r="G973" t="s">
        <v>1660</v>
      </c>
      <c r="H973" s="38">
        <v>46272</v>
      </c>
      <c r="I973" cm="1">
        <f t="array" ref="I973">IFERROR(INDEX('ALL STUDENTS'!$A:$A, MATCH(1, ('ALL STUDENTS'!$B:$B = B973) * ('ALL STUDENTS'!$C:$C = C973), 0)), "NOT FOUND")</f>
        <v>1872</v>
      </c>
      <c r="J973" t="str">
        <f>IF(Table26[[#This Row],[Fee]]&gt;500,Table26[[#This Row],[Fee]],"")</f>
        <v/>
      </c>
    </row>
    <row r="974" spans="1:10" hidden="1">
      <c r="A974">
        <v>973</v>
      </c>
      <c r="B974" t="s">
        <v>600</v>
      </c>
      <c r="C974" t="s">
        <v>113</v>
      </c>
      <c r="D974" t="str">
        <f t="array" ref="D974">TEXT(Table26[[#This Row],[Date]],"MMMM")</f>
        <v>September</v>
      </c>
      <c r="E974">
        <v>500</v>
      </c>
      <c r="F974" t="s">
        <v>589</v>
      </c>
      <c r="G974" t="s">
        <v>1661</v>
      </c>
      <c r="H974" s="38">
        <v>46272</v>
      </c>
      <c r="I974" cm="1">
        <f t="array" ref="I974">IFERROR(INDEX('ALL STUDENTS'!$A:$A, MATCH(1, ('ALL STUDENTS'!$B:$B = B974) * ('ALL STUDENTS'!$C:$C = C974), 0)), "NOT FOUND")</f>
        <v>1653</v>
      </c>
      <c r="J974" t="str">
        <f>IF(Table26[[#This Row],[Fee]]&gt;500,Table26[[#This Row],[Fee]],"")</f>
        <v/>
      </c>
    </row>
    <row r="975" spans="1:10" hidden="1">
      <c r="A975">
        <v>974</v>
      </c>
      <c r="B975" t="s">
        <v>601</v>
      </c>
      <c r="C975" t="s">
        <v>138</v>
      </c>
      <c r="D975" t="str">
        <f t="array" ref="D975">TEXT(Table26[[#This Row],[Date]],"MMMM")</f>
        <v>September</v>
      </c>
      <c r="E975">
        <v>500</v>
      </c>
      <c r="F975" t="s">
        <v>589</v>
      </c>
      <c r="G975" t="s">
        <v>1662</v>
      </c>
      <c r="H975" s="38">
        <v>46272</v>
      </c>
      <c r="I975" cm="1">
        <f t="array" ref="I975">IFERROR(INDEX('ALL STUDENTS'!$A:$A, MATCH(1, ('ALL STUDENTS'!$B:$B = B975) * ('ALL STUDENTS'!$C:$C = C975), 0)), "NOT FOUND")</f>
        <v>1764</v>
      </c>
      <c r="J975" t="str">
        <f>IF(Table26[[#This Row],[Fee]]&gt;500,Table26[[#This Row],[Fee]],"")</f>
        <v/>
      </c>
    </row>
    <row r="976" spans="1:10" hidden="1">
      <c r="A976">
        <v>975</v>
      </c>
      <c r="B976" t="s">
        <v>602</v>
      </c>
      <c r="C976" t="s">
        <v>397</v>
      </c>
      <c r="D976" t="str">
        <f t="array" ref="D976">TEXT(Table26[[#This Row],[Date]],"MMMM")</f>
        <v>September</v>
      </c>
      <c r="E976">
        <v>500</v>
      </c>
      <c r="F976" t="s">
        <v>589</v>
      </c>
      <c r="G976" t="s">
        <v>1663</v>
      </c>
      <c r="H976" s="38">
        <v>46273</v>
      </c>
      <c r="I976" cm="1">
        <f t="array" ref="I976">IFERROR(INDEX('ALL STUDENTS'!$A:$A, MATCH(1, ('ALL STUDENTS'!$B:$B = B976) * ('ALL STUDENTS'!$C:$C = C976), 0)), "NOT FOUND")</f>
        <v>932</v>
      </c>
      <c r="J976" t="str">
        <f>IF(Table26[[#This Row],[Fee]]&gt;500,Table26[[#This Row],[Fee]],"")</f>
        <v/>
      </c>
    </row>
    <row r="977" spans="1:10" hidden="1">
      <c r="A977">
        <v>976</v>
      </c>
      <c r="B977" t="s">
        <v>602</v>
      </c>
      <c r="C977" t="s">
        <v>397</v>
      </c>
      <c r="D977" t="str">
        <f t="array" ref="D977">TEXT(Table26[[#This Row],[Date]],"MMMM")</f>
        <v>September</v>
      </c>
      <c r="E977">
        <v>500</v>
      </c>
      <c r="F977" t="s">
        <v>589</v>
      </c>
      <c r="G977" t="s">
        <v>1664</v>
      </c>
      <c r="H977" s="38">
        <v>46273</v>
      </c>
      <c r="I977" cm="1">
        <f t="array" ref="I977">IFERROR(INDEX('ALL STUDENTS'!$A:$A, MATCH(1, ('ALL STUDENTS'!$B:$B = B977) * ('ALL STUDENTS'!$C:$C = C977), 0)), "NOT FOUND")</f>
        <v>932</v>
      </c>
      <c r="J977" t="str">
        <f>IF(Table26[[#This Row],[Fee]]&gt;500,Table26[[#This Row],[Fee]],"")</f>
        <v/>
      </c>
    </row>
    <row r="978" spans="1:10" hidden="1">
      <c r="A978">
        <v>977</v>
      </c>
      <c r="B978" t="s">
        <v>602</v>
      </c>
      <c r="C978" t="s">
        <v>397</v>
      </c>
      <c r="D978" t="str">
        <f t="array" ref="D978">TEXT(Table26[[#This Row],[Date]],"MMMM")</f>
        <v>September</v>
      </c>
      <c r="E978">
        <v>500</v>
      </c>
      <c r="F978" t="s">
        <v>589</v>
      </c>
      <c r="G978" t="s">
        <v>1665</v>
      </c>
      <c r="H978" s="38">
        <v>46273</v>
      </c>
      <c r="I978" cm="1">
        <f t="array" ref="I978">IFERROR(INDEX('ALL STUDENTS'!$A:$A, MATCH(1, ('ALL STUDENTS'!$B:$B = B978) * ('ALL STUDENTS'!$C:$C = C978), 0)), "NOT FOUND")</f>
        <v>932</v>
      </c>
      <c r="J978" t="str">
        <f>IF(Table26[[#This Row],[Fee]]&gt;500,Table26[[#This Row],[Fee]],"")</f>
        <v/>
      </c>
    </row>
    <row r="979" spans="1:10" hidden="1">
      <c r="A979">
        <v>978</v>
      </c>
      <c r="B979" t="s">
        <v>603</v>
      </c>
      <c r="C979" t="s">
        <v>409</v>
      </c>
      <c r="D979" t="str">
        <f t="array" ref="D979">TEXT(Table26[[#This Row],[Date]],"MMMM")</f>
        <v>August</v>
      </c>
      <c r="E979">
        <v>500</v>
      </c>
      <c r="F979" t="s">
        <v>589</v>
      </c>
      <c r="G979" t="s">
        <v>1666</v>
      </c>
      <c r="H979" s="38">
        <v>46255</v>
      </c>
      <c r="I979" cm="1">
        <f t="array" ref="I979">IFERROR(INDEX('ALL STUDENTS'!$A:$A, MATCH(1, ('ALL STUDENTS'!$B:$B = B979) * ('ALL STUDENTS'!$C:$C = C979), 0)), "NOT FOUND")</f>
        <v>957</v>
      </c>
      <c r="J979" t="str">
        <f>IF(Table26[[#This Row],[Fee]]&gt;500,Table26[[#This Row],[Fee]],"")</f>
        <v/>
      </c>
    </row>
    <row r="980" spans="1:10" hidden="1">
      <c r="A980">
        <v>979</v>
      </c>
      <c r="B980" t="s">
        <v>603</v>
      </c>
      <c r="C980" t="s">
        <v>409</v>
      </c>
      <c r="D980" t="str">
        <f t="array" ref="D980">TEXT(Table26[[#This Row],[Date]],"MMMM")</f>
        <v>August</v>
      </c>
      <c r="E980">
        <v>500</v>
      </c>
      <c r="F980" t="s">
        <v>589</v>
      </c>
      <c r="G980" t="s">
        <v>1667</v>
      </c>
      <c r="H980" s="38">
        <v>46255</v>
      </c>
      <c r="I980" cm="1">
        <f t="array" ref="I980">IFERROR(INDEX('ALL STUDENTS'!$A:$A, MATCH(1, ('ALL STUDENTS'!$B:$B = B980) * ('ALL STUDENTS'!$C:$C = C980), 0)), "NOT FOUND")</f>
        <v>957</v>
      </c>
      <c r="J980" t="str">
        <f>IF(Table26[[#This Row],[Fee]]&gt;500,Table26[[#This Row],[Fee]],"")</f>
        <v/>
      </c>
    </row>
    <row r="981" spans="1:10" hidden="1">
      <c r="A981">
        <v>980</v>
      </c>
      <c r="B981" t="s">
        <v>603</v>
      </c>
      <c r="C981" t="s">
        <v>409</v>
      </c>
      <c r="D981" t="str">
        <f t="array" ref="D981">TEXT(Table26[[#This Row],[Date]],"MMMM")</f>
        <v>August</v>
      </c>
      <c r="E981">
        <v>500</v>
      </c>
      <c r="F981" t="s">
        <v>589</v>
      </c>
      <c r="G981" t="s">
        <v>1668</v>
      </c>
      <c r="H981" s="38">
        <v>46255</v>
      </c>
      <c r="I981" cm="1">
        <f t="array" ref="I981">IFERROR(INDEX('ALL STUDENTS'!$A:$A, MATCH(1, ('ALL STUDENTS'!$B:$B = B981) * ('ALL STUDENTS'!$C:$C = C981), 0)), "NOT FOUND")</f>
        <v>957</v>
      </c>
      <c r="J981" t="str">
        <f>IF(Table26[[#This Row],[Fee]]&gt;500,Table26[[#This Row],[Fee]],"")</f>
        <v/>
      </c>
    </row>
    <row r="982" spans="1:10" hidden="1">
      <c r="A982">
        <v>981</v>
      </c>
      <c r="B982" t="s">
        <v>604</v>
      </c>
      <c r="C982" t="s">
        <v>102</v>
      </c>
      <c r="D982" t="str">
        <f t="array" ref="D982">TEXT(Table26[[#This Row],[Date]],"MMMM")</f>
        <v>September</v>
      </c>
      <c r="E982">
        <v>500</v>
      </c>
      <c r="F982" t="s">
        <v>589</v>
      </c>
      <c r="G982" t="s">
        <v>1669</v>
      </c>
      <c r="H982" s="38">
        <v>46272</v>
      </c>
      <c r="I982" cm="1">
        <f t="array" ref="I982">IFERROR(INDEX('ALL STUDENTS'!$A:$A, MATCH(1, ('ALL STUDENTS'!$B:$B = B982) * ('ALL STUDENTS'!$C:$C = C982), 0)), "NOT FOUND")</f>
        <v>1608</v>
      </c>
      <c r="J982" t="str">
        <f>IF(Table26[[#This Row],[Fee]]&gt;500,Table26[[#This Row],[Fee]],"")</f>
        <v/>
      </c>
    </row>
    <row r="983" spans="1:10" hidden="1">
      <c r="A983">
        <v>982</v>
      </c>
      <c r="B983" t="s">
        <v>605</v>
      </c>
      <c r="C983" t="s">
        <v>386</v>
      </c>
      <c r="D983" t="str">
        <f t="array" ref="D983">TEXT(Table26[[#This Row],[Date]],"MMMM")</f>
        <v>September</v>
      </c>
      <c r="E983">
        <v>500</v>
      </c>
      <c r="F983" t="s">
        <v>589</v>
      </c>
      <c r="G983" t="s">
        <v>1670</v>
      </c>
      <c r="H983" s="38">
        <v>46272</v>
      </c>
      <c r="I983" cm="1">
        <f t="array" ref="I983">IFERROR(INDEX('ALL STUDENTS'!$A:$A, MATCH(1, ('ALL STUDENTS'!$B:$B = B983) * ('ALL STUDENTS'!$C:$C = C983), 0)), "NOT FOUND")</f>
        <v>904</v>
      </c>
      <c r="J983" t="str">
        <f>IF(Table26[[#This Row],[Fee]]&gt;500,Table26[[#This Row],[Fee]],"")</f>
        <v/>
      </c>
    </row>
    <row r="984" spans="1:10" hidden="1">
      <c r="A984">
        <v>983</v>
      </c>
      <c r="B984" t="s">
        <v>180</v>
      </c>
      <c r="C984" s="3" t="s">
        <v>175</v>
      </c>
      <c r="D984" t="str">
        <f t="array" ref="D984">TEXT(Table26[[#This Row],[Date]],"MMMM")</f>
        <v>September</v>
      </c>
      <c r="E984">
        <v>500</v>
      </c>
      <c r="F984" t="s">
        <v>589</v>
      </c>
      <c r="G984" t="s">
        <v>1671</v>
      </c>
      <c r="H984" s="38">
        <v>46272</v>
      </c>
      <c r="I984" cm="1">
        <f t="array" ref="I984">IFERROR(INDEX('ALL STUDENTS'!$A:$A, MATCH(1, ('ALL STUDENTS'!$B:$B = B984) * ('ALL STUDENTS'!$C:$C = C984), 0)), "NOT FOUND")</f>
        <v>1872</v>
      </c>
      <c r="J984" t="str">
        <f>IF(Table26[[#This Row],[Fee]]&gt;500,Table26[[#This Row],[Fee]],"")</f>
        <v/>
      </c>
    </row>
    <row r="985" spans="1:10" hidden="1">
      <c r="A985">
        <v>984</v>
      </c>
      <c r="B985" t="s">
        <v>606</v>
      </c>
      <c r="C985" t="s">
        <v>80</v>
      </c>
      <c r="D985" t="str">
        <f t="array" ref="D985">TEXT(Table26[[#This Row],[Date]],"MMMM")</f>
        <v>September</v>
      </c>
      <c r="E985">
        <v>500</v>
      </c>
      <c r="F985" t="s">
        <v>589</v>
      </c>
      <c r="G985" t="s">
        <v>1672</v>
      </c>
      <c r="H985" s="38">
        <v>46272</v>
      </c>
      <c r="I985" cm="1">
        <f t="array" ref="I985">IFERROR(INDEX('ALL STUDENTS'!$A:$A, MATCH(1, ('ALL STUDENTS'!$B:$B = B985) * ('ALL STUDENTS'!$C:$C = C985), 0)), "NOT FOUND")</f>
        <v>1553</v>
      </c>
      <c r="J985" t="str">
        <f>IF(Table26[[#This Row],[Fee]]&gt;500,Table26[[#This Row],[Fee]],"")</f>
        <v/>
      </c>
    </row>
    <row r="986" spans="1:10" hidden="1">
      <c r="A986">
        <v>985</v>
      </c>
      <c r="B986" t="s">
        <v>607</v>
      </c>
      <c r="C986" t="s">
        <v>340</v>
      </c>
      <c r="D986" t="str">
        <f t="array" ref="D986">TEXT(Table26[[#This Row],[Date]],"MMMM")</f>
        <v>September</v>
      </c>
      <c r="E986">
        <v>500</v>
      </c>
      <c r="F986" t="s">
        <v>589</v>
      </c>
      <c r="G986" t="s">
        <v>1673</v>
      </c>
      <c r="H986" s="38">
        <v>46272</v>
      </c>
      <c r="I986" cm="1">
        <f t="array" ref="I986">IFERROR(INDEX('ALL STUDENTS'!$A:$A, MATCH(1, ('ALL STUDENTS'!$B:$B = B986) * ('ALL STUDENTS'!$C:$C = C986), 0)), "NOT FOUND")</f>
        <v>2507</v>
      </c>
      <c r="J986" t="str">
        <f>IF(Table26[[#This Row],[Fee]]&gt;500,Table26[[#This Row],[Fee]],"")</f>
        <v/>
      </c>
    </row>
    <row r="987" spans="1:10" hidden="1">
      <c r="A987">
        <v>986</v>
      </c>
      <c r="B987" t="s">
        <v>608</v>
      </c>
      <c r="C987" t="s">
        <v>294</v>
      </c>
      <c r="D987" t="str">
        <f t="array" ref="D987">TEXT(Table26[[#This Row],[Date]],"MMMM")</f>
        <v>September</v>
      </c>
      <c r="E987">
        <v>500</v>
      </c>
      <c r="F987" t="s">
        <v>589</v>
      </c>
      <c r="G987" t="s">
        <v>1674</v>
      </c>
      <c r="H987" s="38">
        <v>46269</v>
      </c>
      <c r="I987" cm="1">
        <f t="array" ref="I987">IFERROR(INDEX('ALL STUDENTS'!$A:$A, MATCH(1, ('ALL STUDENTS'!$B:$B = B987) * ('ALL STUDENTS'!$C:$C = C987), 0)), "NOT FOUND")</f>
        <v>2274</v>
      </c>
      <c r="J987" t="str">
        <f>IF(Table26[[#This Row],[Fee]]&gt;500,Table26[[#This Row],[Fee]],"")</f>
        <v/>
      </c>
    </row>
    <row r="988" spans="1:10" hidden="1">
      <c r="A988">
        <v>987</v>
      </c>
      <c r="B988" t="s">
        <v>608</v>
      </c>
      <c r="C988" t="s">
        <v>294</v>
      </c>
      <c r="D988" t="str">
        <f t="array" ref="D988">TEXT(Table26[[#This Row],[Date]],"MMMM")</f>
        <v>September</v>
      </c>
      <c r="E988">
        <v>500</v>
      </c>
      <c r="F988" t="s">
        <v>589</v>
      </c>
      <c r="G988" t="s">
        <v>1675</v>
      </c>
      <c r="H988" s="38">
        <v>46269</v>
      </c>
      <c r="I988" cm="1">
        <f t="array" ref="I988">IFERROR(INDEX('ALL STUDENTS'!$A:$A, MATCH(1, ('ALL STUDENTS'!$B:$B = B988) * ('ALL STUDENTS'!$C:$C = C988), 0)), "NOT FOUND")</f>
        <v>2274</v>
      </c>
      <c r="J988" t="str">
        <f>IF(Table26[[#This Row],[Fee]]&gt;500,Table26[[#This Row],[Fee]],"")</f>
        <v/>
      </c>
    </row>
    <row r="989" spans="1:10" hidden="1">
      <c r="A989">
        <v>988</v>
      </c>
      <c r="B989" t="s">
        <v>608</v>
      </c>
      <c r="C989" t="s">
        <v>294</v>
      </c>
      <c r="D989" t="str">
        <f t="array" ref="D989">TEXT(Table26[[#This Row],[Date]],"MMMM")</f>
        <v>September</v>
      </c>
      <c r="E989">
        <v>500</v>
      </c>
      <c r="F989" t="s">
        <v>589</v>
      </c>
      <c r="G989" t="s">
        <v>1676</v>
      </c>
      <c r="H989" s="38">
        <v>46269</v>
      </c>
      <c r="I989" cm="1">
        <f t="array" ref="I989">IFERROR(INDEX('ALL STUDENTS'!$A:$A, MATCH(1, ('ALL STUDENTS'!$B:$B = B989) * ('ALL STUDENTS'!$C:$C = C989), 0)), "NOT FOUND")</f>
        <v>2274</v>
      </c>
      <c r="J989" t="str">
        <f>IF(Table26[[#This Row],[Fee]]&gt;500,Table26[[#This Row],[Fee]],"")</f>
        <v/>
      </c>
    </row>
    <row r="990" spans="1:10" hidden="1">
      <c r="A990">
        <v>989</v>
      </c>
      <c r="B990" t="s">
        <v>609</v>
      </c>
      <c r="C990" t="s">
        <v>159</v>
      </c>
      <c r="D990" t="str">
        <f t="array" ref="D990">TEXT(Table26[[#This Row],[Date]],"MMMM")</f>
        <v>September</v>
      </c>
      <c r="E990">
        <v>500</v>
      </c>
      <c r="F990" t="s">
        <v>589</v>
      </c>
      <c r="G990" t="s">
        <v>1677</v>
      </c>
      <c r="H990" s="38">
        <v>46268</v>
      </c>
      <c r="I990" cm="1">
        <f t="array" ref="I990">IFERROR(INDEX('ALL STUDENTS'!$A:$A, MATCH(1, ('ALL STUDENTS'!$B:$B = B990) * ('ALL STUDENTS'!$C:$C = C990), 0)), "NOT FOUND")</f>
        <v>2644</v>
      </c>
      <c r="J990" t="str">
        <f>IF(Table26[[#This Row],[Fee]]&gt;500,Table26[[#This Row],[Fee]],"")</f>
        <v/>
      </c>
    </row>
    <row r="991" spans="1:10" hidden="1">
      <c r="A991">
        <v>990</v>
      </c>
      <c r="B991" t="s">
        <v>609</v>
      </c>
      <c r="C991" t="s">
        <v>159</v>
      </c>
      <c r="D991" t="str">
        <f t="array" ref="D991">TEXT(Table26[[#This Row],[Date]],"MMMM")</f>
        <v>September</v>
      </c>
      <c r="E991">
        <v>500</v>
      </c>
      <c r="F991" t="s">
        <v>589</v>
      </c>
      <c r="G991" t="s">
        <v>1678</v>
      </c>
      <c r="H991" s="38">
        <v>46268</v>
      </c>
      <c r="I991" cm="1">
        <f t="array" ref="I991">IFERROR(INDEX('ALL STUDENTS'!$A:$A, MATCH(1, ('ALL STUDENTS'!$B:$B = B991) * ('ALL STUDENTS'!$C:$C = C991), 0)), "NOT FOUND")</f>
        <v>2644</v>
      </c>
      <c r="J991" t="str">
        <f>IF(Table26[[#This Row],[Fee]]&gt;500,Table26[[#This Row],[Fee]],"")</f>
        <v/>
      </c>
    </row>
    <row r="992" spans="1:10" hidden="1">
      <c r="A992">
        <v>991</v>
      </c>
      <c r="B992" t="s">
        <v>609</v>
      </c>
      <c r="C992" t="s">
        <v>159</v>
      </c>
      <c r="D992" t="str">
        <f t="array" ref="D992">TEXT(Table26[[#This Row],[Date]],"MMMM")</f>
        <v>September</v>
      </c>
      <c r="E992">
        <v>500</v>
      </c>
      <c r="F992" t="s">
        <v>589</v>
      </c>
      <c r="G992" t="s">
        <v>1679</v>
      </c>
      <c r="H992" s="38">
        <v>46268</v>
      </c>
      <c r="I992" cm="1">
        <f t="array" ref="I992">IFERROR(INDEX('ALL STUDENTS'!$A:$A, MATCH(1, ('ALL STUDENTS'!$B:$B = B992) * ('ALL STUDENTS'!$C:$C = C992), 0)), "NOT FOUND")</f>
        <v>2644</v>
      </c>
      <c r="J992" t="str">
        <f>IF(Table26[[#This Row],[Fee]]&gt;500,Table26[[#This Row],[Fee]],"")</f>
        <v/>
      </c>
    </row>
    <row r="993" spans="1:10" hidden="1">
      <c r="A993">
        <v>992</v>
      </c>
      <c r="B993" t="s">
        <v>610</v>
      </c>
      <c r="C993" t="s">
        <v>119</v>
      </c>
      <c r="D993" t="str">
        <f t="array" ref="D993">TEXT(Table26[[#This Row],[Date]],"MMMM")</f>
        <v>September</v>
      </c>
      <c r="E993">
        <v>500</v>
      </c>
      <c r="F993" t="s">
        <v>589</v>
      </c>
      <c r="G993" t="s">
        <v>1680</v>
      </c>
      <c r="H993" s="38">
        <v>46271</v>
      </c>
      <c r="I993" cm="1">
        <f t="array" ref="I993">IFERROR(INDEX('ALL STUDENTS'!$A:$A, MATCH(1, ('ALL STUDENTS'!$B:$B = B993) * ('ALL STUDENTS'!$C:$C = C993), 0)), "NOT FOUND")</f>
        <v>1697</v>
      </c>
      <c r="J993" t="str">
        <f>IF(Table26[[#This Row],[Fee]]&gt;500,Table26[[#This Row],[Fee]],"")</f>
        <v/>
      </c>
    </row>
    <row r="994" spans="1:10" hidden="1">
      <c r="A994">
        <v>993</v>
      </c>
      <c r="B994" t="s">
        <v>610</v>
      </c>
      <c r="C994" t="s">
        <v>119</v>
      </c>
      <c r="D994" t="str">
        <f t="array" ref="D994">TEXT(Table26[[#This Row],[Date]],"MMMM")</f>
        <v>September</v>
      </c>
      <c r="E994">
        <v>500</v>
      </c>
      <c r="F994" t="s">
        <v>589</v>
      </c>
      <c r="G994" t="s">
        <v>1681</v>
      </c>
      <c r="H994" s="38">
        <v>46271</v>
      </c>
      <c r="I994" cm="1">
        <f t="array" ref="I994">IFERROR(INDEX('ALL STUDENTS'!$A:$A, MATCH(1, ('ALL STUDENTS'!$B:$B = B994) * ('ALL STUDENTS'!$C:$C = C994), 0)), "NOT FOUND")</f>
        <v>1697</v>
      </c>
      <c r="J994" t="str">
        <f>IF(Table26[[#This Row],[Fee]]&gt;500,Table26[[#This Row],[Fee]],"")</f>
        <v/>
      </c>
    </row>
    <row r="995" spans="1:10" hidden="1">
      <c r="A995">
        <v>994</v>
      </c>
      <c r="B995" t="s">
        <v>610</v>
      </c>
      <c r="C995" t="s">
        <v>119</v>
      </c>
      <c r="D995" t="str">
        <f t="array" ref="D995">TEXT(Table26[[#This Row],[Date]],"MMMM")</f>
        <v>September</v>
      </c>
      <c r="E995">
        <v>500</v>
      </c>
      <c r="F995" t="s">
        <v>589</v>
      </c>
      <c r="G995" t="s">
        <v>1682</v>
      </c>
      <c r="H995" s="38">
        <v>46271</v>
      </c>
      <c r="I995" cm="1">
        <f t="array" ref="I995">IFERROR(INDEX('ALL STUDENTS'!$A:$A, MATCH(1, ('ALL STUDENTS'!$B:$B = B995) * ('ALL STUDENTS'!$C:$C = C995), 0)), "NOT FOUND")</f>
        <v>1697</v>
      </c>
      <c r="J995" t="str">
        <f>IF(Table26[[#This Row],[Fee]]&gt;500,Table26[[#This Row],[Fee]],"")</f>
        <v/>
      </c>
    </row>
    <row r="996" spans="1:10" hidden="1">
      <c r="A996">
        <v>995</v>
      </c>
      <c r="B996" t="s">
        <v>611</v>
      </c>
      <c r="C996" t="s">
        <v>488</v>
      </c>
      <c r="D996" t="str">
        <f t="array" ref="D996">TEXT(Table26[[#This Row],[Date]],"MMMM")</f>
        <v>September</v>
      </c>
      <c r="E996">
        <v>500</v>
      </c>
      <c r="F996" t="s">
        <v>589</v>
      </c>
      <c r="G996" t="s">
        <v>1683</v>
      </c>
      <c r="H996" s="38">
        <v>46271</v>
      </c>
      <c r="I996" cm="1">
        <f t="array" ref="I996">IFERROR(INDEX('ALL STUDENTS'!$A:$A, MATCH(1, ('ALL STUDENTS'!$B:$B = B996) * ('ALL STUDENTS'!$C:$C = C996), 0)), "NOT FOUND")</f>
        <v>343</v>
      </c>
      <c r="J996" t="str">
        <f>IF(Table26[[#This Row],[Fee]]&gt;500,Table26[[#This Row],[Fee]],"")</f>
        <v/>
      </c>
    </row>
    <row r="997" spans="1:10" hidden="1">
      <c r="A997">
        <v>996</v>
      </c>
      <c r="B997" t="s">
        <v>611</v>
      </c>
      <c r="C997" t="s">
        <v>488</v>
      </c>
      <c r="D997" t="str">
        <f t="array" ref="D997">TEXT(Table26[[#This Row],[Date]],"MMMM")</f>
        <v>September</v>
      </c>
      <c r="E997">
        <v>500</v>
      </c>
      <c r="F997" t="s">
        <v>589</v>
      </c>
      <c r="G997" t="s">
        <v>1684</v>
      </c>
      <c r="H997" s="38">
        <v>46271</v>
      </c>
      <c r="I997" cm="1">
        <f t="array" ref="I997">IFERROR(INDEX('ALL STUDENTS'!$A:$A, MATCH(1, ('ALL STUDENTS'!$B:$B = B997) * ('ALL STUDENTS'!$C:$C = C997), 0)), "NOT FOUND")</f>
        <v>343</v>
      </c>
      <c r="J997" t="str">
        <f>IF(Table26[[#This Row],[Fee]]&gt;500,Table26[[#This Row],[Fee]],"")</f>
        <v/>
      </c>
    </row>
    <row r="998" spans="1:10" hidden="1">
      <c r="A998">
        <v>997</v>
      </c>
      <c r="B998" t="s">
        <v>611</v>
      </c>
      <c r="C998" t="s">
        <v>488</v>
      </c>
      <c r="D998" t="str">
        <f t="array" ref="D998">TEXT(Table26[[#This Row],[Date]],"MMMM")</f>
        <v>September</v>
      </c>
      <c r="E998">
        <v>500</v>
      </c>
      <c r="F998" t="s">
        <v>589</v>
      </c>
      <c r="G998" t="s">
        <v>1685</v>
      </c>
      <c r="H998" s="38">
        <v>46271</v>
      </c>
      <c r="I998" cm="1">
        <f t="array" ref="I998">IFERROR(INDEX('ALL STUDENTS'!$A:$A, MATCH(1, ('ALL STUDENTS'!$B:$B = B998) * ('ALL STUDENTS'!$C:$C = C998), 0)), "NOT FOUND")</f>
        <v>343</v>
      </c>
      <c r="J998" t="str">
        <f>IF(Table26[[#This Row],[Fee]]&gt;500,Table26[[#This Row],[Fee]],"")</f>
        <v/>
      </c>
    </row>
    <row r="999" spans="1:10" hidden="1">
      <c r="A999">
        <v>998</v>
      </c>
      <c r="B999" t="s">
        <v>612</v>
      </c>
      <c r="C999" t="s">
        <v>138</v>
      </c>
      <c r="D999" t="str">
        <f t="array" ref="D999">TEXT(Table26[[#This Row],[Date]],"MMMM")</f>
        <v>September</v>
      </c>
      <c r="E999">
        <v>500</v>
      </c>
      <c r="F999" t="s">
        <v>589</v>
      </c>
      <c r="G999" t="s">
        <v>1686</v>
      </c>
      <c r="H999" s="38">
        <v>46272</v>
      </c>
      <c r="I999" cm="1">
        <f t="array" ref="I999">IFERROR(INDEX('ALL STUDENTS'!$A:$A, MATCH(1, ('ALL STUDENTS'!$B:$B = B999) * ('ALL STUDENTS'!$C:$C = C999), 0)), "NOT FOUND")</f>
        <v>1759</v>
      </c>
      <c r="J999" t="str">
        <f>IF(Table26[[#This Row],[Fee]]&gt;500,Table26[[#This Row],[Fee]],"")</f>
        <v/>
      </c>
    </row>
    <row r="1000" spans="1:10" hidden="1">
      <c r="A1000">
        <v>999</v>
      </c>
      <c r="B1000" t="s">
        <v>612</v>
      </c>
      <c r="C1000" t="s">
        <v>138</v>
      </c>
      <c r="D1000" t="str">
        <f t="array" ref="D1000">TEXT(Table26[[#This Row],[Date]],"MMMM")</f>
        <v>September</v>
      </c>
      <c r="E1000">
        <v>500</v>
      </c>
      <c r="F1000" t="s">
        <v>589</v>
      </c>
      <c r="G1000" t="s">
        <v>1687</v>
      </c>
      <c r="H1000" s="38">
        <v>46272</v>
      </c>
      <c r="I1000" cm="1">
        <f t="array" ref="I1000">IFERROR(INDEX('ALL STUDENTS'!$A:$A, MATCH(1, ('ALL STUDENTS'!$B:$B = B1000) * ('ALL STUDENTS'!$C:$C = C1000), 0)), "NOT FOUND")</f>
        <v>1759</v>
      </c>
      <c r="J1000" t="str">
        <f>IF(Table26[[#This Row],[Fee]]&gt;500,Table26[[#This Row],[Fee]],"")</f>
        <v/>
      </c>
    </row>
    <row r="1001" spans="1:10" hidden="1">
      <c r="A1001">
        <v>1000</v>
      </c>
      <c r="B1001" t="s">
        <v>612</v>
      </c>
      <c r="C1001" t="s">
        <v>138</v>
      </c>
      <c r="D1001" t="str">
        <f t="array" ref="D1001">TEXT(Table26[[#This Row],[Date]],"MMMM")</f>
        <v>September</v>
      </c>
      <c r="E1001">
        <v>500</v>
      </c>
      <c r="F1001" t="s">
        <v>589</v>
      </c>
      <c r="G1001" t="s">
        <v>1688</v>
      </c>
      <c r="H1001" s="38">
        <v>46272</v>
      </c>
      <c r="I1001" cm="1">
        <f t="array" ref="I1001">IFERROR(INDEX('ALL STUDENTS'!$A:$A, MATCH(1, ('ALL STUDENTS'!$B:$B = B1001) * ('ALL STUDENTS'!$C:$C = C1001), 0)), "NOT FOUND")</f>
        <v>1759</v>
      </c>
      <c r="J1001" t="str">
        <f>IF(Table26[[#This Row],[Fee]]&gt;500,Table26[[#This Row],[Fee]],"")</f>
        <v/>
      </c>
    </row>
    <row r="1002" spans="1:10" hidden="1">
      <c r="A1002">
        <v>1001</v>
      </c>
      <c r="B1002" t="s">
        <v>613</v>
      </c>
      <c r="C1002" t="s">
        <v>252</v>
      </c>
      <c r="D1002" t="str">
        <f t="array" ref="D1002">TEXT(Table26[[#This Row],[Date]],"MMMM")</f>
        <v>August</v>
      </c>
      <c r="E1002">
        <v>1500</v>
      </c>
      <c r="F1002" t="s">
        <v>589</v>
      </c>
      <c r="G1002" t="s">
        <v>1689</v>
      </c>
      <c r="H1002" s="38">
        <v>46256</v>
      </c>
      <c r="I1002" cm="1">
        <f t="array" ref="I1002">IFERROR(INDEX('ALL STUDENTS'!$A:$A, MATCH(1, ('ALL STUDENTS'!$B:$B = B1002) * ('ALL STUDENTS'!$C:$C = C1002), 0)), "NOT FOUND")</f>
        <v>2119</v>
      </c>
      <c r="J1002">
        <f>IF(Table26[[#This Row],[Fee]]&gt;500,Table26[[#This Row],[Fee]],"")</f>
        <v>1500</v>
      </c>
    </row>
    <row r="1003" spans="1:10" hidden="1">
      <c r="A1003">
        <v>1002</v>
      </c>
      <c r="B1003" t="s">
        <v>613</v>
      </c>
      <c r="C1003" t="s">
        <v>252</v>
      </c>
      <c r="D1003" t="str">
        <f t="array" ref="D1003">TEXT(Table26[[#This Row],[Date]],"MMMM")</f>
        <v>August</v>
      </c>
      <c r="E1003">
        <v>1500</v>
      </c>
      <c r="F1003" t="s">
        <v>589</v>
      </c>
      <c r="G1003" t="s">
        <v>1690</v>
      </c>
      <c r="H1003" s="38">
        <v>46256</v>
      </c>
      <c r="I1003" cm="1">
        <f t="array" ref="I1003">IFERROR(INDEX('ALL STUDENTS'!$A:$A, MATCH(1, ('ALL STUDENTS'!$B:$B = B1003) * ('ALL STUDENTS'!$C:$C = C1003), 0)), "NOT FOUND")</f>
        <v>2119</v>
      </c>
      <c r="J1003">
        <f>IF(Table26[[#This Row],[Fee]]&gt;500,Table26[[#This Row],[Fee]],"")</f>
        <v>1500</v>
      </c>
    </row>
    <row r="1004" spans="1:10" hidden="1">
      <c r="A1004">
        <v>1003</v>
      </c>
      <c r="B1004" t="s">
        <v>613</v>
      </c>
      <c r="C1004" t="s">
        <v>252</v>
      </c>
      <c r="D1004" t="str">
        <f t="array" ref="D1004">TEXT(Table26[[#This Row],[Date]],"MMMM")</f>
        <v>August</v>
      </c>
      <c r="E1004">
        <v>1500</v>
      </c>
      <c r="F1004" t="s">
        <v>589</v>
      </c>
      <c r="G1004" t="s">
        <v>1691</v>
      </c>
      <c r="H1004" s="38">
        <v>46256</v>
      </c>
      <c r="I1004" cm="1">
        <f t="array" ref="I1004">IFERROR(INDEX('ALL STUDENTS'!$A:$A, MATCH(1, ('ALL STUDENTS'!$B:$B = B1004) * ('ALL STUDENTS'!$C:$C = C1004), 0)), "NOT FOUND")</f>
        <v>2119</v>
      </c>
      <c r="J1004">
        <f>IF(Table26[[#This Row],[Fee]]&gt;500,Table26[[#This Row],[Fee]],"")</f>
        <v>1500</v>
      </c>
    </row>
    <row r="1005" spans="1:10" hidden="1">
      <c r="A1005">
        <v>1004</v>
      </c>
      <c r="B1005" t="s">
        <v>125</v>
      </c>
      <c r="C1005" t="s">
        <v>119</v>
      </c>
      <c r="D1005" t="str">
        <f t="array" ref="D1005">TEXT(Table26[[#This Row],[Date]],"MMMM")</f>
        <v>September</v>
      </c>
      <c r="E1005">
        <v>500</v>
      </c>
      <c r="F1005" t="s">
        <v>589</v>
      </c>
      <c r="G1005" t="s">
        <v>1692</v>
      </c>
      <c r="H1005" s="38">
        <v>46272</v>
      </c>
      <c r="I1005" cm="1">
        <f t="array" ref="I1005">IFERROR(INDEX('ALL STUDENTS'!$A:$A, MATCH(1, ('ALL STUDENTS'!$B:$B = B1005) * ('ALL STUDENTS'!$C:$C = C1005), 0)), "NOT FOUND")</f>
        <v>1689</v>
      </c>
      <c r="J1005" t="str">
        <f>IF(Table26[[#This Row],[Fee]]&gt;500,Table26[[#This Row],[Fee]],"")</f>
        <v/>
      </c>
    </row>
    <row r="1006" spans="1:10" hidden="1">
      <c r="A1006">
        <v>1005</v>
      </c>
      <c r="B1006" t="s">
        <v>614</v>
      </c>
      <c r="C1006" t="s">
        <v>62</v>
      </c>
      <c r="D1006" t="str">
        <f t="array" ref="D1006">TEXT(Table26[[#This Row],[Date]],"MMMM")</f>
        <v>September</v>
      </c>
      <c r="E1006">
        <v>500</v>
      </c>
      <c r="F1006" t="s">
        <v>589</v>
      </c>
      <c r="G1006" t="s">
        <v>1693</v>
      </c>
      <c r="H1006" s="38">
        <v>46272</v>
      </c>
      <c r="I1006" cm="1">
        <f t="array" ref="I1006">IFERROR(INDEX('ALL STUDENTS'!$A:$A, MATCH(1, ('ALL STUDENTS'!$B:$B = B1006) * ('ALL STUDENTS'!$C:$C = C1006), 0)), "NOT FOUND")</f>
        <v>3166</v>
      </c>
      <c r="J1006" t="str">
        <f>IF(Table26[[#This Row],[Fee]]&gt;500,Table26[[#This Row],[Fee]],"")</f>
        <v/>
      </c>
    </row>
    <row r="1007" spans="1:10" hidden="1">
      <c r="A1007">
        <v>1006</v>
      </c>
      <c r="B1007" t="s">
        <v>615</v>
      </c>
      <c r="C1007" t="s">
        <v>324</v>
      </c>
      <c r="D1007" t="str">
        <f t="array" ref="D1007">TEXT(Table26[[#This Row],[Date]],"MMMM")</f>
        <v>August</v>
      </c>
      <c r="E1007">
        <v>500</v>
      </c>
      <c r="F1007" t="s">
        <v>589</v>
      </c>
      <c r="G1007" t="s">
        <v>1694</v>
      </c>
      <c r="H1007" s="38">
        <v>46238</v>
      </c>
      <c r="I1007" cm="1">
        <f t="array" ref="I1007">IFERROR(INDEX('ALL STUDENTS'!$A:$A, MATCH(1, ('ALL STUDENTS'!$B:$B = B1007) * ('ALL STUDENTS'!$C:$C = C1007), 0)), "NOT FOUND")</f>
        <v>2446</v>
      </c>
      <c r="J1007" t="str">
        <f>IF(Table26[[#This Row],[Fee]]&gt;500,Table26[[#This Row],[Fee]],"")</f>
        <v/>
      </c>
    </row>
    <row r="1008" spans="1:10" hidden="1">
      <c r="A1008">
        <v>1007</v>
      </c>
      <c r="B1008" t="s">
        <v>616</v>
      </c>
      <c r="C1008" t="s">
        <v>159</v>
      </c>
      <c r="D1008" t="str">
        <f t="array" ref="D1008">TEXT(Table26[[#This Row],[Date]],"MMMM")</f>
        <v>August</v>
      </c>
      <c r="E1008">
        <v>500</v>
      </c>
      <c r="F1008" t="s">
        <v>589</v>
      </c>
      <c r="G1008" t="s">
        <v>1695</v>
      </c>
      <c r="H1008" s="38">
        <v>46238</v>
      </c>
      <c r="I1008" cm="1">
        <f t="array" ref="I1008">IFERROR(INDEX('ALL STUDENTS'!$A:$A, MATCH(1, ('ALL STUDENTS'!$B:$B = B1008) * ('ALL STUDENTS'!$C:$C = C1008), 0)), "NOT FOUND")</f>
        <v>2645</v>
      </c>
      <c r="J1008" t="str">
        <f>IF(Table26[[#This Row],[Fee]]&gt;500,Table26[[#This Row],[Fee]],"")</f>
        <v/>
      </c>
    </row>
    <row r="1009" spans="1:10" hidden="1">
      <c r="A1009">
        <v>1008</v>
      </c>
      <c r="B1009" t="s">
        <v>617</v>
      </c>
      <c r="C1009" t="s">
        <v>299</v>
      </c>
      <c r="D1009" t="str">
        <f t="array" ref="D1009">TEXT(Table26[[#This Row],[Date]],"MMMM")</f>
        <v>September</v>
      </c>
      <c r="E1009">
        <v>500</v>
      </c>
      <c r="F1009" t="s">
        <v>589</v>
      </c>
      <c r="G1009" t="s">
        <v>1696</v>
      </c>
      <c r="H1009" s="38">
        <v>46270</v>
      </c>
      <c r="I1009" cm="1">
        <f t="array" ref="I1009">IFERROR(INDEX('ALL STUDENTS'!$A:$A, MATCH(1, ('ALL STUDENTS'!$B:$B = B1009) * ('ALL STUDENTS'!$C:$C = C1009), 0)), "NOT FOUND")</f>
        <v>2324</v>
      </c>
      <c r="J1009" t="str">
        <f>IF(Table26[[#This Row],[Fee]]&gt;500,Table26[[#This Row],[Fee]],"")</f>
        <v/>
      </c>
    </row>
    <row r="1010" spans="1:10" hidden="1">
      <c r="A1010">
        <v>1009</v>
      </c>
      <c r="B1010" t="s">
        <v>618</v>
      </c>
      <c r="C1010" t="s">
        <v>574</v>
      </c>
      <c r="D1010" t="str">
        <f t="array" ref="D1010">TEXT(Table26[[#This Row],[Date]],"MMMM")</f>
        <v>August</v>
      </c>
      <c r="E1010">
        <v>500</v>
      </c>
      <c r="F1010" t="s">
        <v>589</v>
      </c>
      <c r="G1010" t="s">
        <v>1697</v>
      </c>
      <c r="H1010" s="38">
        <v>46239</v>
      </c>
      <c r="I1010" cm="1">
        <f t="array" ref="I1010">IFERROR(INDEX('ALL STUDENTS'!$A:$A, MATCH(1, ('ALL STUDENTS'!$B:$B = B1010) * ('ALL STUDENTS'!$C:$C = C1010), 0)), "NOT FOUND")</f>
        <v>1342</v>
      </c>
      <c r="J1010" t="str">
        <f>IF(Table26[[#This Row],[Fee]]&gt;500,Table26[[#This Row],[Fee]],"")</f>
        <v/>
      </c>
    </row>
    <row r="1011" spans="1:10" hidden="1">
      <c r="A1011">
        <v>1010</v>
      </c>
      <c r="B1011" t="s">
        <v>618</v>
      </c>
      <c r="C1011" t="s">
        <v>574</v>
      </c>
      <c r="D1011" t="str">
        <f t="array" ref="D1011">TEXT(Table26[[#This Row],[Date]],"MMMM")</f>
        <v>September</v>
      </c>
      <c r="E1011">
        <v>500</v>
      </c>
      <c r="F1011" t="s">
        <v>589</v>
      </c>
      <c r="G1011" t="s">
        <v>1698</v>
      </c>
      <c r="H1011" s="38">
        <v>46270</v>
      </c>
      <c r="I1011" cm="1">
        <f t="array" ref="I1011">IFERROR(INDEX('ALL STUDENTS'!$A:$A, MATCH(1, ('ALL STUDENTS'!$B:$B = B1011) * ('ALL STUDENTS'!$C:$C = C1011), 0)), "NOT FOUND")</f>
        <v>1342</v>
      </c>
      <c r="J1011" t="str">
        <f>IF(Table26[[#This Row],[Fee]]&gt;500,Table26[[#This Row],[Fee]],"")</f>
        <v/>
      </c>
    </row>
    <row r="1012" spans="1:10" hidden="1">
      <c r="A1012">
        <v>1011</v>
      </c>
      <c r="B1012" t="s">
        <v>471</v>
      </c>
      <c r="C1012" t="s">
        <v>467</v>
      </c>
      <c r="D1012" t="str">
        <f t="array" ref="D1012">TEXT(Table26[[#This Row],[Date]],"MMMM")</f>
        <v>September</v>
      </c>
      <c r="E1012">
        <v>500</v>
      </c>
      <c r="F1012" t="s">
        <v>589</v>
      </c>
      <c r="G1012" t="s">
        <v>1699</v>
      </c>
      <c r="H1012" s="38">
        <v>46274</v>
      </c>
      <c r="I1012" cm="1">
        <f t="array" ref="I1012">IFERROR(INDEX('ALL STUDENTS'!$A:$A, MATCH(1, ('ALL STUDENTS'!$B:$B = B1012) * ('ALL STUDENTS'!$C:$C = C1012), 0)), "NOT FOUND")</f>
        <v>245</v>
      </c>
      <c r="J1012" t="str">
        <f>IF(Table26[[#This Row],[Fee]]&gt;500,Table26[[#This Row],[Fee]],"")</f>
        <v/>
      </c>
    </row>
    <row r="1013" spans="1:10" hidden="1">
      <c r="A1013">
        <v>1012</v>
      </c>
      <c r="B1013" t="s">
        <v>237</v>
      </c>
      <c r="C1013" t="s">
        <v>303</v>
      </c>
      <c r="D1013" t="str">
        <f t="array" ref="D1013">TEXT(Table26[[#This Row],[Date]],"MMMM")</f>
        <v>August</v>
      </c>
      <c r="E1013">
        <v>500</v>
      </c>
      <c r="F1013" t="s">
        <v>589</v>
      </c>
      <c r="G1013" t="s">
        <v>1700</v>
      </c>
      <c r="H1013" s="38">
        <v>46240</v>
      </c>
      <c r="I1013" cm="1">
        <f t="array" ref="I1013">IFERROR(INDEX('ALL STUDENTS'!$A:$A, MATCH(1, ('ALL STUDENTS'!$B:$B = B1013) * ('ALL STUDENTS'!$C:$C = C1013), 0)), "NOT FOUND")</f>
        <v>2352</v>
      </c>
      <c r="J1013" t="str">
        <f>IF(Table26[[#This Row],[Fee]]&gt;500,Table26[[#This Row],[Fee]],"")</f>
        <v/>
      </c>
    </row>
    <row r="1014" spans="1:10">
      <c r="A1014">
        <v>1013</v>
      </c>
      <c r="B1014" t="s">
        <v>237</v>
      </c>
      <c r="C1014" t="s">
        <v>232</v>
      </c>
      <c r="D1014" t="str">
        <f t="array" ref="D1014">TEXT(Table26[[#This Row],[Date]],"MMMM")</f>
        <v>September</v>
      </c>
      <c r="E1014">
        <v>500</v>
      </c>
      <c r="F1014" t="s">
        <v>589</v>
      </c>
      <c r="G1014" t="s">
        <v>1701</v>
      </c>
      <c r="H1014" s="38">
        <v>46274</v>
      </c>
      <c r="I1014" t="str" cm="1">
        <f t="array" ref="I1014">IFERROR(INDEX('ALL STUDENTS'!$A:$A, MATCH(1, ('ALL STUDENTS'!$B:$B = B1014) * ('ALL STUDENTS'!$C:$C = C1014), 0)), "NOT FOUND")</f>
        <v>NOT FOUND</v>
      </c>
      <c r="J1014" t="str">
        <f>IF(Table26[[#This Row],[Fee]]&gt;500,Table26[[#This Row],[Fee]],"")</f>
        <v/>
      </c>
    </row>
    <row r="1015" spans="1:10" hidden="1">
      <c r="A1015">
        <v>1014</v>
      </c>
      <c r="B1015" t="s">
        <v>82</v>
      </c>
      <c r="C1015" t="s">
        <v>80</v>
      </c>
      <c r="D1015" t="str">
        <f t="array" ref="D1015">TEXT(Table26[[#This Row],[Date]],"MMMM")</f>
        <v>September</v>
      </c>
      <c r="E1015">
        <v>500</v>
      </c>
      <c r="F1015" t="s">
        <v>589</v>
      </c>
      <c r="G1015" t="s">
        <v>1702</v>
      </c>
      <c r="H1015" s="38">
        <v>46274</v>
      </c>
      <c r="I1015" cm="1">
        <f t="array" ref="I1015">IFERROR(INDEX('ALL STUDENTS'!$A:$A, MATCH(1, ('ALL STUDENTS'!$B:$B = B1015) * ('ALL STUDENTS'!$C:$C = C1015), 0)), "NOT FOUND")</f>
        <v>1550</v>
      </c>
      <c r="J1015" t="str">
        <f>IF(Table26[[#This Row],[Fee]]&gt;500,Table26[[#This Row],[Fee]],"")</f>
        <v/>
      </c>
    </row>
    <row r="1016" spans="1:10" hidden="1">
      <c r="A1016">
        <v>1015</v>
      </c>
      <c r="B1016" t="s">
        <v>362</v>
      </c>
      <c r="C1016" t="s">
        <v>356</v>
      </c>
      <c r="D1016" t="str">
        <f t="array" ref="D1016">TEXT(Table26[[#This Row],[Date]],"MMMM")</f>
        <v>September</v>
      </c>
      <c r="E1016">
        <v>500</v>
      </c>
      <c r="F1016" t="s">
        <v>589</v>
      </c>
      <c r="G1016" t="s">
        <v>1703</v>
      </c>
      <c r="H1016" s="38">
        <v>46274</v>
      </c>
      <c r="I1016" cm="1">
        <f t="array" ref="I1016">IFERROR(INDEX('ALL STUDENTS'!$A:$A, MATCH(1, ('ALL STUDENTS'!$B:$B = B1016) * ('ALL STUDENTS'!$C:$C = C1016), 0)), "NOT FOUND")</f>
        <v>781</v>
      </c>
      <c r="J1016" t="str">
        <f>IF(Table26[[#This Row],[Fee]]&gt;500,Table26[[#This Row],[Fee]],"")</f>
        <v/>
      </c>
    </row>
    <row r="1017" spans="1:10" hidden="1">
      <c r="A1017">
        <v>1016</v>
      </c>
      <c r="B1017" t="s">
        <v>619</v>
      </c>
      <c r="C1017" t="s">
        <v>211</v>
      </c>
      <c r="D1017" t="str">
        <f t="array" ref="D1017">TEXT(Table26[[#This Row],[Date]],"MMMM")</f>
        <v>September</v>
      </c>
      <c r="E1017">
        <v>500</v>
      </c>
      <c r="F1017" t="s">
        <v>589</v>
      </c>
      <c r="G1017" t="s">
        <v>1704</v>
      </c>
      <c r="H1017" s="38">
        <v>46274</v>
      </c>
      <c r="I1017" cm="1">
        <f t="array" ref="I1017">IFERROR(INDEX('ALL STUDENTS'!$A:$A, MATCH(1, ('ALL STUDENTS'!$B:$B = B1017) * ('ALL STUDENTS'!$C:$C = C1017), 0)), "NOT FOUND")</f>
        <v>1997</v>
      </c>
      <c r="J1017" t="str">
        <f>IF(Table26[[#This Row],[Fee]]&gt;500,Table26[[#This Row],[Fee]],"")</f>
        <v/>
      </c>
    </row>
    <row r="1018" spans="1:10" hidden="1">
      <c r="A1018">
        <v>1017</v>
      </c>
      <c r="B1018" t="s">
        <v>619</v>
      </c>
      <c r="C1018" t="s">
        <v>211</v>
      </c>
      <c r="D1018" t="str">
        <f t="array" ref="D1018">TEXT(Table26[[#This Row],[Date]],"MMMM")</f>
        <v>September</v>
      </c>
      <c r="E1018">
        <v>500</v>
      </c>
      <c r="F1018" t="s">
        <v>589</v>
      </c>
      <c r="G1018" t="s">
        <v>1705</v>
      </c>
      <c r="H1018" s="38">
        <v>46274</v>
      </c>
      <c r="I1018" cm="1">
        <f t="array" ref="I1018">IFERROR(INDEX('ALL STUDENTS'!$A:$A, MATCH(1, ('ALL STUDENTS'!$B:$B = B1018) * ('ALL STUDENTS'!$C:$C = C1018), 0)), "NOT FOUND")</f>
        <v>1997</v>
      </c>
      <c r="J1018" t="str">
        <f>IF(Table26[[#This Row],[Fee]]&gt;500,Table26[[#This Row],[Fee]],"")</f>
        <v/>
      </c>
    </row>
    <row r="1019" spans="1:10" hidden="1">
      <c r="A1019">
        <v>1018</v>
      </c>
      <c r="B1019" t="s">
        <v>619</v>
      </c>
      <c r="C1019" t="s">
        <v>211</v>
      </c>
      <c r="D1019" t="str">
        <f t="array" ref="D1019">TEXT(Table26[[#This Row],[Date]],"MMMM")</f>
        <v>September</v>
      </c>
      <c r="E1019">
        <v>500</v>
      </c>
      <c r="F1019" t="s">
        <v>589</v>
      </c>
      <c r="G1019" t="s">
        <v>1706</v>
      </c>
      <c r="H1019" s="38">
        <v>46274</v>
      </c>
      <c r="I1019" cm="1">
        <f t="array" ref="I1019">IFERROR(INDEX('ALL STUDENTS'!$A:$A, MATCH(1, ('ALL STUDENTS'!$B:$B = B1019) * ('ALL STUDENTS'!$C:$C = C1019), 0)), "NOT FOUND")</f>
        <v>1997</v>
      </c>
      <c r="J1019" t="str">
        <f>IF(Table26[[#This Row],[Fee]]&gt;500,Table26[[#This Row],[Fee]],"")</f>
        <v/>
      </c>
    </row>
    <row r="1020" spans="1:10" hidden="1">
      <c r="A1020">
        <v>1019</v>
      </c>
      <c r="B1020" t="s">
        <v>620</v>
      </c>
      <c r="C1020" t="s">
        <v>429</v>
      </c>
      <c r="D1020" t="str">
        <f t="array" ref="D1020">TEXT(Table26[[#This Row],[Date]],"MMMM")</f>
        <v>September</v>
      </c>
      <c r="E1020">
        <v>500</v>
      </c>
      <c r="F1020" t="s">
        <v>589</v>
      </c>
      <c r="G1020" t="s">
        <v>1707</v>
      </c>
      <c r="H1020" s="38">
        <v>46274</v>
      </c>
      <c r="I1020" cm="1">
        <f t="array" ref="I1020">IFERROR(INDEX('ALL STUDENTS'!$A:$A, MATCH(1, ('ALL STUDENTS'!$B:$B = B1020) * ('ALL STUDENTS'!$C:$C = C1020), 0)), "NOT FOUND")</f>
        <v>574</v>
      </c>
      <c r="J1020" t="str">
        <f>IF(Table26[[#This Row],[Fee]]&gt;500,Table26[[#This Row],[Fee]],"")</f>
        <v/>
      </c>
    </row>
    <row r="1021" spans="1:10" hidden="1">
      <c r="A1021">
        <v>1020</v>
      </c>
      <c r="B1021" t="s">
        <v>621</v>
      </c>
      <c r="C1021" t="s">
        <v>429</v>
      </c>
      <c r="D1021" t="str">
        <f t="array" ref="D1021">TEXT(Table26[[#This Row],[Date]],"MMMM")</f>
        <v>September</v>
      </c>
      <c r="E1021">
        <v>500</v>
      </c>
      <c r="F1021" t="s">
        <v>589</v>
      </c>
      <c r="G1021" t="s">
        <v>1708</v>
      </c>
      <c r="H1021" s="38">
        <v>46274</v>
      </c>
      <c r="I1021" cm="1">
        <f t="array" ref="I1021">IFERROR(INDEX('ALL STUDENTS'!$A:$A, MATCH(1, ('ALL STUDENTS'!$B:$B = B1021) * ('ALL STUDENTS'!$C:$C = C1021), 0)), "NOT FOUND")</f>
        <v>569</v>
      </c>
      <c r="J1021" t="str">
        <f>IF(Table26[[#This Row],[Fee]]&gt;500,Table26[[#This Row],[Fee]],"")</f>
        <v/>
      </c>
    </row>
    <row r="1022" spans="1:10" hidden="1">
      <c r="A1022">
        <v>1021</v>
      </c>
      <c r="B1022" t="s">
        <v>445</v>
      </c>
      <c r="C1022" t="s">
        <v>440</v>
      </c>
      <c r="D1022" t="str">
        <f t="array" ref="D1022">TEXT(Table26[[#This Row],[Date]],"MMMM")</f>
        <v>September</v>
      </c>
      <c r="E1022">
        <v>500</v>
      </c>
      <c r="F1022" t="s">
        <v>589</v>
      </c>
      <c r="G1022" t="s">
        <v>1709</v>
      </c>
      <c r="H1022" s="38">
        <v>46274</v>
      </c>
      <c r="I1022" cm="1">
        <f t="array" ref="I1022">IFERROR(INDEX('ALL STUDENTS'!$A:$A, MATCH(1, ('ALL STUDENTS'!$B:$B = B1022) * ('ALL STUDENTS'!$C:$C = C1022), 0)), "NOT FOUND")</f>
        <v>648</v>
      </c>
      <c r="J1022" t="str">
        <f>IF(Table26[[#This Row],[Fee]]&gt;500,Table26[[#This Row],[Fee]],"")</f>
        <v/>
      </c>
    </row>
    <row r="1023" spans="1:10" hidden="1">
      <c r="A1023">
        <v>1022</v>
      </c>
      <c r="B1023" t="s">
        <v>622</v>
      </c>
      <c r="C1023" t="s">
        <v>526</v>
      </c>
      <c r="D1023" t="str">
        <f t="array" ref="D1023">TEXT(Table26[[#This Row],[Date]],"MMMM")</f>
        <v>September</v>
      </c>
      <c r="E1023">
        <v>500</v>
      </c>
      <c r="F1023" t="s">
        <v>589</v>
      </c>
      <c r="G1023" t="s">
        <v>1710</v>
      </c>
      <c r="H1023" s="38">
        <v>46273</v>
      </c>
      <c r="I1023" cm="1">
        <f t="array" ref="I1023">IFERROR(INDEX('ALL STUDENTS'!$A:$A, MATCH(1, ('ALL STUDENTS'!$B:$B = B1023) * ('ALL STUDENTS'!$C:$C = C1023), 0)), "NOT FOUND")</f>
        <v>99</v>
      </c>
      <c r="J1023" t="str">
        <f>IF(Table26[[#This Row],[Fee]]&gt;500,Table26[[#This Row],[Fee]],"")</f>
        <v/>
      </c>
    </row>
    <row r="1024" spans="1:10" hidden="1">
      <c r="A1024">
        <v>1023</v>
      </c>
      <c r="B1024" t="s">
        <v>622</v>
      </c>
      <c r="C1024" t="s">
        <v>526</v>
      </c>
      <c r="D1024" t="str">
        <f t="array" ref="D1024">TEXT(Table26[[#This Row],[Date]],"MMMM")</f>
        <v>September</v>
      </c>
      <c r="E1024">
        <v>500</v>
      </c>
      <c r="F1024" t="s">
        <v>589</v>
      </c>
      <c r="G1024" t="s">
        <v>1711</v>
      </c>
      <c r="H1024" s="38">
        <v>46273</v>
      </c>
      <c r="I1024" cm="1">
        <f t="array" ref="I1024">IFERROR(INDEX('ALL STUDENTS'!$A:$A, MATCH(1, ('ALL STUDENTS'!$B:$B = B1024) * ('ALL STUDENTS'!$C:$C = C1024), 0)), "NOT FOUND")</f>
        <v>99</v>
      </c>
      <c r="J1024" t="str">
        <f>IF(Table26[[#This Row],[Fee]]&gt;500,Table26[[#This Row],[Fee]],"")</f>
        <v/>
      </c>
    </row>
    <row r="1025" spans="1:10" hidden="1">
      <c r="A1025">
        <v>1024</v>
      </c>
      <c r="B1025" t="s">
        <v>622</v>
      </c>
      <c r="C1025" t="s">
        <v>526</v>
      </c>
      <c r="D1025" t="str">
        <f t="array" ref="D1025">TEXT(Table26[[#This Row],[Date]],"MMMM")</f>
        <v>September</v>
      </c>
      <c r="E1025">
        <v>500</v>
      </c>
      <c r="F1025" t="s">
        <v>589</v>
      </c>
      <c r="G1025" t="s">
        <v>1712</v>
      </c>
      <c r="H1025" s="38">
        <v>46273</v>
      </c>
      <c r="I1025" cm="1">
        <f t="array" ref="I1025">IFERROR(INDEX('ALL STUDENTS'!$A:$A, MATCH(1, ('ALL STUDENTS'!$B:$B = B1025) * ('ALL STUDENTS'!$C:$C = C1025), 0)), "NOT FOUND")</f>
        <v>99</v>
      </c>
      <c r="J1025" t="str">
        <f>IF(Table26[[#This Row],[Fee]]&gt;500,Table26[[#This Row],[Fee]],"")</f>
        <v/>
      </c>
    </row>
    <row r="1026" spans="1:10" hidden="1">
      <c r="A1026">
        <v>1025</v>
      </c>
      <c r="B1026" t="s">
        <v>623</v>
      </c>
      <c r="C1026" t="s">
        <v>4</v>
      </c>
      <c r="D1026" t="str">
        <f t="array" ref="D1026">TEXT(Table26[[#This Row],[Date]],"MMMM")</f>
        <v>September</v>
      </c>
      <c r="E1026">
        <v>500</v>
      </c>
      <c r="F1026" t="s">
        <v>589</v>
      </c>
      <c r="G1026" t="s">
        <v>1713</v>
      </c>
      <c r="H1026" s="38">
        <v>46273</v>
      </c>
      <c r="I1026" cm="1">
        <f t="array" ref="I1026">IFERROR(INDEX('ALL STUDENTS'!$A:$A, MATCH(1, ('ALL STUDENTS'!$B:$B = B1026) * ('ALL STUDENTS'!$C:$C = C1026), 0)), "NOT FOUND")</f>
        <v>3021</v>
      </c>
      <c r="J1026" t="str">
        <f>IF(Table26[[#This Row],[Fee]]&gt;500,Table26[[#This Row],[Fee]],"")</f>
        <v/>
      </c>
    </row>
    <row r="1027" spans="1:10" hidden="1">
      <c r="A1027">
        <v>1026</v>
      </c>
      <c r="B1027" t="s">
        <v>623</v>
      </c>
      <c r="C1027" t="s">
        <v>4</v>
      </c>
      <c r="D1027" t="str">
        <f t="array" ref="D1027">TEXT(Table26[[#This Row],[Date]],"MMMM")</f>
        <v>September</v>
      </c>
      <c r="E1027">
        <v>500</v>
      </c>
      <c r="F1027" t="s">
        <v>589</v>
      </c>
      <c r="G1027" t="s">
        <v>1714</v>
      </c>
      <c r="H1027" s="38">
        <v>46273</v>
      </c>
      <c r="I1027" cm="1">
        <f t="array" ref="I1027">IFERROR(INDEX('ALL STUDENTS'!$A:$A, MATCH(1, ('ALL STUDENTS'!$B:$B = B1027) * ('ALL STUDENTS'!$C:$C = C1027), 0)), "NOT FOUND")</f>
        <v>3021</v>
      </c>
      <c r="J1027" t="str">
        <f>IF(Table26[[#This Row],[Fee]]&gt;500,Table26[[#This Row],[Fee]],"")</f>
        <v/>
      </c>
    </row>
    <row r="1028" spans="1:10" hidden="1">
      <c r="A1028">
        <v>1027</v>
      </c>
      <c r="B1028" t="s">
        <v>623</v>
      </c>
      <c r="C1028" t="s">
        <v>4</v>
      </c>
      <c r="D1028" t="str">
        <f t="array" ref="D1028">TEXT(Table26[[#This Row],[Date]],"MMMM")</f>
        <v>September</v>
      </c>
      <c r="E1028">
        <v>500</v>
      </c>
      <c r="F1028" t="s">
        <v>589</v>
      </c>
      <c r="G1028" t="s">
        <v>1715</v>
      </c>
      <c r="H1028" s="38">
        <v>46273</v>
      </c>
      <c r="I1028" cm="1">
        <f t="array" ref="I1028">IFERROR(INDEX('ALL STUDENTS'!$A:$A, MATCH(1, ('ALL STUDENTS'!$B:$B = B1028) * ('ALL STUDENTS'!$C:$C = C1028), 0)), "NOT FOUND")</f>
        <v>3021</v>
      </c>
      <c r="J1028" t="str">
        <f>IF(Table26[[#This Row],[Fee]]&gt;500,Table26[[#This Row],[Fee]],"")</f>
        <v/>
      </c>
    </row>
    <row r="1029" spans="1:10" hidden="1">
      <c r="A1029">
        <v>1028</v>
      </c>
      <c r="B1029" t="s">
        <v>624</v>
      </c>
      <c r="C1029" t="s">
        <v>4</v>
      </c>
      <c r="D1029" t="str">
        <f t="array" ref="D1029">TEXT(Table26[[#This Row],[Date]],"MMMM")</f>
        <v>September</v>
      </c>
      <c r="E1029">
        <v>500</v>
      </c>
      <c r="F1029" t="s">
        <v>589</v>
      </c>
      <c r="G1029" t="s">
        <v>1716</v>
      </c>
      <c r="H1029" s="38">
        <v>46273</v>
      </c>
      <c r="I1029" cm="1">
        <f t="array" ref="I1029">IFERROR(INDEX('ALL STUDENTS'!$A:$A, MATCH(1, ('ALL STUDENTS'!$B:$B = B1029) * ('ALL STUDENTS'!$C:$C = C1029), 0)), "NOT FOUND")</f>
        <v>3031</v>
      </c>
      <c r="J1029" t="str">
        <f>IF(Table26[[#This Row],[Fee]]&gt;500,Table26[[#This Row],[Fee]],"")</f>
        <v/>
      </c>
    </row>
    <row r="1030" spans="1:10" hidden="1">
      <c r="A1030">
        <v>1029</v>
      </c>
      <c r="B1030" t="s">
        <v>625</v>
      </c>
      <c r="C1030" t="s">
        <v>340</v>
      </c>
      <c r="D1030" t="str">
        <f t="array" ref="D1030">TEXT(Table26[[#This Row],[Date]],"MMMM")</f>
        <v>September</v>
      </c>
      <c r="E1030">
        <v>500</v>
      </c>
      <c r="F1030" t="s">
        <v>589</v>
      </c>
      <c r="G1030" t="s">
        <v>1717</v>
      </c>
      <c r="H1030" s="38">
        <v>46273</v>
      </c>
      <c r="I1030" cm="1">
        <f t="array" ref="I1030">IFERROR(INDEX('ALL STUDENTS'!$A:$A, MATCH(1, ('ALL STUDENTS'!$B:$B = B1030) * ('ALL STUDENTS'!$C:$C = C1030), 0)), "NOT FOUND")</f>
        <v>2499</v>
      </c>
      <c r="J1030" t="str">
        <f>IF(Table26[[#This Row],[Fee]]&gt;500,Table26[[#This Row],[Fee]],"")</f>
        <v/>
      </c>
    </row>
    <row r="1031" spans="1:10" hidden="1">
      <c r="A1031">
        <v>1030</v>
      </c>
      <c r="B1031" t="s">
        <v>625</v>
      </c>
      <c r="C1031" t="s">
        <v>340</v>
      </c>
      <c r="D1031" t="str">
        <f t="array" ref="D1031">TEXT(Table26[[#This Row],[Date]],"MMMM")</f>
        <v>September</v>
      </c>
      <c r="E1031">
        <v>500</v>
      </c>
      <c r="F1031" t="s">
        <v>589</v>
      </c>
      <c r="G1031" t="s">
        <v>1718</v>
      </c>
      <c r="H1031" s="38">
        <v>46273</v>
      </c>
      <c r="I1031" cm="1">
        <f t="array" ref="I1031">IFERROR(INDEX('ALL STUDENTS'!$A:$A, MATCH(1, ('ALL STUDENTS'!$B:$B = B1031) * ('ALL STUDENTS'!$C:$C = C1031), 0)), "NOT FOUND")</f>
        <v>2499</v>
      </c>
      <c r="J1031" t="str">
        <f>IF(Table26[[#This Row],[Fee]]&gt;500,Table26[[#This Row],[Fee]],"")</f>
        <v/>
      </c>
    </row>
    <row r="1032" spans="1:10" hidden="1">
      <c r="A1032">
        <v>1031</v>
      </c>
      <c r="B1032" t="s">
        <v>625</v>
      </c>
      <c r="C1032" t="s">
        <v>340</v>
      </c>
      <c r="D1032" t="str">
        <f t="array" ref="D1032">TEXT(Table26[[#This Row],[Date]],"MMMM")</f>
        <v>September</v>
      </c>
      <c r="E1032">
        <v>500</v>
      </c>
      <c r="F1032" t="s">
        <v>589</v>
      </c>
      <c r="G1032" t="s">
        <v>1719</v>
      </c>
      <c r="H1032" s="38">
        <v>46273</v>
      </c>
      <c r="I1032" cm="1">
        <f t="array" ref="I1032">IFERROR(INDEX('ALL STUDENTS'!$A:$A, MATCH(1, ('ALL STUDENTS'!$B:$B = B1032) * ('ALL STUDENTS'!$C:$C = C1032), 0)), "NOT FOUND")</f>
        <v>2499</v>
      </c>
      <c r="J1032" t="str">
        <f>IF(Table26[[#This Row],[Fee]]&gt;500,Table26[[#This Row],[Fee]],"")</f>
        <v/>
      </c>
    </row>
    <row r="1033" spans="1:10" hidden="1">
      <c r="A1033">
        <v>1032</v>
      </c>
      <c r="B1033" t="s">
        <v>626</v>
      </c>
      <c r="C1033" t="s">
        <v>252</v>
      </c>
      <c r="D1033" t="str">
        <f t="array" ref="D1033">TEXT(Table26[[#This Row],[Date]],"MMMM")</f>
        <v>September</v>
      </c>
      <c r="E1033">
        <v>500</v>
      </c>
      <c r="F1033" t="s">
        <v>589</v>
      </c>
      <c r="G1033" t="s">
        <v>1720</v>
      </c>
      <c r="H1033" s="38">
        <v>46269</v>
      </c>
      <c r="I1033" cm="1">
        <f t="array" ref="I1033">IFERROR(INDEX('ALL STUDENTS'!$A:$A, MATCH(1, ('ALL STUDENTS'!$B:$B = B1033) * ('ALL STUDENTS'!$C:$C = C1033), 0)), "NOT FOUND")</f>
        <v>2118</v>
      </c>
      <c r="J1033" t="str">
        <f>IF(Table26[[#This Row],[Fee]]&gt;500,Table26[[#This Row],[Fee]],"")</f>
        <v/>
      </c>
    </row>
    <row r="1034" spans="1:10" hidden="1">
      <c r="A1034">
        <v>1033</v>
      </c>
      <c r="B1034" t="s">
        <v>627</v>
      </c>
      <c r="C1034" t="s">
        <v>397</v>
      </c>
      <c r="D1034" t="str">
        <f t="array" ref="D1034">TEXT(Table26[[#This Row],[Date]],"MMMM")</f>
        <v>September</v>
      </c>
      <c r="E1034">
        <v>500</v>
      </c>
      <c r="F1034" t="s">
        <v>589</v>
      </c>
      <c r="G1034" t="s">
        <v>1721</v>
      </c>
      <c r="H1034" s="38">
        <v>46273</v>
      </c>
      <c r="I1034" cm="1">
        <f t="array" ref="I1034">IFERROR(INDEX('ALL STUDENTS'!$A:$A, MATCH(1, ('ALL STUDENTS'!$B:$B = B1034) * ('ALL STUDENTS'!$C:$C = C1034), 0)), "NOT FOUND")</f>
        <v>924</v>
      </c>
      <c r="J1034" t="str">
        <f>IF(Table26[[#This Row],[Fee]]&gt;500,Table26[[#This Row],[Fee]],"")</f>
        <v/>
      </c>
    </row>
    <row r="1035" spans="1:10" hidden="1">
      <c r="A1035">
        <v>1034</v>
      </c>
      <c r="B1035" t="s">
        <v>628</v>
      </c>
      <c r="C1035" t="s">
        <v>582</v>
      </c>
      <c r="D1035" t="str">
        <f t="array" ref="D1035">TEXT(Table26[[#This Row],[Date]],"MMMM")</f>
        <v>September</v>
      </c>
      <c r="E1035">
        <v>500</v>
      </c>
      <c r="F1035" t="s">
        <v>589</v>
      </c>
      <c r="G1035" t="s">
        <v>1722</v>
      </c>
      <c r="H1035" s="38">
        <v>46273</v>
      </c>
      <c r="I1035" cm="1">
        <f t="array" ref="I1035">IFERROR(INDEX('ALL STUDENTS'!$A:$A, MATCH(1, ('ALL STUDENTS'!$B:$B = B1035) * ('ALL STUDENTS'!$C:$C = C1035), 0)), "NOT FOUND")</f>
        <v>1222</v>
      </c>
      <c r="J1035" t="str">
        <f>IF(Table26[[#This Row],[Fee]]&gt;500,Table26[[#This Row],[Fee]],"")</f>
        <v/>
      </c>
    </row>
    <row r="1036" spans="1:10" hidden="1">
      <c r="A1036">
        <v>1035</v>
      </c>
      <c r="B1036" t="s">
        <v>628</v>
      </c>
      <c r="C1036" t="s">
        <v>582</v>
      </c>
      <c r="D1036" t="str">
        <f t="array" ref="D1036">TEXT(Table26[[#This Row],[Date]],"MMMM")</f>
        <v>September</v>
      </c>
      <c r="E1036">
        <v>500</v>
      </c>
      <c r="F1036" t="s">
        <v>589</v>
      </c>
      <c r="G1036" t="s">
        <v>1723</v>
      </c>
      <c r="H1036" s="38">
        <v>46273</v>
      </c>
      <c r="I1036" cm="1">
        <f t="array" ref="I1036">IFERROR(INDEX('ALL STUDENTS'!$A:$A, MATCH(1, ('ALL STUDENTS'!$B:$B = B1036) * ('ALL STUDENTS'!$C:$C = C1036), 0)), "NOT FOUND")</f>
        <v>1222</v>
      </c>
      <c r="J1036" t="str">
        <f>IF(Table26[[#This Row],[Fee]]&gt;500,Table26[[#This Row],[Fee]],"")</f>
        <v/>
      </c>
    </row>
    <row r="1037" spans="1:10" hidden="1">
      <c r="A1037">
        <v>1036</v>
      </c>
      <c r="B1037" t="s">
        <v>629</v>
      </c>
      <c r="C1037" t="s">
        <v>299</v>
      </c>
      <c r="D1037" t="str">
        <f t="array" ref="D1037">TEXT(Table26[[#This Row],[Date]],"MMMM")</f>
        <v>September</v>
      </c>
      <c r="E1037">
        <v>500</v>
      </c>
      <c r="F1037" t="s">
        <v>589</v>
      </c>
      <c r="G1037" t="s">
        <v>1724</v>
      </c>
      <c r="H1037" s="38">
        <v>46273</v>
      </c>
      <c r="I1037" cm="1">
        <f t="array" ref="I1037">IFERROR(INDEX('ALL STUDENTS'!$A:$A, MATCH(1, ('ALL STUDENTS'!$B:$B = B1037) * ('ALL STUDENTS'!$C:$C = C1037), 0)), "NOT FOUND")</f>
        <v>2305</v>
      </c>
      <c r="J1037" t="str">
        <f>IF(Table26[[#This Row],[Fee]]&gt;500,Table26[[#This Row],[Fee]],"")</f>
        <v/>
      </c>
    </row>
    <row r="1038" spans="1:10" hidden="1">
      <c r="A1038">
        <v>1037</v>
      </c>
      <c r="B1038" t="s">
        <v>407</v>
      </c>
      <c r="C1038" t="s">
        <v>397</v>
      </c>
      <c r="D1038" t="str">
        <f t="array" ref="D1038">TEXT(Table26[[#This Row],[Date]],"MMMM")</f>
        <v>September</v>
      </c>
      <c r="E1038">
        <v>500</v>
      </c>
      <c r="F1038" t="s">
        <v>589</v>
      </c>
      <c r="G1038" t="s">
        <v>1725</v>
      </c>
      <c r="H1038" s="38">
        <v>46268</v>
      </c>
      <c r="I1038" cm="1">
        <f t="array" ref="I1038">IFERROR(INDEX('ALL STUDENTS'!$A:$A, MATCH(1, ('ALL STUDENTS'!$B:$B = B1038) * ('ALL STUDENTS'!$C:$C = C1038), 0)), "NOT FOUND")</f>
        <v>942</v>
      </c>
      <c r="J1038" t="str">
        <f>IF(Table26[[#This Row],[Fee]]&gt;500,Table26[[#This Row],[Fee]],"")</f>
        <v/>
      </c>
    </row>
    <row r="1039" spans="1:10" hidden="1">
      <c r="A1039">
        <v>1038</v>
      </c>
      <c r="B1039" t="s">
        <v>630</v>
      </c>
      <c r="C1039" t="s">
        <v>463</v>
      </c>
      <c r="D1039" t="str">
        <f t="array" ref="D1039">TEXT(Table26[[#This Row],[Date]],"MMMM")</f>
        <v>September</v>
      </c>
      <c r="E1039">
        <v>500</v>
      </c>
      <c r="F1039" t="s">
        <v>589</v>
      </c>
      <c r="G1039" t="s">
        <v>1726</v>
      </c>
      <c r="H1039" s="38">
        <v>46273</v>
      </c>
      <c r="I1039" cm="1">
        <f t="array" ref="I1039">IFERROR(INDEX('ALL STUDENTS'!$A:$A, MATCH(1, ('ALL STUDENTS'!$B:$B = B1039) * ('ALL STUDENTS'!$C:$C = C1039), 0)), "NOT FOUND")</f>
        <v>730</v>
      </c>
      <c r="J1039" t="str">
        <f>IF(Table26[[#This Row],[Fee]]&gt;500,Table26[[#This Row],[Fee]],"")</f>
        <v/>
      </c>
    </row>
    <row r="1040" spans="1:10" hidden="1">
      <c r="A1040">
        <v>1039</v>
      </c>
      <c r="B1040" t="s">
        <v>631</v>
      </c>
      <c r="C1040" t="s">
        <v>397</v>
      </c>
      <c r="D1040" t="str">
        <f t="array" ref="D1040">TEXT(Table26[[#This Row],[Date]],"MMMM")</f>
        <v>September</v>
      </c>
      <c r="E1040">
        <v>500</v>
      </c>
      <c r="F1040" t="s">
        <v>589</v>
      </c>
      <c r="G1040" t="s">
        <v>1727</v>
      </c>
      <c r="H1040" s="38">
        <v>46274</v>
      </c>
      <c r="I1040" cm="1">
        <f t="array" ref="I1040">IFERROR(INDEX('ALL STUDENTS'!$A:$A, MATCH(1, ('ALL STUDENTS'!$B:$B = B1040) * ('ALL STUDENTS'!$C:$C = C1040), 0)), "NOT FOUND")</f>
        <v>922</v>
      </c>
      <c r="J1040" t="str">
        <f>IF(Table26[[#This Row],[Fee]]&gt;500,Table26[[#This Row],[Fee]],"")</f>
        <v/>
      </c>
    </row>
    <row r="1041" spans="1:10" hidden="1">
      <c r="A1041">
        <v>1040</v>
      </c>
      <c r="B1041" t="s">
        <v>632</v>
      </c>
      <c r="C1041" t="s">
        <v>265</v>
      </c>
      <c r="D1041" t="str">
        <f t="array" ref="D1041">TEXT(Table26[[#This Row],[Date]],"MMMM")</f>
        <v>September</v>
      </c>
      <c r="E1041">
        <v>500</v>
      </c>
      <c r="F1041" t="s">
        <v>589</v>
      </c>
      <c r="G1041" t="s">
        <v>1728</v>
      </c>
      <c r="H1041" s="38">
        <v>46274</v>
      </c>
      <c r="I1041" cm="1">
        <f t="array" ref="I1041">IFERROR(INDEX('ALL STUDENTS'!$A:$A, MATCH(1, ('ALL STUDENTS'!$B:$B = B1041) * ('ALL STUDENTS'!$C:$C = C1041), 0)), "NOT FOUND")</f>
        <v>2162</v>
      </c>
      <c r="J1041" t="str">
        <f>IF(Table26[[#This Row],[Fee]]&gt;500,Table26[[#This Row],[Fee]],"")</f>
        <v/>
      </c>
    </row>
    <row r="1042" spans="1:10" hidden="1">
      <c r="A1042">
        <v>1041</v>
      </c>
      <c r="B1042" t="s">
        <v>632</v>
      </c>
      <c r="C1042" t="s">
        <v>265</v>
      </c>
      <c r="D1042" t="str">
        <f t="array" ref="D1042">TEXT(Table26[[#This Row],[Date]],"MMMM")</f>
        <v>September</v>
      </c>
      <c r="E1042">
        <v>500</v>
      </c>
      <c r="F1042" t="s">
        <v>589</v>
      </c>
      <c r="G1042" t="s">
        <v>1729</v>
      </c>
      <c r="H1042" s="38">
        <v>46274</v>
      </c>
      <c r="I1042" cm="1">
        <f t="array" ref="I1042">IFERROR(INDEX('ALL STUDENTS'!$A:$A, MATCH(1, ('ALL STUDENTS'!$B:$B = B1042) * ('ALL STUDENTS'!$C:$C = C1042), 0)), "NOT FOUND")</f>
        <v>2162</v>
      </c>
      <c r="J1042" t="str">
        <f>IF(Table26[[#This Row],[Fee]]&gt;500,Table26[[#This Row],[Fee]],"")</f>
        <v/>
      </c>
    </row>
    <row r="1043" spans="1:10" hidden="1">
      <c r="A1043">
        <v>1042</v>
      </c>
      <c r="B1043" t="s">
        <v>632</v>
      </c>
      <c r="C1043" t="s">
        <v>265</v>
      </c>
      <c r="D1043" t="str">
        <f t="array" ref="D1043">TEXT(Table26[[#This Row],[Date]],"MMMM")</f>
        <v>September</v>
      </c>
      <c r="E1043">
        <v>500</v>
      </c>
      <c r="F1043" t="s">
        <v>589</v>
      </c>
      <c r="G1043" t="s">
        <v>1730</v>
      </c>
      <c r="H1043" s="38">
        <v>46274</v>
      </c>
      <c r="I1043" cm="1">
        <f t="array" ref="I1043">IFERROR(INDEX('ALL STUDENTS'!$A:$A, MATCH(1, ('ALL STUDENTS'!$B:$B = B1043) * ('ALL STUDENTS'!$C:$C = C1043), 0)), "NOT FOUND")</f>
        <v>2162</v>
      </c>
      <c r="J1043" t="str">
        <f>IF(Table26[[#This Row],[Fee]]&gt;500,Table26[[#This Row],[Fee]],"")</f>
        <v/>
      </c>
    </row>
    <row r="1044" spans="1:10" hidden="1">
      <c r="A1044">
        <v>1043</v>
      </c>
      <c r="B1044" t="s">
        <v>633</v>
      </c>
      <c r="C1044" t="s">
        <v>374</v>
      </c>
      <c r="D1044" t="str">
        <f t="array" ref="D1044">TEXT(Table26[[#This Row],[Date]],"MMMM")</f>
        <v>September</v>
      </c>
      <c r="E1044">
        <v>500</v>
      </c>
      <c r="F1044" t="s">
        <v>589</v>
      </c>
      <c r="G1044" t="s">
        <v>1731</v>
      </c>
      <c r="H1044" s="38">
        <v>46274</v>
      </c>
      <c r="I1044" cm="1">
        <f t="array" ref="I1044">IFERROR(INDEX('ALL STUDENTS'!$A:$A, MATCH(1, ('ALL STUDENTS'!$B:$B = B1044) * ('ALL STUDENTS'!$C:$C = C1044), 0)), "NOT FOUND")</f>
        <v>840</v>
      </c>
      <c r="J1044" t="str">
        <f>IF(Table26[[#This Row],[Fee]]&gt;500,Table26[[#This Row],[Fee]],"")</f>
        <v/>
      </c>
    </row>
    <row r="1045" spans="1:10" hidden="1">
      <c r="A1045">
        <v>1044</v>
      </c>
      <c r="B1045" t="s">
        <v>633</v>
      </c>
      <c r="C1045" t="s">
        <v>374</v>
      </c>
      <c r="D1045" t="str">
        <f t="array" ref="D1045">TEXT(Table26[[#This Row],[Date]],"MMMM")</f>
        <v>September</v>
      </c>
      <c r="E1045">
        <v>500</v>
      </c>
      <c r="F1045" t="s">
        <v>589</v>
      </c>
      <c r="G1045" t="s">
        <v>1732</v>
      </c>
      <c r="H1045" s="38">
        <v>46274</v>
      </c>
      <c r="I1045" cm="1">
        <f t="array" ref="I1045">IFERROR(INDEX('ALL STUDENTS'!$A:$A, MATCH(1, ('ALL STUDENTS'!$B:$B = B1045) * ('ALL STUDENTS'!$C:$C = C1045), 0)), "NOT FOUND")</f>
        <v>840</v>
      </c>
      <c r="J1045" t="str">
        <f>IF(Table26[[#This Row],[Fee]]&gt;500,Table26[[#This Row],[Fee]],"")</f>
        <v/>
      </c>
    </row>
    <row r="1046" spans="1:10" hidden="1">
      <c r="A1046">
        <v>1045</v>
      </c>
      <c r="B1046" t="s">
        <v>634</v>
      </c>
      <c r="C1046" t="s">
        <v>548</v>
      </c>
      <c r="D1046" t="str">
        <f t="array" ref="D1046">TEXT(Table26[[#This Row],[Date]],"MMMM")</f>
        <v>September</v>
      </c>
      <c r="E1046">
        <v>500</v>
      </c>
      <c r="F1046" t="s">
        <v>589</v>
      </c>
      <c r="G1046" t="s">
        <v>1733</v>
      </c>
      <c r="H1046" s="38">
        <v>46266</v>
      </c>
      <c r="I1046" cm="1">
        <f t="array" ref="I1046">IFERROR(INDEX('ALL STUDENTS'!$A:$A, MATCH(1, ('ALL STUDENTS'!$B:$B = B1046) * ('ALL STUDENTS'!$C:$C = C1046), 0)), "NOT FOUND")</f>
        <v>184</v>
      </c>
      <c r="J1046" t="str">
        <f>IF(Table26[[#This Row],[Fee]]&gt;500,Table26[[#This Row],[Fee]],"")</f>
        <v/>
      </c>
    </row>
    <row r="1047" spans="1:10" hidden="1">
      <c r="A1047">
        <v>1046</v>
      </c>
      <c r="B1047" t="s">
        <v>634</v>
      </c>
      <c r="C1047" t="s">
        <v>548</v>
      </c>
      <c r="D1047" t="str">
        <f t="array" ref="D1047">TEXT(Table26[[#This Row],[Date]],"MMMM")</f>
        <v>September</v>
      </c>
      <c r="E1047">
        <v>500</v>
      </c>
      <c r="F1047" t="s">
        <v>589</v>
      </c>
      <c r="G1047" t="s">
        <v>1734</v>
      </c>
      <c r="H1047" s="38">
        <v>46266</v>
      </c>
      <c r="I1047" cm="1">
        <f t="array" ref="I1047">IFERROR(INDEX('ALL STUDENTS'!$A:$A, MATCH(1, ('ALL STUDENTS'!$B:$B = B1047) * ('ALL STUDENTS'!$C:$C = C1047), 0)), "NOT FOUND")</f>
        <v>184</v>
      </c>
      <c r="J1047" t="str">
        <f>IF(Table26[[#This Row],[Fee]]&gt;500,Table26[[#This Row],[Fee]],"")</f>
        <v/>
      </c>
    </row>
    <row r="1048" spans="1:10" hidden="1">
      <c r="A1048">
        <v>1047</v>
      </c>
      <c r="B1048" t="s">
        <v>634</v>
      </c>
      <c r="C1048" t="s">
        <v>548</v>
      </c>
      <c r="D1048" t="str">
        <f t="array" ref="D1048">TEXT(Table26[[#This Row],[Date]],"MMMM")</f>
        <v>September</v>
      </c>
      <c r="E1048">
        <v>500</v>
      </c>
      <c r="F1048" t="s">
        <v>589</v>
      </c>
      <c r="G1048" t="s">
        <v>1735</v>
      </c>
      <c r="H1048" s="38">
        <v>46266</v>
      </c>
      <c r="I1048" cm="1">
        <f t="array" ref="I1048">IFERROR(INDEX('ALL STUDENTS'!$A:$A, MATCH(1, ('ALL STUDENTS'!$B:$B = B1048) * ('ALL STUDENTS'!$C:$C = C1048), 0)), "NOT FOUND")</f>
        <v>184</v>
      </c>
      <c r="J1048" t="str">
        <f>IF(Table26[[#This Row],[Fee]]&gt;500,Table26[[#This Row],[Fee]],"")</f>
        <v/>
      </c>
    </row>
    <row r="1049" spans="1:10" hidden="1">
      <c r="A1049">
        <v>1048</v>
      </c>
      <c r="B1049" t="s">
        <v>635</v>
      </c>
      <c r="C1049" t="s">
        <v>397</v>
      </c>
      <c r="D1049" t="str">
        <f t="array" ref="D1049">TEXT(Table26[[#This Row],[Date]],"MMMM")</f>
        <v>September</v>
      </c>
      <c r="E1049">
        <v>500</v>
      </c>
      <c r="F1049" t="s">
        <v>589</v>
      </c>
      <c r="G1049" t="s">
        <v>1736</v>
      </c>
      <c r="H1049" s="38">
        <v>46274</v>
      </c>
      <c r="I1049" cm="1">
        <f t="array" ref="I1049">IFERROR(INDEX('ALL STUDENTS'!$A:$A, MATCH(1, ('ALL STUDENTS'!$B:$B = B1049) * ('ALL STUDENTS'!$C:$C = C1049), 0)), "NOT FOUND")</f>
        <v>941</v>
      </c>
      <c r="J1049" t="str">
        <f>IF(Table26[[#This Row],[Fee]]&gt;500,Table26[[#This Row],[Fee]],"")</f>
        <v/>
      </c>
    </row>
    <row r="1050" spans="1:10" hidden="1">
      <c r="A1050">
        <v>1049</v>
      </c>
      <c r="B1050" t="s">
        <v>635</v>
      </c>
      <c r="C1050" t="s">
        <v>397</v>
      </c>
      <c r="D1050" t="str">
        <f t="array" ref="D1050">TEXT(Table26[[#This Row],[Date]],"MMMM")</f>
        <v>September</v>
      </c>
      <c r="E1050">
        <v>500</v>
      </c>
      <c r="F1050" t="s">
        <v>589</v>
      </c>
      <c r="G1050" t="s">
        <v>1737</v>
      </c>
      <c r="H1050" s="38">
        <v>46274</v>
      </c>
      <c r="I1050" cm="1">
        <f t="array" ref="I1050">IFERROR(INDEX('ALL STUDENTS'!$A:$A, MATCH(1, ('ALL STUDENTS'!$B:$B = B1050) * ('ALL STUDENTS'!$C:$C = C1050), 0)), "NOT FOUND")</f>
        <v>941</v>
      </c>
      <c r="J1050" t="str">
        <f>IF(Table26[[#This Row],[Fee]]&gt;500,Table26[[#This Row],[Fee]],"")</f>
        <v/>
      </c>
    </row>
    <row r="1051" spans="1:10" hidden="1">
      <c r="A1051">
        <v>1050</v>
      </c>
      <c r="B1051" t="s">
        <v>635</v>
      </c>
      <c r="C1051" t="s">
        <v>397</v>
      </c>
      <c r="D1051" t="str">
        <f t="array" ref="D1051">TEXT(Table26[[#This Row],[Date]],"MMMM")</f>
        <v>September</v>
      </c>
      <c r="E1051">
        <v>500</v>
      </c>
      <c r="F1051" t="s">
        <v>589</v>
      </c>
      <c r="G1051" t="s">
        <v>1738</v>
      </c>
      <c r="H1051" s="38">
        <v>46274</v>
      </c>
      <c r="I1051" cm="1">
        <f t="array" ref="I1051">IFERROR(INDEX('ALL STUDENTS'!$A:$A, MATCH(1, ('ALL STUDENTS'!$B:$B = B1051) * ('ALL STUDENTS'!$C:$C = C1051), 0)), "NOT FOUND")</f>
        <v>941</v>
      </c>
      <c r="J1051" t="str">
        <f>IF(Table26[[#This Row],[Fee]]&gt;500,Table26[[#This Row],[Fee]],"")</f>
        <v/>
      </c>
    </row>
    <row r="1052" spans="1:10" hidden="1">
      <c r="A1052">
        <v>1051</v>
      </c>
      <c r="B1052" t="s">
        <v>636</v>
      </c>
      <c r="C1052" t="s">
        <v>232</v>
      </c>
      <c r="D1052" t="str">
        <f t="array" ref="D1052">TEXT(Table26[[#This Row],[Date]],"MMMM")</f>
        <v>September</v>
      </c>
      <c r="E1052">
        <v>500</v>
      </c>
      <c r="F1052" t="s">
        <v>589</v>
      </c>
      <c r="G1052" t="s">
        <v>1739</v>
      </c>
      <c r="H1052" s="38">
        <v>46272</v>
      </c>
      <c r="I1052" cm="1">
        <f t="array" ref="I1052">IFERROR(INDEX('ALL STUDENTS'!$A:$A, MATCH(1, ('ALL STUDENTS'!$B:$B = B1052) * ('ALL STUDENTS'!$C:$C = C1052), 0)), "NOT FOUND")</f>
        <v>2080</v>
      </c>
      <c r="J1052" t="str">
        <f>IF(Table26[[#This Row],[Fee]]&gt;500,Table26[[#This Row],[Fee]],"")</f>
        <v/>
      </c>
    </row>
    <row r="1053" spans="1:10" hidden="1">
      <c r="A1053">
        <v>1052</v>
      </c>
      <c r="B1053" t="s">
        <v>637</v>
      </c>
      <c r="C1053" t="s">
        <v>467</v>
      </c>
      <c r="D1053" t="str">
        <f t="array" ref="D1053">TEXT(Table26[[#This Row],[Date]],"MMMM")</f>
        <v>September</v>
      </c>
      <c r="E1053">
        <v>500</v>
      </c>
      <c r="F1053" t="s">
        <v>591</v>
      </c>
      <c r="G1053" t="s">
        <v>1740</v>
      </c>
      <c r="H1053" s="38">
        <v>46270</v>
      </c>
      <c r="I1053" cm="1">
        <f t="array" ref="I1053">IFERROR(INDEX('ALL STUDENTS'!$A:$A, MATCH(1, ('ALL STUDENTS'!$B:$B = B1053) * ('ALL STUDENTS'!$C:$C = C1053), 0)), "NOT FOUND")</f>
        <v>260</v>
      </c>
      <c r="J1053" t="str">
        <f>IF(Table26[[#This Row],[Fee]]&gt;500,Table26[[#This Row],[Fee]],"")</f>
        <v/>
      </c>
    </row>
    <row r="1054" spans="1:10" hidden="1">
      <c r="A1054">
        <v>1053</v>
      </c>
      <c r="B1054" t="s">
        <v>1890</v>
      </c>
      <c r="C1054" t="s">
        <v>556</v>
      </c>
      <c r="D1054" t="str">
        <f t="array" ref="D1054">TEXT(Table26[[#This Row],[Date]],"MMMM")</f>
        <v>September</v>
      </c>
      <c r="E1054">
        <v>500</v>
      </c>
      <c r="F1054" t="s">
        <v>591</v>
      </c>
      <c r="G1054" t="s">
        <v>1741</v>
      </c>
      <c r="H1054" s="38">
        <v>46270</v>
      </c>
      <c r="I1054" cm="1">
        <f t="array" ref="I1054">IFERROR(INDEX('ALL STUDENTS'!$A:$A, MATCH(1, ('ALL STUDENTS'!$B:$B = B1054) * ('ALL STUDENTS'!$C:$C = C1054), 0)), "NOT FOUND")</f>
        <v>211</v>
      </c>
      <c r="J1054" t="str">
        <f>IF(Table26[[#This Row],[Fee]]&gt;500,Table26[[#This Row],[Fee]],"")</f>
        <v/>
      </c>
    </row>
    <row r="1055" spans="1:10" hidden="1">
      <c r="A1055">
        <v>1054</v>
      </c>
      <c r="B1055" t="s">
        <v>639</v>
      </c>
      <c r="C1055" t="s">
        <v>119</v>
      </c>
      <c r="D1055" t="str">
        <f t="array" ref="D1055">TEXT(Table26[[#This Row],[Date]],"MMMM")</f>
        <v>September</v>
      </c>
      <c r="E1055">
        <v>500</v>
      </c>
      <c r="F1055" t="s">
        <v>591</v>
      </c>
      <c r="G1055" t="s">
        <v>1742</v>
      </c>
      <c r="H1055" s="38">
        <v>46270</v>
      </c>
      <c r="I1055" cm="1">
        <f t="array" ref="I1055">IFERROR(INDEX('ALL STUDENTS'!$A:$A, MATCH(1, ('ALL STUDENTS'!$B:$B = B1055) * ('ALL STUDENTS'!$C:$C = C1055), 0)), "NOT FOUND")</f>
        <v>1683</v>
      </c>
      <c r="J1055" t="str">
        <f>IF(Table26[[#This Row],[Fee]]&gt;500,Table26[[#This Row],[Fee]],"")</f>
        <v/>
      </c>
    </row>
    <row r="1056" spans="1:10" hidden="1">
      <c r="A1056">
        <v>1055</v>
      </c>
      <c r="B1056" t="s">
        <v>639</v>
      </c>
      <c r="C1056" t="s">
        <v>119</v>
      </c>
      <c r="D1056" t="str">
        <f t="array" ref="D1056">TEXT(Table26[[#This Row],[Date]],"MMMM")</f>
        <v>September</v>
      </c>
      <c r="E1056">
        <v>500</v>
      </c>
      <c r="F1056" t="s">
        <v>591</v>
      </c>
      <c r="G1056" t="s">
        <v>1743</v>
      </c>
      <c r="H1056" s="38">
        <v>46270</v>
      </c>
      <c r="I1056" cm="1">
        <f t="array" ref="I1056">IFERROR(INDEX('ALL STUDENTS'!$A:$A, MATCH(1, ('ALL STUDENTS'!$B:$B = B1056) * ('ALL STUDENTS'!$C:$C = C1056), 0)), "NOT FOUND")</f>
        <v>1683</v>
      </c>
      <c r="J1056" t="str">
        <f>IF(Table26[[#This Row],[Fee]]&gt;500,Table26[[#This Row],[Fee]],"")</f>
        <v/>
      </c>
    </row>
    <row r="1057" spans="1:10" hidden="1">
      <c r="A1057">
        <v>1056</v>
      </c>
      <c r="B1057" t="s">
        <v>639</v>
      </c>
      <c r="C1057" t="s">
        <v>119</v>
      </c>
      <c r="D1057" t="str">
        <f t="array" ref="D1057">TEXT(Table26[[#This Row],[Date]],"MMMM")</f>
        <v>September</v>
      </c>
      <c r="E1057">
        <v>500</v>
      </c>
      <c r="F1057" t="s">
        <v>591</v>
      </c>
      <c r="G1057" t="s">
        <v>1744</v>
      </c>
      <c r="H1057" s="38">
        <v>46270</v>
      </c>
      <c r="I1057" cm="1">
        <f t="array" ref="I1057">IFERROR(INDEX('ALL STUDENTS'!$A:$A, MATCH(1, ('ALL STUDENTS'!$B:$B = B1057) * ('ALL STUDENTS'!$C:$C = C1057), 0)), "NOT FOUND")</f>
        <v>1683</v>
      </c>
      <c r="J1057" t="str">
        <f>IF(Table26[[#This Row],[Fee]]&gt;500,Table26[[#This Row],[Fee]],"")</f>
        <v/>
      </c>
    </row>
    <row r="1058" spans="1:10" hidden="1">
      <c r="A1058">
        <v>1057</v>
      </c>
      <c r="B1058" t="s">
        <v>640</v>
      </c>
      <c r="C1058" t="s">
        <v>409</v>
      </c>
      <c r="D1058" t="str">
        <f t="array" ref="D1058">TEXT(Table26[[#This Row],[Date]],"MMMM")</f>
        <v>September</v>
      </c>
      <c r="E1058">
        <v>500</v>
      </c>
      <c r="F1058" t="s">
        <v>591</v>
      </c>
      <c r="G1058" t="s">
        <v>1745</v>
      </c>
      <c r="H1058" s="38">
        <v>46270</v>
      </c>
      <c r="I1058" cm="1">
        <f t="array" ref="I1058">IFERROR(INDEX('ALL STUDENTS'!$A:$A, MATCH(1, ('ALL STUDENTS'!$B:$B = B1058) * ('ALL STUDENTS'!$C:$C = C1058), 0)), "NOT FOUND")</f>
        <v>965</v>
      </c>
      <c r="J1058" t="str">
        <f>IF(Table26[[#This Row],[Fee]]&gt;500,Table26[[#This Row],[Fee]],"")</f>
        <v/>
      </c>
    </row>
    <row r="1059" spans="1:10" hidden="1">
      <c r="A1059">
        <v>1058</v>
      </c>
      <c r="B1059" t="s">
        <v>640</v>
      </c>
      <c r="C1059" t="s">
        <v>409</v>
      </c>
      <c r="D1059" t="str">
        <f t="array" ref="D1059">TEXT(Table26[[#This Row],[Date]],"MMMM")</f>
        <v>September</v>
      </c>
      <c r="E1059">
        <v>500</v>
      </c>
      <c r="F1059" t="s">
        <v>591</v>
      </c>
      <c r="G1059" t="s">
        <v>1746</v>
      </c>
      <c r="H1059" s="38">
        <v>46270</v>
      </c>
      <c r="I1059" cm="1">
        <f t="array" ref="I1059">IFERROR(INDEX('ALL STUDENTS'!$A:$A, MATCH(1, ('ALL STUDENTS'!$B:$B = B1059) * ('ALL STUDENTS'!$C:$C = C1059), 0)), "NOT FOUND")</f>
        <v>965</v>
      </c>
      <c r="J1059" t="str">
        <f>IF(Table26[[#This Row],[Fee]]&gt;500,Table26[[#This Row],[Fee]],"")</f>
        <v/>
      </c>
    </row>
    <row r="1060" spans="1:10" hidden="1">
      <c r="A1060">
        <v>1059</v>
      </c>
      <c r="B1060" t="s">
        <v>640</v>
      </c>
      <c r="C1060" t="s">
        <v>409</v>
      </c>
      <c r="D1060" t="str">
        <f t="array" ref="D1060">TEXT(Table26[[#This Row],[Date]],"MMMM")</f>
        <v>September</v>
      </c>
      <c r="E1060">
        <v>500</v>
      </c>
      <c r="F1060" t="s">
        <v>591</v>
      </c>
      <c r="G1060" t="s">
        <v>1747</v>
      </c>
      <c r="H1060" s="38">
        <v>46270</v>
      </c>
      <c r="I1060" cm="1">
        <f t="array" ref="I1060">IFERROR(INDEX('ALL STUDENTS'!$A:$A, MATCH(1, ('ALL STUDENTS'!$B:$B = B1060) * ('ALL STUDENTS'!$C:$C = C1060), 0)), "NOT FOUND")</f>
        <v>965</v>
      </c>
      <c r="J1060" t="str">
        <f>IF(Table26[[#This Row],[Fee]]&gt;500,Table26[[#This Row],[Fee]],"")</f>
        <v/>
      </c>
    </row>
    <row r="1061" spans="1:10" hidden="1">
      <c r="A1061">
        <v>1060</v>
      </c>
      <c r="B1061" t="s">
        <v>641</v>
      </c>
      <c r="C1061" t="s">
        <v>415</v>
      </c>
      <c r="D1061" t="str">
        <f t="array" ref="D1061">TEXT(Table26[[#This Row],[Date]],"MMMM")</f>
        <v>September</v>
      </c>
      <c r="E1061">
        <v>500</v>
      </c>
      <c r="F1061" t="s">
        <v>591</v>
      </c>
      <c r="G1061" t="s">
        <v>1748</v>
      </c>
      <c r="H1061" s="38">
        <v>46272</v>
      </c>
      <c r="I1061" cm="1">
        <f t="array" ref="I1061">IFERROR(INDEX('ALL STUDENTS'!$A:$A, MATCH(1, ('ALL STUDENTS'!$B:$B = B1061) * ('ALL STUDENTS'!$C:$C = C1061), 0)), "NOT FOUND")</f>
        <v>989</v>
      </c>
      <c r="J1061" t="str">
        <f>IF(Table26[[#This Row],[Fee]]&gt;500,Table26[[#This Row],[Fee]],"")</f>
        <v/>
      </c>
    </row>
    <row r="1062" spans="1:10" hidden="1">
      <c r="A1062">
        <v>1061</v>
      </c>
      <c r="B1062" t="s">
        <v>641</v>
      </c>
      <c r="C1062" t="s">
        <v>415</v>
      </c>
      <c r="D1062" t="str">
        <f t="array" ref="D1062">TEXT(Table26[[#This Row],[Date]],"MMMM")</f>
        <v>September</v>
      </c>
      <c r="E1062">
        <v>500</v>
      </c>
      <c r="F1062" t="s">
        <v>591</v>
      </c>
      <c r="G1062" t="s">
        <v>1749</v>
      </c>
      <c r="H1062" s="38">
        <v>46272</v>
      </c>
      <c r="I1062" cm="1">
        <f t="array" ref="I1062">IFERROR(INDEX('ALL STUDENTS'!$A:$A, MATCH(1, ('ALL STUDENTS'!$B:$B = B1062) * ('ALL STUDENTS'!$C:$C = C1062), 0)), "NOT FOUND")</f>
        <v>989</v>
      </c>
      <c r="J1062" t="str">
        <f>IF(Table26[[#This Row],[Fee]]&gt;500,Table26[[#This Row],[Fee]],"")</f>
        <v/>
      </c>
    </row>
    <row r="1063" spans="1:10" hidden="1">
      <c r="A1063">
        <v>1062</v>
      </c>
      <c r="B1063" t="s">
        <v>641</v>
      </c>
      <c r="C1063" t="s">
        <v>415</v>
      </c>
      <c r="D1063" t="str">
        <f t="array" ref="D1063">TEXT(Table26[[#This Row],[Date]],"MMMM")</f>
        <v>September</v>
      </c>
      <c r="E1063">
        <v>500</v>
      </c>
      <c r="F1063" t="s">
        <v>591</v>
      </c>
      <c r="G1063" t="s">
        <v>1750</v>
      </c>
      <c r="H1063" s="38">
        <v>46272</v>
      </c>
      <c r="I1063" cm="1">
        <f t="array" ref="I1063">IFERROR(INDEX('ALL STUDENTS'!$A:$A, MATCH(1, ('ALL STUDENTS'!$B:$B = B1063) * ('ALL STUDENTS'!$C:$C = C1063), 0)), "NOT FOUND")</f>
        <v>989</v>
      </c>
      <c r="J1063" t="str">
        <f>IF(Table26[[#This Row],[Fee]]&gt;500,Table26[[#This Row],[Fee]],"")</f>
        <v/>
      </c>
    </row>
    <row r="1064" spans="1:10" hidden="1">
      <c r="A1064">
        <v>1063</v>
      </c>
      <c r="B1064" t="s">
        <v>642</v>
      </c>
      <c r="C1064" t="s">
        <v>324</v>
      </c>
      <c r="D1064" t="str">
        <f t="array" ref="D1064">TEXT(Table26[[#This Row],[Date]],"MMMM")</f>
        <v>September</v>
      </c>
      <c r="E1064">
        <v>500</v>
      </c>
      <c r="F1064" t="s">
        <v>591</v>
      </c>
      <c r="G1064" t="s">
        <v>1751</v>
      </c>
      <c r="H1064" s="38">
        <v>46272</v>
      </c>
      <c r="I1064" cm="1">
        <f t="array" ref="I1064">IFERROR(INDEX('ALL STUDENTS'!$A:$A, MATCH(1, ('ALL STUDENTS'!$B:$B = B1064) * ('ALL STUDENTS'!$C:$C = C1064), 0)), "NOT FOUND")</f>
        <v>2447</v>
      </c>
      <c r="J1064" t="str">
        <f>IF(Table26[[#This Row],[Fee]]&gt;500,Table26[[#This Row],[Fee]],"")</f>
        <v/>
      </c>
    </row>
    <row r="1065" spans="1:10" hidden="1">
      <c r="A1065">
        <v>1064</v>
      </c>
      <c r="B1065" t="s">
        <v>498</v>
      </c>
      <c r="C1065" t="s">
        <v>496</v>
      </c>
      <c r="D1065" t="str">
        <f t="array" ref="D1065">TEXT(Table26[[#This Row],[Date]],"MMMM")</f>
        <v>September</v>
      </c>
      <c r="E1065">
        <v>500</v>
      </c>
      <c r="F1065" t="s">
        <v>591</v>
      </c>
      <c r="G1065" t="s">
        <v>1752</v>
      </c>
      <c r="H1065" s="38">
        <v>46272</v>
      </c>
      <c r="I1065" cm="1">
        <f t="array" ref="I1065">IFERROR(INDEX('ALL STUDENTS'!$A:$A, MATCH(1, ('ALL STUDENTS'!$B:$B = B1065) * ('ALL STUDENTS'!$C:$C = C1065), 0)), "NOT FOUND")</f>
        <v>367</v>
      </c>
      <c r="J1065" t="str">
        <f>IF(Table26[[#This Row],[Fee]]&gt;500,Table26[[#This Row],[Fee]],"")</f>
        <v/>
      </c>
    </row>
    <row r="1066" spans="1:10" hidden="1">
      <c r="A1066">
        <v>1065</v>
      </c>
      <c r="B1066" t="s">
        <v>643</v>
      </c>
      <c r="C1066" t="s">
        <v>232</v>
      </c>
      <c r="D1066" t="str">
        <f t="array" ref="D1066">TEXT(Table26[[#This Row],[Date]],"MMMM")</f>
        <v>September</v>
      </c>
      <c r="E1066">
        <v>500</v>
      </c>
      <c r="F1066" t="s">
        <v>591</v>
      </c>
      <c r="G1066" t="s">
        <v>1753</v>
      </c>
      <c r="H1066" s="38">
        <v>46272</v>
      </c>
      <c r="I1066" cm="1">
        <f t="array" ref="I1066">IFERROR(INDEX('ALL STUDENTS'!$A:$A, MATCH(1, ('ALL STUDENTS'!$B:$B = B1066) * ('ALL STUDENTS'!$C:$C = C1066), 0)), "NOT FOUND")</f>
        <v>2095</v>
      </c>
      <c r="J1066" t="str">
        <f>IF(Table26[[#This Row],[Fee]]&gt;500,Table26[[#This Row],[Fee]],"")</f>
        <v/>
      </c>
    </row>
    <row r="1067" spans="1:10">
      <c r="A1067">
        <v>1066</v>
      </c>
      <c r="B1067" t="s">
        <v>306</v>
      </c>
      <c r="C1067" t="s">
        <v>304</v>
      </c>
      <c r="D1067" t="str">
        <f t="array" ref="D1067">TEXT(Table26[[#This Row],[Date]],"MMMM")</f>
        <v>September</v>
      </c>
      <c r="E1067">
        <v>500</v>
      </c>
      <c r="F1067" t="s">
        <v>591</v>
      </c>
      <c r="G1067" t="s">
        <v>1754</v>
      </c>
      <c r="H1067" s="38">
        <v>46273</v>
      </c>
      <c r="I1067" t="str" cm="1">
        <f t="array" ref="I1067">IFERROR(INDEX('ALL STUDENTS'!$A:$A, MATCH(1, ('ALL STUDENTS'!$B:$B = B1067) * ('ALL STUDENTS'!$C:$C = C1067), 0)), "NOT FOUND")</f>
        <v>NOT FOUND</v>
      </c>
      <c r="J1067" t="str">
        <f>IF(Table26[[#This Row],[Fee]]&gt;500,Table26[[#This Row],[Fee]],"")</f>
        <v/>
      </c>
    </row>
    <row r="1068" spans="1:10" hidden="1">
      <c r="A1068">
        <v>1067</v>
      </c>
      <c r="B1068" t="s">
        <v>42</v>
      </c>
      <c r="C1068" t="s">
        <v>32</v>
      </c>
      <c r="D1068" t="str">
        <f t="array" ref="D1068">TEXT(Table26[[#This Row],[Date]],"MMMM")</f>
        <v>September</v>
      </c>
      <c r="E1068">
        <v>500</v>
      </c>
      <c r="F1068" t="s">
        <v>591</v>
      </c>
      <c r="G1068" t="s">
        <v>1755</v>
      </c>
      <c r="H1068" s="38">
        <v>46273</v>
      </c>
      <c r="I1068" cm="1">
        <f t="array" ref="I1068">IFERROR(INDEX('ALL STUDENTS'!$A:$A, MATCH(1, ('ALL STUDENTS'!$B:$B = B1068) * ('ALL STUDENTS'!$C:$C = C1068), 0)), "NOT FOUND")</f>
        <v>3067</v>
      </c>
      <c r="J1068" t="str">
        <f>IF(Table26[[#This Row],[Fee]]&gt;500,Table26[[#This Row],[Fee]],"")</f>
        <v/>
      </c>
    </row>
    <row r="1069" spans="1:10" hidden="1">
      <c r="A1069">
        <v>1068</v>
      </c>
      <c r="B1069" t="s">
        <v>1891</v>
      </c>
      <c r="C1069" t="s">
        <v>397</v>
      </c>
      <c r="D1069" t="str">
        <f t="array" ref="D1069">TEXT(Table26[[#This Row],[Date]],"MMMM")</f>
        <v>September</v>
      </c>
      <c r="E1069">
        <v>500</v>
      </c>
      <c r="F1069" t="s">
        <v>589</v>
      </c>
      <c r="G1069" t="s">
        <v>1756</v>
      </c>
      <c r="H1069" s="38">
        <v>46274</v>
      </c>
      <c r="I1069" cm="1">
        <f t="array" ref="I1069">IFERROR(INDEX('ALL STUDENTS'!$A:$A, MATCH(1, ('ALL STUDENTS'!$B:$B = B1069) * ('ALL STUDENTS'!$C:$C = C1069), 0)), "NOT FOUND")</f>
        <v>943</v>
      </c>
      <c r="J1069" t="str">
        <f>IF(Table26[[#This Row],[Fee]]&gt;500,Table26[[#This Row],[Fee]],"")</f>
        <v/>
      </c>
    </row>
    <row r="1070" spans="1:10" hidden="1">
      <c r="A1070">
        <v>1069</v>
      </c>
      <c r="B1070" t="s">
        <v>645</v>
      </c>
      <c r="C1070" t="s">
        <v>440</v>
      </c>
      <c r="D1070" t="str">
        <f t="array" ref="D1070">TEXT(Table26[[#This Row],[Date]],"MMMM")</f>
        <v>September</v>
      </c>
      <c r="E1070">
        <v>500</v>
      </c>
      <c r="F1070" t="s">
        <v>589</v>
      </c>
      <c r="G1070" t="s">
        <v>1757</v>
      </c>
      <c r="H1070" s="38">
        <v>46274</v>
      </c>
      <c r="I1070" cm="1">
        <f t="array" ref="I1070">IFERROR(INDEX('ALL STUDENTS'!$A:$A, MATCH(1, ('ALL STUDENTS'!$B:$B = B1070) * ('ALL STUDENTS'!$C:$C = C1070), 0)), "NOT FOUND")</f>
        <v>639</v>
      </c>
      <c r="J1070" t="str">
        <f>IF(Table26[[#This Row],[Fee]]&gt;500,Table26[[#This Row],[Fee]],"")</f>
        <v/>
      </c>
    </row>
    <row r="1071" spans="1:10" hidden="1">
      <c r="A1071">
        <v>1070</v>
      </c>
      <c r="B1071" t="s">
        <v>646</v>
      </c>
      <c r="C1071" t="s">
        <v>548</v>
      </c>
      <c r="D1071" t="str">
        <f t="array" ref="D1071">TEXT(Table26[[#This Row],[Date]],"MMMM")</f>
        <v>August</v>
      </c>
      <c r="E1071">
        <v>500</v>
      </c>
      <c r="F1071" t="s">
        <v>589</v>
      </c>
      <c r="G1071" t="s">
        <v>1758</v>
      </c>
      <c r="H1071" s="38">
        <v>46235</v>
      </c>
      <c r="I1071" cm="1">
        <f t="array" ref="I1071">IFERROR(INDEX('ALL STUDENTS'!$A:$A, MATCH(1, ('ALL STUDENTS'!$B:$B = B1071) * ('ALL STUDENTS'!$C:$C = C1071), 0)), "NOT FOUND")</f>
        <v>185</v>
      </c>
      <c r="J1071" t="str">
        <f>IF(Table26[[#This Row],[Fee]]&gt;500,Table26[[#This Row],[Fee]],"")</f>
        <v/>
      </c>
    </row>
    <row r="1072" spans="1:10" hidden="1">
      <c r="A1072">
        <v>1071</v>
      </c>
      <c r="B1072" t="s">
        <v>647</v>
      </c>
      <c r="C1072" t="s">
        <v>581</v>
      </c>
      <c r="D1072" t="str">
        <f t="array" ref="D1072">TEXT(Table26[[#This Row],[Date]],"MMMM")</f>
        <v>August</v>
      </c>
      <c r="E1072">
        <v>500</v>
      </c>
      <c r="F1072" t="s">
        <v>589</v>
      </c>
      <c r="G1072" t="s">
        <v>1759</v>
      </c>
      <c r="H1072" s="38">
        <v>46235</v>
      </c>
      <c r="I1072" cm="1">
        <f t="array" ref="I1072">IFERROR(INDEX('ALL STUDENTS'!$A:$A, MATCH(1, ('ALL STUDENTS'!$B:$B = B1072) * ('ALL STUDENTS'!$C:$C = C1072), 0)), "NOT FOUND")</f>
        <v>2596</v>
      </c>
      <c r="J1072" t="str">
        <f>IF(Table26[[#This Row],[Fee]]&gt;500,Table26[[#This Row],[Fee]],"")</f>
        <v/>
      </c>
    </row>
    <row r="1073" spans="1:10" hidden="1">
      <c r="A1073">
        <v>1072</v>
      </c>
      <c r="B1073" t="s">
        <v>194</v>
      </c>
      <c r="C1073" t="s">
        <v>185</v>
      </c>
      <c r="D1073" t="str">
        <f t="array" ref="D1073">TEXT(Table26[[#This Row],[Date]],"MMMM")</f>
        <v>September</v>
      </c>
      <c r="E1073">
        <v>500</v>
      </c>
      <c r="F1073" t="s">
        <v>589</v>
      </c>
      <c r="G1073" t="s">
        <v>1760</v>
      </c>
      <c r="H1073" s="38">
        <v>46274</v>
      </c>
      <c r="I1073" cm="1">
        <f t="array" ref="I1073">IFERROR(INDEX('ALL STUDENTS'!$A:$A, MATCH(1, ('ALL STUDENTS'!$B:$B = B1073) * ('ALL STUDENTS'!$C:$C = C1073), 0)), "NOT FOUND")</f>
        <v>1817</v>
      </c>
      <c r="J1073" t="str">
        <f>IF(Table26[[#This Row],[Fee]]&gt;500,Table26[[#This Row],[Fee]],"")</f>
        <v/>
      </c>
    </row>
    <row r="1074" spans="1:10" hidden="1">
      <c r="A1074">
        <v>1073</v>
      </c>
      <c r="B1074" t="s">
        <v>648</v>
      </c>
      <c r="C1074" t="s">
        <v>62</v>
      </c>
      <c r="D1074" t="str">
        <f t="array" ref="D1074">TEXT(Table26[[#This Row],[Date]],"MMMM")</f>
        <v>September</v>
      </c>
      <c r="E1074">
        <v>500</v>
      </c>
      <c r="F1074" t="s">
        <v>589</v>
      </c>
      <c r="G1074" t="s">
        <v>1761</v>
      </c>
      <c r="H1074" s="38">
        <v>46274</v>
      </c>
      <c r="I1074" cm="1">
        <f t="array" ref="I1074">IFERROR(INDEX('ALL STUDENTS'!$A:$A, MATCH(1, ('ALL STUDENTS'!$B:$B = B1074) * ('ALL STUDENTS'!$C:$C = C1074), 0)), "NOT FOUND")</f>
        <v>3184</v>
      </c>
      <c r="J1074" t="str">
        <f>IF(Table26[[#This Row],[Fee]]&gt;500,Table26[[#This Row],[Fee]],"")</f>
        <v/>
      </c>
    </row>
    <row r="1075" spans="1:10" hidden="1">
      <c r="A1075">
        <v>1074</v>
      </c>
      <c r="B1075" t="s">
        <v>648</v>
      </c>
      <c r="C1075" t="s">
        <v>62</v>
      </c>
      <c r="D1075" t="str">
        <f t="array" ref="D1075">TEXT(Table26[[#This Row],[Date]],"MMMM")</f>
        <v>September</v>
      </c>
      <c r="E1075">
        <v>500</v>
      </c>
      <c r="F1075" t="s">
        <v>589</v>
      </c>
      <c r="G1075" t="s">
        <v>1762</v>
      </c>
      <c r="H1075" s="38">
        <v>46274</v>
      </c>
      <c r="I1075" cm="1">
        <f t="array" ref="I1075">IFERROR(INDEX('ALL STUDENTS'!$A:$A, MATCH(1, ('ALL STUDENTS'!$B:$B = B1075) * ('ALL STUDENTS'!$C:$C = C1075), 0)), "NOT FOUND")</f>
        <v>3184</v>
      </c>
      <c r="J1075" t="str">
        <f>IF(Table26[[#This Row],[Fee]]&gt;500,Table26[[#This Row],[Fee]],"")</f>
        <v/>
      </c>
    </row>
    <row r="1076" spans="1:10" hidden="1">
      <c r="A1076">
        <v>1075</v>
      </c>
      <c r="B1076" t="s">
        <v>648</v>
      </c>
      <c r="C1076" t="s">
        <v>62</v>
      </c>
      <c r="D1076" t="str">
        <f t="array" ref="D1076">TEXT(Table26[[#This Row],[Date]],"MMMM")</f>
        <v>September</v>
      </c>
      <c r="E1076">
        <v>500</v>
      </c>
      <c r="F1076" t="s">
        <v>589</v>
      </c>
      <c r="G1076" t="s">
        <v>1763</v>
      </c>
      <c r="H1076" s="38">
        <v>46274</v>
      </c>
      <c r="I1076" cm="1">
        <f t="array" ref="I1076">IFERROR(INDEX('ALL STUDENTS'!$A:$A, MATCH(1, ('ALL STUDENTS'!$B:$B = B1076) * ('ALL STUDENTS'!$C:$C = C1076), 0)), "NOT FOUND")</f>
        <v>3184</v>
      </c>
      <c r="J1076" t="str">
        <f>IF(Table26[[#This Row],[Fee]]&gt;500,Table26[[#This Row],[Fee]],"")</f>
        <v/>
      </c>
    </row>
    <row r="1077" spans="1:10" hidden="1">
      <c r="A1077">
        <v>1076</v>
      </c>
      <c r="B1077" t="s">
        <v>649</v>
      </c>
      <c r="C1077" t="s">
        <v>480</v>
      </c>
      <c r="D1077" t="str">
        <f t="array" ref="D1077">TEXT(Table26[[#This Row],[Date]],"MMMM")</f>
        <v>September</v>
      </c>
      <c r="E1077">
        <v>500</v>
      </c>
      <c r="F1077" t="s">
        <v>589</v>
      </c>
      <c r="G1077" t="s">
        <v>1764</v>
      </c>
      <c r="H1077" s="38">
        <v>46273</v>
      </c>
      <c r="I1077" cm="1">
        <f t="array" ref="I1077">IFERROR(INDEX('ALL STUDENTS'!$A:$A, MATCH(1, ('ALL STUDENTS'!$B:$B = B1077) * ('ALL STUDENTS'!$C:$C = C1077), 0)), "NOT FOUND")</f>
        <v>283</v>
      </c>
      <c r="J1077" t="str">
        <f>IF(Table26[[#This Row],[Fee]]&gt;500,Table26[[#This Row],[Fee]],"")</f>
        <v/>
      </c>
    </row>
    <row r="1078" spans="1:10" hidden="1">
      <c r="A1078">
        <v>1077</v>
      </c>
      <c r="B1078" t="s">
        <v>650</v>
      </c>
      <c r="C1078" t="s">
        <v>113</v>
      </c>
      <c r="D1078" t="str">
        <f t="array" ref="D1078">TEXT(Table26[[#This Row],[Date]],"MMMM")</f>
        <v>September</v>
      </c>
      <c r="E1078">
        <v>500</v>
      </c>
      <c r="F1078" t="s">
        <v>589</v>
      </c>
      <c r="G1078" t="s">
        <v>1765</v>
      </c>
      <c r="H1078" s="38">
        <v>46274</v>
      </c>
      <c r="I1078" cm="1">
        <f t="array" ref="I1078">IFERROR(INDEX('ALL STUDENTS'!$A:$A, MATCH(1, ('ALL STUDENTS'!$B:$B = B1078) * ('ALL STUDENTS'!$C:$C = C1078), 0)), "NOT FOUND")</f>
        <v>1650</v>
      </c>
      <c r="J1078" t="str">
        <f>IF(Table26[[#This Row],[Fee]]&gt;500,Table26[[#This Row],[Fee]],"")</f>
        <v/>
      </c>
    </row>
    <row r="1079" spans="1:10" hidden="1">
      <c r="A1079">
        <v>1078</v>
      </c>
      <c r="B1079" t="s">
        <v>650</v>
      </c>
      <c r="C1079" t="s">
        <v>113</v>
      </c>
      <c r="D1079" t="str">
        <f t="array" ref="D1079">TEXT(Table26[[#This Row],[Date]],"MMMM")</f>
        <v>September</v>
      </c>
      <c r="E1079">
        <v>500</v>
      </c>
      <c r="F1079" t="s">
        <v>589</v>
      </c>
      <c r="G1079" t="s">
        <v>1766</v>
      </c>
      <c r="H1079" s="38">
        <v>46274</v>
      </c>
      <c r="I1079" cm="1">
        <f t="array" ref="I1079">IFERROR(INDEX('ALL STUDENTS'!$A:$A, MATCH(1, ('ALL STUDENTS'!$B:$B = B1079) * ('ALL STUDENTS'!$C:$C = C1079), 0)), "NOT FOUND")</f>
        <v>1650</v>
      </c>
      <c r="J1079" t="str">
        <f>IF(Table26[[#This Row],[Fee]]&gt;500,Table26[[#This Row],[Fee]],"")</f>
        <v/>
      </c>
    </row>
    <row r="1080" spans="1:10" hidden="1">
      <c r="A1080">
        <v>1079</v>
      </c>
      <c r="B1080" t="s">
        <v>650</v>
      </c>
      <c r="C1080" t="s">
        <v>113</v>
      </c>
      <c r="D1080" t="str">
        <f t="array" ref="D1080">TEXT(Table26[[#This Row],[Date]],"MMMM")</f>
        <v>September</v>
      </c>
      <c r="E1080">
        <v>500</v>
      </c>
      <c r="F1080" t="s">
        <v>589</v>
      </c>
      <c r="G1080" t="s">
        <v>1767</v>
      </c>
      <c r="H1080" s="38">
        <v>46274</v>
      </c>
      <c r="I1080" cm="1">
        <f t="array" ref="I1080">IFERROR(INDEX('ALL STUDENTS'!$A:$A, MATCH(1, ('ALL STUDENTS'!$B:$B = B1080) * ('ALL STUDENTS'!$C:$C = C1080), 0)), "NOT FOUND")</f>
        <v>1650</v>
      </c>
      <c r="J1080" t="str">
        <f>IF(Table26[[#This Row],[Fee]]&gt;500,Table26[[#This Row],[Fee]],"")</f>
        <v/>
      </c>
    </row>
    <row r="1081" spans="1:10" hidden="1">
      <c r="A1081">
        <v>1080</v>
      </c>
      <c r="B1081" t="s">
        <v>651</v>
      </c>
      <c r="C1081" t="s">
        <v>366</v>
      </c>
      <c r="D1081" t="str">
        <f t="array" ref="D1081">TEXT(Table26[[#This Row],[Date]],"MMMM")</f>
        <v>September</v>
      </c>
      <c r="E1081">
        <v>500</v>
      </c>
      <c r="F1081" t="s">
        <v>589</v>
      </c>
      <c r="G1081" t="s">
        <v>1768</v>
      </c>
      <c r="H1081" s="38">
        <v>46274</v>
      </c>
      <c r="I1081" cm="1">
        <f t="array" ref="I1081">IFERROR(INDEX('ALL STUDENTS'!$A:$A, MATCH(1, ('ALL STUDENTS'!$B:$B = B1081) * ('ALL STUDENTS'!$C:$C = C1081), 0)), "NOT FOUND")</f>
        <v>818</v>
      </c>
      <c r="J1081" t="str">
        <f>IF(Table26[[#This Row],[Fee]]&gt;500,Table26[[#This Row],[Fee]],"")</f>
        <v/>
      </c>
    </row>
    <row r="1082" spans="1:10" hidden="1">
      <c r="A1082">
        <v>1081</v>
      </c>
      <c r="B1082" t="s">
        <v>651</v>
      </c>
      <c r="C1082" t="s">
        <v>366</v>
      </c>
      <c r="D1082" t="str">
        <f t="array" ref="D1082">TEXT(Table26[[#This Row],[Date]],"MMMM")</f>
        <v>September</v>
      </c>
      <c r="E1082">
        <v>500</v>
      </c>
      <c r="F1082" t="s">
        <v>589</v>
      </c>
      <c r="G1082" t="s">
        <v>1769</v>
      </c>
      <c r="H1082" s="38">
        <v>46274</v>
      </c>
      <c r="I1082" cm="1">
        <f t="array" ref="I1082">IFERROR(INDEX('ALL STUDENTS'!$A:$A, MATCH(1, ('ALL STUDENTS'!$B:$B = B1082) * ('ALL STUDENTS'!$C:$C = C1082), 0)), "NOT FOUND")</f>
        <v>818</v>
      </c>
      <c r="J1082" t="str">
        <f>IF(Table26[[#This Row],[Fee]]&gt;500,Table26[[#This Row],[Fee]],"")</f>
        <v/>
      </c>
    </row>
    <row r="1083" spans="1:10" hidden="1">
      <c r="A1083">
        <v>1082</v>
      </c>
      <c r="B1083" t="s">
        <v>651</v>
      </c>
      <c r="C1083" t="s">
        <v>366</v>
      </c>
      <c r="D1083" t="str">
        <f t="array" ref="D1083">TEXT(Table26[[#This Row],[Date]],"MMMM")</f>
        <v>September</v>
      </c>
      <c r="E1083">
        <v>500</v>
      </c>
      <c r="F1083" t="s">
        <v>589</v>
      </c>
      <c r="G1083" t="s">
        <v>1770</v>
      </c>
      <c r="H1083" s="38">
        <v>46274</v>
      </c>
      <c r="I1083" cm="1">
        <f t="array" ref="I1083">IFERROR(INDEX('ALL STUDENTS'!$A:$A, MATCH(1, ('ALL STUDENTS'!$B:$B = B1083) * ('ALL STUDENTS'!$C:$C = C1083), 0)), "NOT FOUND")</f>
        <v>818</v>
      </c>
      <c r="J1083" t="str">
        <f>IF(Table26[[#This Row],[Fee]]&gt;500,Table26[[#This Row],[Fee]],"")</f>
        <v/>
      </c>
    </row>
    <row r="1084" spans="1:10" hidden="1">
      <c r="A1084">
        <v>1083</v>
      </c>
      <c r="B1084" t="s">
        <v>652</v>
      </c>
      <c r="C1084" t="s">
        <v>480</v>
      </c>
      <c r="D1084" t="str">
        <f t="array" ref="D1084">TEXT(Table26[[#This Row],[Date]],"MMMM")</f>
        <v>September</v>
      </c>
      <c r="E1084">
        <v>500</v>
      </c>
      <c r="F1084" t="s">
        <v>589</v>
      </c>
      <c r="G1084" t="s">
        <v>1771</v>
      </c>
      <c r="H1084" s="38">
        <v>46274</v>
      </c>
      <c r="I1084" cm="1">
        <f t="array" ref="I1084">IFERROR(INDEX('ALL STUDENTS'!$A:$A, MATCH(1, ('ALL STUDENTS'!$B:$B = B1084) * ('ALL STUDENTS'!$C:$C = C1084), 0)), "NOT FOUND")</f>
        <v>281</v>
      </c>
      <c r="J1084" t="str">
        <f>IF(Table26[[#This Row],[Fee]]&gt;500,Table26[[#This Row],[Fee]],"")</f>
        <v/>
      </c>
    </row>
    <row r="1085" spans="1:10" hidden="1">
      <c r="A1085">
        <v>1084</v>
      </c>
      <c r="B1085" t="s">
        <v>652</v>
      </c>
      <c r="C1085" t="s">
        <v>480</v>
      </c>
      <c r="D1085" t="str">
        <f t="array" ref="D1085">TEXT(Table26[[#This Row],[Date]],"MMMM")</f>
        <v>September</v>
      </c>
      <c r="E1085">
        <v>500</v>
      </c>
      <c r="F1085" t="s">
        <v>589</v>
      </c>
      <c r="G1085" t="s">
        <v>1772</v>
      </c>
      <c r="H1085" s="38">
        <v>46274</v>
      </c>
      <c r="I1085" cm="1">
        <f t="array" ref="I1085">IFERROR(INDEX('ALL STUDENTS'!$A:$A, MATCH(1, ('ALL STUDENTS'!$B:$B = B1085) * ('ALL STUDENTS'!$C:$C = C1085), 0)), "NOT FOUND")</f>
        <v>281</v>
      </c>
      <c r="J1085" t="str">
        <f>IF(Table26[[#This Row],[Fee]]&gt;500,Table26[[#This Row],[Fee]],"")</f>
        <v/>
      </c>
    </row>
    <row r="1086" spans="1:10" hidden="1">
      <c r="A1086">
        <v>1085</v>
      </c>
      <c r="B1086" t="s">
        <v>652</v>
      </c>
      <c r="C1086" t="s">
        <v>480</v>
      </c>
      <c r="D1086" t="str">
        <f t="array" ref="D1086">TEXT(Table26[[#This Row],[Date]],"MMMM")</f>
        <v>September</v>
      </c>
      <c r="E1086">
        <v>500</v>
      </c>
      <c r="F1086" t="s">
        <v>589</v>
      </c>
      <c r="G1086" t="s">
        <v>1773</v>
      </c>
      <c r="H1086" s="38">
        <v>46274</v>
      </c>
      <c r="I1086" cm="1">
        <f t="array" ref="I1086">IFERROR(INDEX('ALL STUDENTS'!$A:$A, MATCH(1, ('ALL STUDENTS'!$B:$B = B1086) * ('ALL STUDENTS'!$C:$C = C1086), 0)), "NOT FOUND")</f>
        <v>281</v>
      </c>
      <c r="J1086" t="str">
        <f>IF(Table26[[#This Row],[Fee]]&gt;500,Table26[[#This Row],[Fee]],"")</f>
        <v/>
      </c>
    </row>
    <row r="1087" spans="1:10" hidden="1">
      <c r="A1087">
        <v>1086</v>
      </c>
      <c r="B1087" t="s">
        <v>40</v>
      </c>
      <c r="C1087" t="s">
        <v>32</v>
      </c>
      <c r="D1087" t="str">
        <f t="array" ref="D1087">TEXT(Table26[[#This Row],[Date]],"MMMM")</f>
        <v>September</v>
      </c>
      <c r="E1087">
        <v>500</v>
      </c>
      <c r="F1087" t="s">
        <v>589</v>
      </c>
      <c r="G1087" t="s">
        <v>1774</v>
      </c>
      <c r="H1087" s="38">
        <v>46274</v>
      </c>
      <c r="I1087" cm="1">
        <f t="array" ref="I1087">IFERROR(INDEX('ALL STUDENTS'!$A:$A, MATCH(1, ('ALL STUDENTS'!$B:$B = B1087) * ('ALL STUDENTS'!$C:$C = C1087), 0)), "NOT FOUND")</f>
        <v>3095</v>
      </c>
      <c r="J1087" t="str">
        <f>IF(Table26[[#This Row],[Fee]]&gt;500,Table26[[#This Row],[Fee]],"")</f>
        <v/>
      </c>
    </row>
    <row r="1088" spans="1:10" hidden="1">
      <c r="A1088">
        <v>1087</v>
      </c>
      <c r="B1088" t="s">
        <v>39</v>
      </c>
      <c r="C1088" t="s">
        <v>32</v>
      </c>
      <c r="D1088" t="str">
        <f t="array" ref="D1088">TEXT(Table26[[#This Row],[Date]],"MMMM")</f>
        <v>September</v>
      </c>
      <c r="E1088">
        <v>500</v>
      </c>
      <c r="F1088" t="s">
        <v>589</v>
      </c>
      <c r="G1088" t="s">
        <v>1775</v>
      </c>
      <c r="H1088" s="38">
        <v>46274</v>
      </c>
      <c r="I1088" cm="1">
        <f t="array" ref="I1088">IFERROR(INDEX('ALL STUDENTS'!$A:$A, MATCH(1, ('ALL STUDENTS'!$B:$B = B1088) * ('ALL STUDENTS'!$C:$C = C1088), 0)), "NOT FOUND")</f>
        <v>3094</v>
      </c>
      <c r="J1088" t="str">
        <f>IF(Table26[[#This Row],[Fee]]&gt;500,Table26[[#This Row],[Fee]],"")</f>
        <v/>
      </c>
    </row>
    <row r="1089" spans="1:10" hidden="1">
      <c r="A1089">
        <v>1088</v>
      </c>
      <c r="B1089" t="s">
        <v>653</v>
      </c>
      <c r="C1089" t="s">
        <v>294</v>
      </c>
      <c r="D1089" t="str">
        <f t="array" ref="D1089">TEXT(Table26[[#This Row],[Date]],"MMMM")</f>
        <v>September</v>
      </c>
      <c r="E1089">
        <v>1500</v>
      </c>
      <c r="F1089" t="s">
        <v>589</v>
      </c>
      <c r="G1089" t="s">
        <v>1776</v>
      </c>
      <c r="H1089" s="38">
        <v>46274</v>
      </c>
      <c r="I1089" cm="1">
        <f t="array" ref="I1089">IFERROR(INDEX('ALL STUDENTS'!$A:$A, MATCH(1, ('ALL STUDENTS'!$B:$B = B1089) * ('ALL STUDENTS'!$C:$C = C1089), 0)), "NOT FOUND")</f>
        <v>2276</v>
      </c>
      <c r="J1089">
        <f>IF(Table26[[#This Row],[Fee]]&gt;500,Table26[[#This Row],[Fee]],"")</f>
        <v>1500</v>
      </c>
    </row>
    <row r="1090" spans="1:10" hidden="1">
      <c r="A1090">
        <v>1089</v>
      </c>
      <c r="B1090" t="s">
        <v>653</v>
      </c>
      <c r="C1090" t="s">
        <v>294</v>
      </c>
      <c r="D1090" t="str">
        <f t="array" ref="D1090">TEXT(Table26[[#This Row],[Date]],"MMMM")</f>
        <v>September</v>
      </c>
      <c r="E1090">
        <v>1500</v>
      </c>
      <c r="F1090" t="s">
        <v>589</v>
      </c>
      <c r="G1090" t="s">
        <v>1777</v>
      </c>
      <c r="H1090" s="38">
        <v>46274</v>
      </c>
      <c r="I1090" cm="1">
        <f t="array" ref="I1090">IFERROR(INDEX('ALL STUDENTS'!$A:$A, MATCH(1, ('ALL STUDENTS'!$B:$B = B1090) * ('ALL STUDENTS'!$C:$C = C1090), 0)), "NOT FOUND")</f>
        <v>2276</v>
      </c>
      <c r="J1090">
        <f>IF(Table26[[#This Row],[Fee]]&gt;500,Table26[[#This Row],[Fee]],"")</f>
        <v>1500</v>
      </c>
    </row>
    <row r="1091" spans="1:10" hidden="1">
      <c r="A1091">
        <v>1090</v>
      </c>
      <c r="B1091" t="s">
        <v>653</v>
      </c>
      <c r="C1091" t="s">
        <v>294</v>
      </c>
      <c r="D1091" t="str">
        <f t="array" ref="D1091">TEXT(Table26[[#This Row],[Date]],"MMMM")</f>
        <v>September</v>
      </c>
      <c r="E1091">
        <v>1500</v>
      </c>
      <c r="F1091" t="s">
        <v>589</v>
      </c>
      <c r="G1091" t="s">
        <v>1778</v>
      </c>
      <c r="H1091" s="38">
        <v>46274</v>
      </c>
      <c r="I1091" cm="1">
        <f t="array" ref="I1091">IFERROR(INDEX('ALL STUDENTS'!$A:$A, MATCH(1, ('ALL STUDENTS'!$B:$B = B1091) * ('ALL STUDENTS'!$C:$C = C1091), 0)), "NOT FOUND")</f>
        <v>2276</v>
      </c>
      <c r="J1091">
        <f>IF(Table26[[#This Row],[Fee]]&gt;500,Table26[[#This Row],[Fee]],"")</f>
        <v>1500</v>
      </c>
    </row>
    <row r="1092" spans="1:10" hidden="1">
      <c r="A1092">
        <v>1091</v>
      </c>
      <c r="B1092" t="s">
        <v>654</v>
      </c>
      <c r="C1092" t="s">
        <v>294</v>
      </c>
      <c r="D1092" t="str">
        <f t="array" ref="D1092">TEXT(Table26[[#This Row],[Date]],"MMMM")</f>
        <v>September</v>
      </c>
      <c r="E1092">
        <v>500</v>
      </c>
      <c r="F1092" t="s">
        <v>589</v>
      </c>
      <c r="G1092" t="s">
        <v>1779</v>
      </c>
      <c r="H1092" s="38">
        <v>46274</v>
      </c>
      <c r="I1092" cm="1">
        <f t="array" ref="I1092">IFERROR(INDEX('ALL STUDENTS'!$A:$A, MATCH(1, ('ALL STUDENTS'!$B:$B = B1092) * ('ALL STUDENTS'!$C:$C = C1092), 0)), "NOT FOUND")</f>
        <v>2277</v>
      </c>
      <c r="J1092" t="str">
        <f>IF(Table26[[#This Row],[Fee]]&gt;500,Table26[[#This Row],[Fee]],"")</f>
        <v/>
      </c>
    </row>
    <row r="1093" spans="1:10" hidden="1">
      <c r="A1093">
        <v>1092</v>
      </c>
      <c r="B1093" t="s">
        <v>654</v>
      </c>
      <c r="C1093" t="s">
        <v>294</v>
      </c>
      <c r="D1093" t="str">
        <f t="array" ref="D1093">TEXT(Table26[[#This Row],[Date]],"MMMM")</f>
        <v>September</v>
      </c>
      <c r="E1093">
        <v>500</v>
      </c>
      <c r="F1093" t="s">
        <v>589</v>
      </c>
      <c r="G1093" t="s">
        <v>1780</v>
      </c>
      <c r="H1093" s="38">
        <v>46274</v>
      </c>
      <c r="I1093" cm="1">
        <f t="array" ref="I1093">IFERROR(INDEX('ALL STUDENTS'!$A:$A, MATCH(1, ('ALL STUDENTS'!$B:$B = B1093) * ('ALL STUDENTS'!$C:$C = C1093), 0)), "NOT FOUND")</f>
        <v>2277</v>
      </c>
      <c r="J1093" t="str">
        <f>IF(Table26[[#This Row],[Fee]]&gt;500,Table26[[#This Row],[Fee]],"")</f>
        <v/>
      </c>
    </row>
    <row r="1094" spans="1:10" hidden="1">
      <c r="A1094">
        <v>1093</v>
      </c>
      <c r="B1094" t="s">
        <v>654</v>
      </c>
      <c r="C1094" t="s">
        <v>294</v>
      </c>
      <c r="D1094" t="str">
        <f t="array" ref="D1094">TEXT(Table26[[#This Row],[Date]],"MMMM")</f>
        <v>September</v>
      </c>
      <c r="E1094">
        <v>500</v>
      </c>
      <c r="F1094" t="s">
        <v>589</v>
      </c>
      <c r="G1094" t="s">
        <v>1781</v>
      </c>
      <c r="H1094" s="38">
        <v>46274</v>
      </c>
      <c r="I1094" cm="1">
        <f t="array" ref="I1094">IFERROR(INDEX('ALL STUDENTS'!$A:$A, MATCH(1, ('ALL STUDENTS'!$B:$B = B1094) * ('ALL STUDENTS'!$C:$C = C1094), 0)), "NOT FOUND")</f>
        <v>2277</v>
      </c>
      <c r="J1094" t="str">
        <f>IF(Table26[[#This Row],[Fee]]&gt;500,Table26[[#This Row],[Fee]],"")</f>
        <v/>
      </c>
    </row>
    <row r="1095" spans="1:10" hidden="1">
      <c r="A1095">
        <v>1094</v>
      </c>
      <c r="B1095" t="s">
        <v>655</v>
      </c>
      <c r="C1095" t="s">
        <v>366</v>
      </c>
      <c r="D1095" t="str">
        <f t="array" ref="D1095">TEXT(Table26[[#This Row],[Date]],"MMMM")</f>
        <v>September</v>
      </c>
      <c r="E1095">
        <v>500</v>
      </c>
      <c r="F1095" t="s">
        <v>589</v>
      </c>
      <c r="G1095" t="s">
        <v>1782</v>
      </c>
      <c r="H1095" s="38">
        <v>46274</v>
      </c>
      <c r="I1095" cm="1">
        <f t="array" ref="I1095">IFERROR(INDEX('ALL STUDENTS'!$A:$A, MATCH(1, ('ALL STUDENTS'!$B:$B = B1095) * ('ALL STUDENTS'!$C:$C = C1095), 0)), "NOT FOUND")</f>
        <v>794</v>
      </c>
      <c r="J1095" t="str">
        <f>IF(Table26[[#This Row],[Fee]]&gt;500,Table26[[#This Row],[Fee]],"")</f>
        <v/>
      </c>
    </row>
    <row r="1096" spans="1:10" hidden="1">
      <c r="A1096">
        <v>1095</v>
      </c>
      <c r="B1096" t="s">
        <v>655</v>
      </c>
      <c r="C1096" t="s">
        <v>366</v>
      </c>
      <c r="D1096" t="str">
        <f t="array" ref="D1096">TEXT(Table26[[#This Row],[Date]],"MMMM")</f>
        <v>September</v>
      </c>
      <c r="E1096">
        <v>500</v>
      </c>
      <c r="F1096" t="s">
        <v>589</v>
      </c>
      <c r="G1096" t="s">
        <v>1783</v>
      </c>
      <c r="H1096" s="38">
        <v>46274</v>
      </c>
      <c r="I1096" cm="1">
        <f t="array" ref="I1096">IFERROR(INDEX('ALL STUDENTS'!$A:$A, MATCH(1, ('ALL STUDENTS'!$B:$B = B1096) * ('ALL STUDENTS'!$C:$C = C1096), 0)), "NOT FOUND")</f>
        <v>794</v>
      </c>
      <c r="J1096" t="str">
        <f>IF(Table26[[#This Row],[Fee]]&gt;500,Table26[[#This Row],[Fee]],"")</f>
        <v/>
      </c>
    </row>
    <row r="1097" spans="1:10" hidden="1">
      <c r="A1097">
        <v>1096</v>
      </c>
      <c r="B1097" t="s">
        <v>655</v>
      </c>
      <c r="C1097" t="s">
        <v>366</v>
      </c>
      <c r="D1097" t="str">
        <f t="array" ref="D1097">TEXT(Table26[[#This Row],[Date]],"MMMM")</f>
        <v>September</v>
      </c>
      <c r="E1097">
        <v>500</v>
      </c>
      <c r="F1097" t="s">
        <v>589</v>
      </c>
      <c r="G1097" t="s">
        <v>1784</v>
      </c>
      <c r="H1097" s="38">
        <v>46274</v>
      </c>
      <c r="I1097" cm="1">
        <f t="array" ref="I1097">IFERROR(INDEX('ALL STUDENTS'!$A:$A, MATCH(1, ('ALL STUDENTS'!$B:$B = B1097) * ('ALL STUDENTS'!$C:$C = C1097), 0)), "NOT FOUND")</f>
        <v>794</v>
      </c>
      <c r="J1097" t="str">
        <f>IF(Table26[[#This Row],[Fee]]&gt;500,Table26[[#This Row],[Fee]],"")</f>
        <v/>
      </c>
    </row>
    <row r="1098" spans="1:10" hidden="1">
      <c r="A1098">
        <v>1097</v>
      </c>
      <c r="B1098" t="s">
        <v>656</v>
      </c>
      <c r="C1098" t="s">
        <v>453</v>
      </c>
      <c r="D1098" t="str">
        <f t="array" ref="D1098">TEXT(Table26[[#This Row],[Date]],"MMMM")</f>
        <v>August</v>
      </c>
      <c r="E1098">
        <v>500</v>
      </c>
      <c r="F1098" t="s">
        <v>589</v>
      </c>
      <c r="G1098" t="s">
        <v>1785</v>
      </c>
      <c r="H1098" s="38">
        <v>46240</v>
      </c>
      <c r="I1098" cm="1">
        <f t="array" ref="I1098">IFERROR(INDEX('ALL STUDENTS'!$A:$A, MATCH(1, ('ALL STUDENTS'!$B:$B = B1098) * ('ALL STUDENTS'!$C:$C = C1098), 0)), "NOT FOUND")</f>
        <v>724</v>
      </c>
      <c r="J1098" t="str">
        <f>IF(Table26[[#This Row],[Fee]]&gt;500,Table26[[#This Row],[Fee]],"")</f>
        <v/>
      </c>
    </row>
    <row r="1099" spans="1:10" hidden="1">
      <c r="A1099">
        <v>1098</v>
      </c>
      <c r="B1099" t="s">
        <v>656</v>
      </c>
      <c r="C1099" t="s">
        <v>453</v>
      </c>
      <c r="D1099" t="str">
        <f t="array" ref="D1099">TEXT(Table26[[#This Row],[Date]],"MMMM")</f>
        <v>September</v>
      </c>
      <c r="E1099">
        <v>500</v>
      </c>
      <c r="F1099" t="s">
        <v>589</v>
      </c>
      <c r="G1099" t="s">
        <v>1786</v>
      </c>
      <c r="H1099" s="38">
        <v>46274</v>
      </c>
      <c r="I1099" cm="1">
        <f t="array" ref="I1099">IFERROR(INDEX('ALL STUDENTS'!$A:$A, MATCH(1, ('ALL STUDENTS'!$B:$B = B1099) * ('ALL STUDENTS'!$C:$C = C1099), 0)), "NOT FOUND")</f>
        <v>724</v>
      </c>
      <c r="J1099" t="str">
        <f>IF(Table26[[#This Row],[Fee]]&gt;500,Table26[[#This Row],[Fee]],"")</f>
        <v/>
      </c>
    </row>
    <row r="1100" spans="1:10" hidden="1">
      <c r="A1100">
        <v>1099</v>
      </c>
      <c r="B1100" t="s">
        <v>657</v>
      </c>
      <c r="C1100" t="s">
        <v>324</v>
      </c>
      <c r="D1100" t="str">
        <f t="array" ref="D1100">TEXT(Table26[[#This Row],[Date]],"MMMM")</f>
        <v>September</v>
      </c>
      <c r="E1100">
        <v>500</v>
      </c>
      <c r="F1100" t="s">
        <v>589</v>
      </c>
      <c r="G1100" t="s">
        <v>1787</v>
      </c>
      <c r="H1100" s="38">
        <v>46275</v>
      </c>
      <c r="I1100" cm="1">
        <f t="array" ref="I1100">IFERROR(INDEX('ALL STUDENTS'!$A:$A, MATCH(1, ('ALL STUDENTS'!$B:$B = B1100) * ('ALL STUDENTS'!$C:$C = C1100), 0)), "NOT FOUND")</f>
        <v>2467</v>
      </c>
      <c r="J1100" t="str">
        <f>IF(Table26[[#This Row],[Fee]]&gt;500,Table26[[#This Row],[Fee]],"")</f>
        <v/>
      </c>
    </row>
    <row r="1101" spans="1:10" hidden="1">
      <c r="A1101">
        <v>1100</v>
      </c>
      <c r="B1101" t="s">
        <v>448</v>
      </c>
      <c r="C1101" t="s">
        <v>447</v>
      </c>
      <c r="D1101" t="str">
        <f t="array" ref="D1101">TEXT(Table26[[#This Row],[Date]],"MMMM")</f>
        <v>September</v>
      </c>
      <c r="E1101">
        <v>500</v>
      </c>
      <c r="F1101" t="s">
        <v>589</v>
      </c>
      <c r="G1101" t="s">
        <v>1788</v>
      </c>
      <c r="H1101" s="38">
        <v>46268</v>
      </c>
      <c r="I1101" cm="1">
        <f t="array" ref="I1101">IFERROR(INDEX('ALL STUDENTS'!$A:$A, MATCH(1, ('ALL STUDENTS'!$B:$B = B1101) * ('ALL STUDENTS'!$C:$C = C1101), 0)), "NOT FOUND")</f>
        <v>687</v>
      </c>
      <c r="J1101" t="str">
        <f>IF(Table26[[#This Row],[Fee]]&gt;500,Table26[[#This Row],[Fee]],"")</f>
        <v/>
      </c>
    </row>
    <row r="1102" spans="1:10" hidden="1">
      <c r="A1102">
        <v>1101</v>
      </c>
      <c r="B1102" t="s">
        <v>658</v>
      </c>
      <c r="C1102" t="s">
        <v>128</v>
      </c>
      <c r="D1102" t="str">
        <f t="array" ref="D1102">TEXT(Table26[[#This Row],[Date]],"MMMM")</f>
        <v>September</v>
      </c>
      <c r="E1102">
        <v>500</v>
      </c>
      <c r="F1102" t="s">
        <v>589</v>
      </c>
      <c r="G1102" t="s">
        <v>1789</v>
      </c>
      <c r="H1102" s="38">
        <v>46266</v>
      </c>
      <c r="I1102" cm="1">
        <f t="array" ref="I1102">IFERROR(INDEX('ALL STUDENTS'!$A:$A, MATCH(1, ('ALL STUDENTS'!$B:$B = B1102) * ('ALL STUDENTS'!$C:$C = C1102), 0)), "NOT FOUND")</f>
        <v>1733</v>
      </c>
      <c r="J1102" t="str">
        <f>IF(Table26[[#This Row],[Fee]]&gt;500,Table26[[#This Row],[Fee]],"")</f>
        <v/>
      </c>
    </row>
    <row r="1103" spans="1:10" hidden="1">
      <c r="A1103">
        <v>1102</v>
      </c>
      <c r="B1103" t="s">
        <v>659</v>
      </c>
      <c r="C1103" t="s">
        <v>453</v>
      </c>
      <c r="D1103" t="str">
        <f t="array" ref="D1103">TEXT(Table26[[#This Row],[Date]],"MMMM")</f>
        <v>September</v>
      </c>
      <c r="E1103">
        <v>500</v>
      </c>
      <c r="F1103" t="s">
        <v>589</v>
      </c>
      <c r="G1103" t="s">
        <v>1790</v>
      </c>
      <c r="H1103" s="38">
        <v>46266</v>
      </c>
      <c r="I1103" cm="1">
        <f t="array" ref="I1103">IFERROR(INDEX('ALL STUDENTS'!$A:$A, MATCH(1, ('ALL STUDENTS'!$B:$B = B1103) * ('ALL STUDENTS'!$C:$C = C1103), 0)), "NOT FOUND")</f>
        <v>723</v>
      </c>
      <c r="J1103" t="str">
        <f>IF(Table26[[#This Row],[Fee]]&gt;500,Table26[[#This Row],[Fee]],"")</f>
        <v/>
      </c>
    </row>
    <row r="1104" spans="1:10" hidden="1">
      <c r="A1104">
        <v>1103</v>
      </c>
      <c r="B1104" t="s">
        <v>660</v>
      </c>
      <c r="C1104" t="s">
        <v>113</v>
      </c>
      <c r="D1104" t="str">
        <f t="array" ref="D1104">TEXT(Table26[[#This Row],[Date]],"MMMM")</f>
        <v>September</v>
      </c>
      <c r="E1104">
        <v>500</v>
      </c>
      <c r="F1104" t="s">
        <v>589</v>
      </c>
      <c r="G1104" t="s">
        <v>1791</v>
      </c>
      <c r="H1104" s="38">
        <v>46266</v>
      </c>
      <c r="I1104" cm="1">
        <f t="array" ref="I1104">IFERROR(INDEX('ALL STUDENTS'!$A:$A, MATCH(1, ('ALL STUDENTS'!$B:$B = B1104) * ('ALL STUDENTS'!$C:$C = C1104), 0)), "NOT FOUND")</f>
        <v>1631</v>
      </c>
      <c r="J1104" t="str">
        <f>IF(Table26[[#This Row],[Fee]]&gt;500,Table26[[#This Row],[Fee]],"")</f>
        <v/>
      </c>
    </row>
    <row r="1105" spans="1:10" hidden="1">
      <c r="A1105">
        <v>1104</v>
      </c>
      <c r="B1105" t="s">
        <v>661</v>
      </c>
      <c r="C1105" t="s">
        <v>496</v>
      </c>
      <c r="D1105" t="str">
        <f t="array" ref="D1105">TEXT(Table26[[#This Row],[Date]],"MMMM")</f>
        <v>August</v>
      </c>
      <c r="E1105">
        <v>500</v>
      </c>
      <c r="F1105" t="s">
        <v>589</v>
      </c>
      <c r="G1105" t="s">
        <v>1792</v>
      </c>
      <c r="H1105" s="38">
        <v>46259</v>
      </c>
      <c r="I1105" cm="1">
        <f t="array" ref="I1105">IFERROR(INDEX('ALL STUDENTS'!$A:$A, MATCH(1, ('ALL STUDENTS'!$B:$B = B1105) * ('ALL STUDENTS'!$C:$C = C1105), 0)), "NOT FOUND")</f>
        <v>348</v>
      </c>
      <c r="J1105" t="str">
        <f>IF(Table26[[#This Row],[Fee]]&gt;500,Table26[[#This Row],[Fee]],"")</f>
        <v/>
      </c>
    </row>
    <row r="1106" spans="1:10" hidden="1">
      <c r="A1106">
        <v>1105</v>
      </c>
      <c r="B1106" t="s">
        <v>26</v>
      </c>
      <c r="C1106" t="s">
        <v>20</v>
      </c>
      <c r="D1106" t="str">
        <f t="array" ref="D1106">TEXT(Table26[[#This Row],[Date]],"MMMM")</f>
        <v>September</v>
      </c>
      <c r="E1106">
        <v>500</v>
      </c>
      <c r="F1106" t="s">
        <v>589</v>
      </c>
      <c r="G1106" t="s">
        <v>1793</v>
      </c>
      <c r="H1106" s="38">
        <v>46275</v>
      </c>
      <c r="I1106" cm="1">
        <f t="array" ref="I1106">IFERROR(INDEX('ALL STUDENTS'!$A:$A, MATCH(1, ('ALL STUDENTS'!$B:$B = B1106) * ('ALL STUDENTS'!$C:$C = C1106), 0)), "NOT FOUND")</f>
        <v>3066</v>
      </c>
      <c r="J1106" t="str">
        <f>IF(Table26[[#This Row],[Fee]]&gt;500,Table26[[#This Row],[Fee]],"")</f>
        <v/>
      </c>
    </row>
    <row r="1107" spans="1:10" hidden="1">
      <c r="A1107">
        <v>1106</v>
      </c>
      <c r="B1107" t="s">
        <v>26</v>
      </c>
      <c r="C1107" t="s">
        <v>20</v>
      </c>
      <c r="D1107" t="str">
        <f t="array" ref="D1107">TEXT(Table26[[#This Row],[Date]],"MMMM")</f>
        <v>September</v>
      </c>
      <c r="E1107">
        <v>500</v>
      </c>
      <c r="F1107" t="s">
        <v>589</v>
      </c>
      <c r="G1107" t="s">
        <v>1794</v>
      </c>
      <c r="H1107" s="38">
        <v>46275</v>
      </c>
      <c r="I1107" cm="1">
        <f t="array" ref="I1107">IFERROR(INDEX('ALL STUDENTS'!$A:$A, MATCH(1, ('ALL STUDENTS'!$B:$B = B1107) * ('ALL STUDENTS'!$C:$C = C1107), 0)), "NOT FOUND")</f>
        <v>3066</v>
      </c>
      <c r="J1107" t="str">
        <f>IF(Table26[[#This Row],[Fee]]&gt;500,Table26[[#This Row],[Fee]],"")</f>
        <v/>
      </c>
    </row>
    <row r="1108" spans="1:10" hidden="1">
      <c r="A1108">
        <v>1107</v>
      </c>
      <c r="B1108" t="s">
        <v>662</v>
      </c>
      <c r="C1108" t="s">
        <v>51</v>
      </c>
      <c r="D1108" t="str">
        <f t="array" ref="D1108">TEXT(Table26[[#This Row],[Date]],"MMMM")</f>
        <v>September</v>
      </c>
      <c r="E1108">
        <v>500</v>
      </c>
      <c r="F1108" t="s">
        <v>589</v>
      </c>
      <c r="G1108" t="s">
        <v>1795</v>
      </c>
      <c r="H1108" s="38">
        <v>46275</v>
      </c>
      <c r="I1108" cm="1">
        <f t="array" ref="I1108">IFERROR(INDEX('ALL STUDENTS'!$A:$A, MATCH(1, ('ALL STUDENTS'!$B:$B = B1108) * ('ALL STUDENTS'!$C:$C = C1108), 0)), "NOT FOUND")</f>
        <v>3106</v>
      </c>
      <c r="J1108" t="str">
        <f>IF(Table26[[#This Row],[Fee]]&gt;500,Table26[[#This Row],[Fee]],"")</f>
        <v/>
      </c>
    </row>
    <row r="1109" spans="1:10" hidden="1">
      <c r="A1109">
        <v>1108</v>
      </c>
      <c r="B1109" t="s">
        <v>663</v>
      </c>
      <c r="C1109" t="s">
        <v>409</v>
      </c>
      <c r="D1109" t="str">
        <f t="array" ref="D1109">TEXT(Table26[[#This Row],[Date]],"MMMM")</f>
        <v>September</v>
      </c>
      <c r="E1109">
        <v>500</v>
      </c>
      <c r="F1109" t="s">
        <v>589</v>
      </c>
      <c r="G1109" t="s">
        <v>1796</v>
      </c>
      <c r="H1109" s="38">
        <v>46275</v>
      </c>
      <c r="I1109" cm="1">
        <f t="array" ref="I1109">IFERROR(INDEX('ALL STUDENTS'!$A:$A, MATCH(1, ('ALL STUDENTS'!$B:$B = B1109) * ('ALL STUDENTS'!$C:$C = C1109), 0)), "NOT FOUND")</f>
        <v>953</v>
      </c>
      <c r="J1109" t="str">
        <f>IF(Table26[[#This Row],[Fee]]&gt;500,Table26[[#This Row],[Fee]],"")</f>
        <v/>
      </c>
    </row>
    <row r="1110" spans="1:10" hidden="1">
      <c r="A1110">
        <v>1109</v>
      </c>
      <c r="B1110" t="s">
        <v>663</v>
      </c>
      <c r="C1110" t="s">
        <v>409</v>
      </c>
      <c r="D1110" t="str">
        <f t="array" ref="D1110">TEXT(Table26[[#This Row],[Date]],"MMMM")</f>
        <v>September</v>
      </c>
      <c r="E1110">
        <v>500</v>
      </c>
      <c r="F1110" t="s">
        <v>589</v>
      </c>
      <c r="G1110" t="s">
        <v>1797</v>
      </c>
      <c r="H1110" s="38">
        <v>46275</v>
      </c>
      <c r="I1110" cm="1">
        <f t="array" ref="I1110">IFERROR(INDEX('ALL STUDENTS'!$A:$A, MATCH(1, ('ALL STUDENTS'!$B:$B = B1110) * ('ALL STUDENTS'!$C:$C = C1110), 0)), "NOT FOUND")</f>
        <v>953</v>
      </c>
      <c r="J1110" t="str">
        <f>IF(Table26[[#This Row],[Fee]]&gt;500,Table26[[#This Row],[Fee]],"")</f>
        <v/>
      </c>
    </row>
    <row r="1111" spans="1:10" hidden="1">
      <c r="A1111">
        <v>1110</v>
      </c>
      <c r="B1111" t="s">
        <v>663</v>
      </c>
      <c r="C1111" t="s">
        <v>409</v>
      </c>
      <c r="D1111" t="str">
        <f t="array" ref="D1111">TEXT(Table26[[#This Row],[Date]],"MMMM")</f>
        <v>September</v>
      </c>
      <c r="E1111">
        <v>500</v>
      </c>
      <c r="F1111" t="s">
        <v>589</v>
      </c>
      <c r="G1111" t="s">
        <v>1798</v>
      </c>
      <c r="H1111" s="38">
        <v>46275</v>
      </c>
      <c r="I1111" cm="1">
        <f t="array" ref="I1111">IFERROR(INDEX('ALL STUDENTS'!$A:$A, MATCH(1, ('ALL STUDENTS'!$B:$B = B1111) * ('ALL STUDENTS'!$C:$C = C1111), 0)), "NOT FOUND")</f>
        <v>953</v>
      </c>
      <c r="J1111" t="str">
        <f>IF(Table26[[#This Row],[Fee]]&gt;500,Table26[[#This Row],[Fee]],"")</f>
        <v/>
      </c>
    </row>
    <row r="1112" spans="1:10" hidden="1">
      <c r="A1112">
        <v>1111</v>
      </c>
      <c r="B1112" t="s">
        <v>664</v>
      </c>
      <c r="C1112" t="s">
        <v>409</v>
      </c>
      <c r="D1112" t="str">
        <f t="array" ref="D1112">TEXT(Table26[[#This Row],[Date]],"MMMM")</f>
        <v>September</v>
      </c>
      <c r="E1112">
        <v>500</v>
      </c>
      <c r="F1112" t="s">
        <v>589</v>
      </c>
      <c r="G1112" t="s">
        <v>1799</v>
      </c>
      <c r="H1112" s="38">
        <v>46275</v>
      </c>
      <c r="I1112" cm="1">
        <f t="array" ref="I1112">IFERROR(INDEX('ALL STUDENTS'!$A:$A, MATCH(1, ('ALL STUDENTS'!$B:$B = B1112) * ('ALL STUDENTS'!$C:$C = C1112), 0)), "NOT FOUND")</f>
        <v>964</v>
      </c>
      <c r="J1112" t="str">
        <f>IF(Table26[[#This Row],[Fee]]&gt;500,Table26[[#This Row],[Fee]],"")</f>
        <v/>
      </c>
    </row>
    <row r="1113" spans="1:10" hidden="1">
      <c r="A1113">
        <v>1112</v>
      </c>
      <c r="B1113" t="s">
        <v>664</v>
      </c>
      <c r="C1113" t="s">
        <v>409</v>
      </c>
      <c r="D1113" t="str">
        <f t="array" ref="D1113">TEXT(Table26[[#This Row],[Date]],"MMMM")</f>
        <v>September</v>
      </c>
      <c r="E1113">
        <v>500</v>
      </c>
      <c r="F1113" t="s">
        <v>589</v>
      </c>
      <c r="G1113" t="s">
        <v>1800</v>
      </c>
      <c r="H1113" s="38">
        <v>46275</v>
      </c>
      <c r="I1113" cm="1">
        <f t="array" ref="I1113">IFERROR(INDEX('ALL STUDENTS'!$A:$A, MATCH(1, ('ALL STUDENTS'!$B:$B = B1113) * ('ALL STUDENTS'!$C:$C = C1113), 0)), "NOT FOUND")</f>
        <v>964</v>
      </c>
      <c r="J1113" t="str">
        <f>IF(Table26[[#This Row],[Fee]]&gt;500,Table26[[#This Row],[Fee]],"")</f>
        <v/>
      </c>
    </row>
    <row r="1114" spans="1:10" hidden="1">
      <c r="A1114">
        <v>1113</v>
      </c>
      <c r="B1114" t="s">
        <v>664</v>
      </c>
      <c r="C1114" t="s">
        <v>409</v>
      </c>
      <c r="D1114" t="str">
        <f t="array" ref="D1114">TEXT(Table26[[#This Row],[Date]],"MMMM")</f>
        <v>September</v>
      </c>
      <c r="E1114">
        <v>500</v>
      </c>
      <c r="F1114" t="s">
        <v>589</v>
      </c>
      <c r="G1114" t="s">
        <v>1801</v>
      </c>
      <c r="H1114" s="38">
        <v>46275</v>
      </c>
      <c r="I1114" cm="1">
        <f t="array" ref="I1114">IFERROR(INDEX('ALL STUDENTS'!$A:$A, MATCH(1, ('ALL STUDENTS'!$B:$B = B1114) * ('ALL STUDENTS'!$C:$C = C1114), 0)), "NOT FOUND")</f>
        <v>964</v>
      </c>
      <c r="J1114" t="str">
        <f>IF(Table26[[#This Row],[Fee]]&gt;500,Table26[[#This Row],[Fee]],"")</f>
        <v/>
      </c>
    </row>
    <row r="1115" spans="1:10" hidden="1">
      <c r="A1115">
        <v>1114</v>
      </c>
      <c r="B1115" t="s">
        <v>665</v>
      </c>
      <c r="C1115" t="s">
        <v>51</v>
      </c>
      <c r="D1115" t="str">
        <f t="array" ref="D1115">TEXT(Table26[[#This Row],[Date]],"MMMM")</f>
        <v>September</v>
      </c>
      <c r="E1115">
        <v>500</v>
      </c>
      <c r="F1115" t="s">
        <v>589</v>
      </c>
      <c r="G1115" t="s">
        <v>1802</v>
      </c>
      <c r="H1115" s="38">
        <v>46275</v>
      </c>
      <c r="I1115" cm="1">
        <f t="array" ref="I1115">IFERROR(INDEX('ALL STUDENTS'!$A:$A, MATCH(1, ('ALL STUDENTS'!$B:$B = B1115) * ('ALL STUDENTS'!$C:$C = C1115), 0)), "NOT FOUND")</f>
        <v>3101</v>
      </c>
      <c r="J1115" t="str">
        <f>IF(Table26[[#This Row],[Fee]]&gt;500,Table26[[#This Row],[Fee]],"")</f>
        <v/>
      </c>
    </row>
    <row r="1116" spans="1:10" hidden="1">
      <c r="A1116">
        <v>1115</v>
      </c>
      <c r="B1116" t="s">
        <v>666</v>
      </c>
      <c r="C1116" t="s">
        <v>32</v>
      </c>
      <c r="D1116" t="str">
        <f t="array" ref="D1116">TEXT(Table26[[#This Row],[Date]],"MMMM")</f>
        <v>September</v>
      </c>
      <c r="E1116">
        <v>500</v>
      </c>
      <c r="F1116" t="s">
        <v>589</v>
      </c>
      <c r="G1116" t="s">
        <v>1803</v>
      </c>
      <c r="H1116" s="38">
        <v>46275</v>
      </c>
      <c r="I1116" cm="1">
        <f t="array" ref="I1116">IFERROR(INDEX('ALL STUDENTS'!$A:$A, MATCH(1, ('ALL STUDENTS'!$B:$B = B1116) * ('ALL STUDENTS'!$C:$C = C1116), 0)), "NOT FOUND")</f>
        <v>3091</v>
      </c>
      <c r="J1116" t="str">
        <f>IF(Table26[[#This Row],[Fee]]&gt;500,Table26[[#This Row],[Fee]],"")</f>
        <v/>
      </c>
    </row>
    <row r="1117" spans="1:10" hidden="1">
      <c r="A1117">
        <v>1116</v>
      </c>
      <c r="B1117" t="s">
        <v>666</v>
      </c>
      <c r="C1117" t="s">
        <v>32</v>
      </c>
      <c r="D1117" t="str">
        <f t="array" ref="D1117">TEXT(Table26[[#This Row],[Date]],"MMMM")</f>
        <v>September</v>
      </c>
      <c r="E1117">
        <v>500</v>
      </c>
      <c r="F1117" t="s">
        <v>589</v>
      </c>
      <c r="G1117" t="s">
        <v>1804</v>
      </c>
      <c r="H1117" s="38">
        <v>46275</v>
      </c>
      <c r="I1117" cm="1">
        <f t="array" ref="I1117">IFERROR(INDEX('ALL STUDENTS'!$A:$A, MATCH(1, ('ALL STUDENTS'!$B:$B = B1117) * ('ALL STUDENTS'!$C:$C = C1117), 0)), "NOT FOUND")</f>
        <v>3091</v>
      </c>
      <c r="J1117" t="str">
        <f>IF(Table26[[#This Row],[Fee]]&gt;500,Table26[[#This Row],[Fee]],"")</f>
        <v/>
      </c>
    </row>
    <row r="1118" spans="1:10" hidden="1">
      <c r="A1118">
        <v>1117</v>
      </c>
      <c r="B1118" t="s">
        <v>666</v>
      </c>
      <c r="C1118" t="s">
        <v>32</v>
      </c>
      <c r="D1118" t="str">
        <f t="array" ref="D1118">TEXT(Table26[[#This Row],[Date]],"MMMM")</f>
        <v>September</v>
      </c>
      <c r="E1118">
        <v>500</v>
      </c>
      <c r="F1118" t="s">
        <v>589</v>
      </c>
      <c r="G1118" t="s">
        <v>1805</v>
      </c>
      <c r="H1118" s="38">
        <v>46275</v>
      </c>
      <c r="I1118" cm="1">
        <f t="array" ref="I1118">IFERROR(INDEX('ALL STUDENTS'!$A:$A, MATCH(1, ('ALL STUDENTS'!$B:$B = B1118) * ('ALL STUDENTS'!$C:$C = C1118), 0)), "NOT FOUND")</f>
        <v>3091</v>
      </c>
      <c r="J1118" t="str">
        <f>IF(Table26[[#This Row],[Fee]]&gt;500,Table26[[#This Row],[Fee]],"")</f>
        <v/>
      </c>
    </row>
    <row r="1119" spans="1:10" hidden="1">
      <c r="A1119">
        <v>1118</v>
      </c>
      <c r="B1119" t="s">
        <v>667</v>
      </c>
      <c r="C1119" t="s">
        <v>32</v>
      </c>
      <c r="D1119" t="str">
        <f t="array" ref="D1119">TEXT(Table26[[#This Row],[Date]],"MMMM")</f>
        <v>September</v>
      </c>
      <c r="E1119">
        <v>500</v>
      </c>
      <c r="F1119" t="s">
        <v>589</v>
      </c>
      <c r="G1119" t="s">
        <v>1806</v>
      </c>
      <c r="H1119" s="38">
        <v>46275</v>
      </c>
      <c r="I1119" cm="1">
        <f t="array" ref="I1119">IFERROR(INDEX('ALL STUDENTS'!$A:$A, MATCH(1, ('ALL STUDENTS'!$B:$B = B1119) * ('ALL STUDENTS'!$C:$C = C1119), 0)), "NOT FOUND")</f>
        <v>3078</v>
      </c>
      <c r="J1119" t="str">
        <f>IF(Table26[[#This Row],[Fee]]&gt;500,Table26[[#This Row],[Fee]],"")</f>
        <v/>
      </c>
    </row>
    <row r="1120" spans="1:10" hidden="1">
      <c r="A1120">
        <v>1119</v>
      </c>
      <c r="B1120" t="s">
        <v>667</v>
      </c>
      <c r="C1120" t="s">
        <v>32</v>
      </c>
      <c r="D1120" t="str">
        <f t="array" ref="D1120">TEXT(Table26[[#This Row],[Date]],"MMMM")</f>
        <v>September</v>
      </c>
      <c r="E1120">
        <v>500</v>
      </c>
      <c r="F1120" t="s">
        <v>589</v>
      </c>
      <c r="G1120" t="s">
        <v>1807</v>
      </c>
      <c r="H1120" s="38">
        <v>46275</v>
      </c>
      <c r="I1120" cm="1">
        <f t="array" ref="I1120">IFERROR(INDEX('ALL STUDENTS'!$A:$A, MATCH(1, ('ALL STUDENTS'!$B:$B = B1120) * ('ALL STUDENTS'!$C:$C = C1120), 0)), "NOT FOUND")</f>
        <v>3078</v>
      </c>
      <c r="J1120" t="str">
        <f>IF(Table26[[#This Row],[Fee]]&gt;500,Table26[[#This Row],[Fee]],"")</f>
        <v/>
      </c>
    </row>
    <row r="1121" spans="1:10" hidden="1">
      <c r="A1121">
        <v>1120</v>
      </c>
      <c r="B1121" t="s">
        <v>667</v>
      </c>
      <c r="C1121" t="s">
        <v>32</v>
      </c>
      <c r="D1121" t="str">
        <f t="array" ref="D1121">TEXT(Table26[[#This Row],[Date]],"MMMM")</f>
        <v>September</v>
      </c>
      <c r="E1121">
        <v>500</v>
      </c>
      <c r="F1121" t="s">
        <v>589</v>
      </c>
      <c r="G1121" t="s">
        <v>1808</v>
      </c>
      <c r="H1121" s="38">
        <v>46275</v>
      </c>
      <c r="I1121" cm="1">
        <f t="array" ref="I1121">IFERROR(INDEX('ALL STUDENTS'!$A:$A, MATCH(1, ('ALL STUDENTS'!$B:$B = B1121) * ('ALL STUDENTS'!$C:$C = C1121), 0)), "NOT FOUND")</f>
        <v>3078</v>
      </c>
      <c r="J1121" t="str">
        <f>IF(Table26[[#This Row],[Fee]]&gt;500,Table26[[#This Row],[Fee]],"")</f>
        <v/>
      </c>
    </row>
    <row r="1122" spans="1:10" hidden="1">
      <c r="A1122">
        <v>1121</v>
      </c>
      <c r="B1122" t="s">
        <v>668</v>
      </c>
      <c r="C1122" s="3" t="s">
        <v>175</v>
      </c>
      <c r="D1122" t="str">
        <f t="array" ref="D1122">TEXT(Table26[[#This Row],[Date]],"MMMM")</f>
        <v>September</v>
      </c>
      <c r="E1122">
        <v>500</v>
      </c>
      <c r="F1122" t="s">
        <v>589</v>
      </c>
      <c r="G1122" t="s">
        <v>1809</v>
      </c>
      <c r="H1122" s="38">
        <v>46275</v>
      </c>
      <c r="I1122" cm="1">
        <f t="array" ref="I1122">IFERROR(INDEX('ALL STUDENTS'!$A:$A, MATCH(1, ('ALL STUDENTS'!$B:$B = B1122) * ('ALL STUDENTS'!$C:$C = C1122), 0)), "NOT FOUND")</f>
        <v>1874</v>
      </c>
      <c r="J1122" t="str">
        <f>IF(Table26[[#This Row],[Fee]]&gt;500,Table26[[#This Row],[Fee]],"")</f>
        <v/>
      </c>
    </row>
    <row r="1123" spans="1:10" hidden="1">
      <c r="A1123">
        <v>1122</v>
      </c>
      <c r="B1123" t="s">
        <v>668</v>
      </c>
      <c r="C1123" s="3" t="s">
        <v>175</v>
      </c>
      <c r="D1123" t="str">
        <f t="array" ref="D1123">TEXT(Table26[[#This Row],[Date]],"MMMM")</f>
        <v>September</v>
      </c>
      <c r="E1123">
        <v>500</v>
      </c>
      <c r="F1123" t="s">
        <v>589</v>
      </c>
      <c r="G1123" t="s">
        <v>1810</v>
      </c>
      <c r="H1123" s="38">
        <v>46275</v>
      </c>
      <c r="I1123" cm="1">
        <f t="array" ref="I1123">IFERROR(INDEX('ALL STUDENTS'!$A:$A, MATCH(1, ('ALL STUDENTS'!$B:$B = B1123) * ('ALL STUDENTS'!$C:$C = C1123), 0)), "NOT FOUND")</f>
        <v>1874</v>
      </c>
      <c r="J1123" t="str">
        <f>IF(Table26[[#This Row],[Fee]]&gt;500,Table26[[#This Row],[Fee]],"")</f>
        <v/>
      </c>
    </row>
    <row r="1124" spans="1:10" hidden="1">
      <c r="A1124">
        <v>1123</v>
      </c>
      <c r="B1124" t="s">
        <v>668</v>
      </c>
      <c r="C1124" s="3" t="s">
        <v>175</v>
      </c>
      <c r="D1124" t="str">
        <f t="array" ref="D1124">TEXT(Table26[[#This Row],[Date]],"MMMM")</f>
        <v>September</v>
      </c>
      <c r="E1124">
        <v>500</v>
      </c>
      <c r="F1124" t="s">
        <v>589</v>
      </c>
      <c r="G1124" t="s">
        <v>1811</v>
      </c>
      <c r="H1124" s="38">
        <v>46275</v>
      </c>
      <c r="I1124" cm="1">
        <f t="array" ref="I1124">IFERROR(INDEX('ALL STUDENTS'!$A:$A, MATCH(1, ('ALL STUDENTS'!$B:$B = B1124) * ('ALL STUDENTS'!$C:$C = C1124), 0)), "NOT FOUND")</f>
        <v>1874</v>
      </c>
      <c r="J1124" t="str">
        <f>IF(Table26[[#This Row],[Fee]]&gt;500,Table26[[#This Row],[Fee]],"")</f>
        <v/>
      </c>
    </row>
    <row r="1125" spans="1:10" hidden="1">
      <c r="A1125">
        <v>1124</v>
      </c>
      <c r="B1125" t="s">
        <v>669</v>
      </c>
      <c r="C1125" t="s">
        <v>195</v>
      </c>
      <c r="D1125" t="str">
        <f t="array" ref="D1125">TEXT(Table26[[#This Row],[Date]],"MMMM")</f>
        <v>September</v>
      </c>
      <c r="E1125">
        <v>500</v>
      </c>
      <c r="F1125" t="s">
        <v>589</v>
      </c>
      <c r="G1125" t="s">
        <v>1812</v>
      </c>
      <c r="H1125" s="38">
        <v>46275</v>
      </c>
      <c r="I1125" cm="1">
        <f t="array" ref="I1125">IFERROR(INDEX('ALL STUDENTS'!$A:$A, MATCH(1, ('ALL STUDENTS'!$B:$B = B1125) * ('ALL STUDENTS'!$C:$C = C1125), 0)), "NOT FOUND")</f>
        <v>1908</v>
      </c>
      <c r="J1125" t="str">
        <f>IF(Table26[[#This Row],[Fee]]&gt;500,Table26[[#This Row],[Fee]],"")</f>
        <v/>
      </c>
    </row>
    <row r="1126" spans="1:10" hidden="1">
      <c r="A1126">
        <v>1125</v>
      </c>
      <c r="B1126" t="s">
        <v>669</v>
      </c>
      <c r="C1126" t="s">
        <v>195</v>
      </c>
      <c r="D1126" t="str">
        <f t="array" ref="D1126">TEXT(Table26[[#This Row],[Date]],"MMMM")</f>
        <v>September</v>
      </c>
      <c r="E1126">
        <v>500</v>
      </c>
      <c r="F1126" t="s">
        <v>589</v>
      </c>
      <c r="G1126" t="s">
        <v>1813</v>
      </c>
      <c r="H1126" s="38">
        <v>46275</v>
      </c>
      <c r="I1126" cm="1">
        <f t="array" ref="I1126">IFERROR(INDEX('ALL STUDENTS'!$A:$A, MATCH(1, ('ALL STUDENTS'!$B:$B = B1126) * ('ALL STUDENTS'!$C:$C = C1126), 0)), "NOT FOUND")</f>
        <v>1908</v>
      </c>
      <c r="J1126" t="str">
        <f>IF(Table26[[#This Row],[Fee]]&gt;500,Table26[[#This Row],[Fee]],"")</f>
        <v/>
      </c>
    </row>
    <row r="1127" spans="1:10" hidden="1">
      <c r="A1127">
        <v>1126</v>
      </c>
      <c r="B1127" t="s">
        <v>669</v>
      </c>
      <c r="C1127" t="s">
        <v>195</v>
      </c>
      <c r="D1127" t="str">
        <f t="array" ref="D1127">TEXT(Table26[[#This Row],[Date]],"MMMM")</f>
        <v>September</v>
      </c>
      <c r="E1127">
        <v>500</v>
      </c>
      <c r="F1127" t="s">
        <v>589</v>
      </c>
      <c r="G1127" t="s">
        <v>1814</v>
      </c>
      <c r="H1127" s="38">
        <v>46275</v>
      </c>
      <c r="I1127" cm="1">
        <f t="array" ref="I1127">IFERROR(INDEX('ALL STUDENTS'!$A:$A, MATCH(1, ('ALL STUDENTS'!$B:$B = B1127) * ('ALL STUDENTS'!$C:$C = C1127), 0)), "NOT FOUND")</f>
        <v>1908</v>
      </c>
      <c r="J1127" t="str">
        <f>IF(Table26[[#This Row],[Fee]]&gt;500,Table26[[#This Row],[Fee]],"")</f>
        <v/>
      </c>
    </row>
    <row r="1128" spans="1:10" hidden="1">
      <c r="A1128">
        <v>1127</v>
      </c>
      <c r="B1128" t="s">
        <v>670</v>
      </c>
      <c r="C1128" t="s">
        <v>480</v>
      </c>
      <c r="D1128" t="str">
        <f t="array" ref="D1128">TEXT(Table26[[#This Row],[Date]],"MMMM")</f>
        <v>September</v>
      </c>
      <c r="E1128">
        <v>500</v>
      </c>
      <c r="F1128" t="s">
        <v>591</v>
      </c>
      <c r="G1128" t="s">
        <v>1815</v>
      </c>
      <c r="H1128" s="38">
        <v>46274</v>
      </c>
      <c r="I1128" cm="1">
        <f t="array" ref="I1128">IFERROR(INDEX('ALL STUDENTS'!$A:$A, MATCH(1, ('ALL STUDENTS'!$B:$B = B1128) * ('ALL STUDENTS'!$C:$C = C1128), 0)), "NOT FOUND")</f>
        <v>275</v>
      </c>
      <c r="J1128" t="str">
        <f>IF(Table26[[#This Row],[Fee]]&gt;500,Table26[[#This Row],[Fee]],"")</f>
        <v/>
      </c>
    </row>
    <row r="1129" spans="1:10" hidden="1">
      <c r="A1129">
        <v>1128</v>
      </c>
      <c r="B1129" t="s">
        <v>670</v>
      </c>
      <c r="C1129" t="s">
        <v>480</v>
      </c>
      <c r="D1129" t="str">
        <f t="array" ref="D1129">TEXT(Table26[[#This Row],[Date]],"MMMM")</f>
        <v>September</v>
      </c>
      <c r="E1129">
        <v>500</v>
      </c>
      <c r="F1129" t="s">
        <v>591</v>
      </c>
      <c r="G1129" t="s">
        <v>1816</v>
      </c>
      <c r="H1129" s="38">
        <v>46274</v>
      </c>
      <c r="I1129" cm="1">
        <f t="array" ref="I1129">IFERROR(INDEX('ALL STUDENTS'!$A:$A, MATCH(1, ('ALL STUDENTS'!$B:$B = B1129) * ('ALL STUDENTS'!$C:$C = C1129), 0)), "NOT FOUND")</f>
        <v>275</v>
      </c>
      <c r="J1129" t="str">
        <f>IF(Table26[[#This Row],[Fee]]&gt;500,Table26[[#This Row],[Fee]],"")</f>
        <v/>
      </c>
    </row>
    <row r="1130" spans="1:10" hidden="1">
      <c r="A1130">
        <v>1129</v>
      </c>
      <c r="B1130" t="s">
        <v>670</v>
      </c>
      <c r="C1130" t="s">
        <v>480</v>
      </c>
      <c r="D1130" t="str">
        <f t="array" ref="D1130">TEXT(Table26[[#This Row],[Date]],"MMMM")</f>
        <v>September</v>
      </c>
      <c r="E1130">
        <v>500</v>
      </c>
      <c r="F1130" t="s">
        <v>591</v>
      </c>
      <c r="G1130" t="s">
        <v>1817</v>
      </c>
      <c r="H1130" s="38">
        <v>46274</v>
      </c>
      <c r="I1130" cm="1">
        <f t="array" ref="I1130">IFERROR(INDEX('ALL STUDENTS'!$A:$A, MATCH(1, ('ALL STUDENTS'!$B:$B = B1130) * ('ALL STUDENTS'!$C:$C = C1130), 0)), "NOT FOUND")</f>
        <v>275</v>
      </c>
      <c r="J1130" t="str">
        <f>IF(Table26[[#This Row],[Fee]]&gt;500,Table26[[#This Row],[Fee]],"")</f>
        <v/>
      </c>
    </row>
    <row r="1131" spans="1:10">
      <c r="A1131">
        <v>1130</v>
      </c>
      <c r="B1131" t="s">
        <v>671</v>
      </c>
      <c r="C1131" t="s">
        <v>334</v>
      </c>
      <c r="D1131" t="str">
        <f t="array" ref="D1131">TEXT(Table26[[#This Row],[Date]],"MMMM")</f>
        <v>September</v>
      </c>
      <c r="E1131">
        <v>500</v>
      </c>
      <c r="F1131" t="s">
        <v>591</v>
      </c>
      <c r="G1131" t="s">
        <v>1818</v>
      </c>
      <c r="H1131" s="38">
        <v>46274</v>
      </c>
      <c r="I1131" t="str" cm="1">
        <f t="array" ref="I1131">IFERROR(INDEX('ALL STUDENTS'!$A:$A, MATCH(1, ('ALL STUDENTS'!$B:$B = B1131) * ('ALL STUDENTS'!$C:$C = C1131), 0)), "NOT FOUND")</f>
        <v>NOT FOUND</v>
      </c>
      <c r="J1131" t="str">
        <f>IF(Table26[[#This Row],[Fee]]&gt;500,Table26[[#This Row],[Fee]],"")</f>
        <v/>
      </c>
    </row>
    <row r="1132" spans="1:10" hidden="1">
      <c r="A1132">
        <v>1131</v>
      </c>
      <c r="B1132" t="s">
        <v>425</v>
      </c>
      <c r="C1132" t="s">
        <v>421</v>
      </c>
      <c r="D1132" t="str">
        <f t="array" ref="D1132">TEXT(Table26[[#This Row],[Date]],"MMMM")</f>
        <v>September</v>
      </c>
      <c r="E1132">
        <v>500</v>
      </c>
      <c r="F1132" t="s">
        <v>591</v>
      </c>
      <c r="G1132" t="s">
        <v>1819</v>
      </c>
      <c r="H1132" s="38">
        <v>46274</v>
      </c>
      <c r="I1132" cm="1">
        <f t="array" ref="I1132">IFERROR(INDEX('ALL STUDENTS'!$A:$A, MATCH(1, ('ALL STUDENTS'!$B:$B = B1132) * ('ALL STUDENTS'!$C:$C = C1132), 0)), "NOT FOUND")</f>
        <v>538</v>
      </c>
      <c r="J1132" t="str">
        <f>IF(Table26[[#This Row],[Fee]]&gt;500,Table26[[#This Row],[Fee]],"")</f>
        <v/>
      </c>
    </row>
    <row r="1133" spans="1:10" hidden="1">
      <c r="A1133">
        <v>1132</v>
      </c>
      <c r="B1133" t="s">
        <v>424</v>
      </c>
      <c r="C1133" t="s">
        <v>421</v>
      </c>
      <c r="D1133" t="str">
        <f t="array" ref="D1133">TEXT(Table26[[#This Row],[Date]],"MMMM")</f>
        <v>September</v>
      </c>
      <c r="E1133">
        <v>500</v>
      </c>
      <c r="F1133" t="s">
        <v>591</v>
      </c>
      <c r="G1133" t="s">
        <v>1820</v>
      </c>
      <c r="H1133" s="38">
        <v>46274</v>
      </c>
      <c r="I1133" cm="1">
        <f t="array" ref="I1133">IFERROR(INDEX('ALL STUDENTS'!$A:$A, MATCH(1, ('ALL STUDENTS'!$B:$B = B1133) * ('ALL STUDENTS'!$C:$C = C1133), 0)), "NOT FOUND")</f>
        <v>537</v>
      </c>
      <c r="J1133" t="str">
        <f>IF(Table26[[#This Row],[Fee]]&gt;500,Table26[[#This Row],[Fee]],"")</f>
        <v/>
      </c>
    </row>
    <row r="1134" spans="1:10" hidden="1">
      <c r="A1134">
        <v>1133</v>
      </c>
      <c r="B1134" t="s">
        <v>672</v>
      </c>
      <c r="C1134" t="s">
        <v>252</v>
      </c>
      <c r="D1134" t="str">
        <f t="array" ref="D1134">TEXT(Table26[[#This Row],[Date]],"MMMM")</f>
        <v>September</v>
      </c>
      <c r="E1134">
        <v>500</v>
      </c>
      <c r="F1134" t="s">
        <v>591</v>
      </c>
      <c r="G1134" t="s">
        <v>1821</v>
      </c>
      <c r="H1134" s="38">
        <v>46274</v>
      </c>
      <c r="I1134" cm="1">
        <f t="array" ref="I1134">IFERROR(INDEX('ALL STUDENTS'!$A:$A, MATCH(1, ('ALL STUDENTS'!$B:$B = B1134) * ('ALL STUDENTS'!$C:$C = C1134), 0)), "NOT FOUND")</f>
        <v>2135</v>
      </c>
      <c r="J1134" t="str">
        <f>IF(Table26[[#This Row],[Fee]]&gt;500,Table26[[#This Row],[Fee]],"")</f>
        <v/>
      </c>
    </row>
    <row r="1135" spans="1:10" hidden="1">
      <c r="A1135">
        <v>1134</v>
      </c>
      <c r="B1135" t="s">
        <v>673</v>
      </c>
      <c r="C1135" t="s">
        <v>467</v>
      </c>
      <c r="D1135" t="str">
        <f t="array" ref="D1135">TEXT(Table26[[#This Row],[Date]],"MMMM")</f>
        <v>September</v>
      </c>
      <c r="E1135">
        <v>500</v>
      </c>
      <c r="F1135" t="s">
        <v>591</v>
      </c>
      <c r="G1135" t="s">
        <v>1822</v>
      </c>
      <c r="H1135" s="38">
        <v>46274</v>
      </c>
      <c r="I1135" cm="1">
        <f t="array" ref="I1135">IFERROR(INDEX('ALL STUDENTS'!$A:$A, MATCH(1, ('ALL STUDENTS'!$B:$B = B1135) * ('ALL STUDENTS'!$C:$C = C1135), 0)), "NOT FOUND")</f>
        <v>257</v>
      </c>
      <c r="J1135" t="str">
        <f>IF(Table26[[#This Row],[Fee]]&gt;500,Table26[[#This Row],[Fee]],"")</f>
        <v/>
      </c>
    </row>
    <row r="1136" spans="1:10" hidden="1">
      <c r="A1136">
        <v>1135</v>
      </c>
      <c r="B1136" t="s">
        <v>674</v>
      </c>
      <c r="C1136" t="s">
        <v>265</v>
      </c>
      <c r="D1136" t="str">
        <f t="array" ref="D1136">TEXT(Table26[[#This Row],[Date]],"MMMM")</f>
        <v>September</v>
      </c>
      <c r="E1136">
        <v>500</v>
      </c>
      <c r="F1136" t="s">
        <v>591</v>
      </c>
      <c r="G1136" t="s">
        <v>1823</v>
      </c>
      <c r="H1136" s="38">
        <v>46274</v>
      </c>
      <c r="I1136" cm="1">
        <f t="array" ref="I1136">IFERROR(INDEX('ALL STUDENTS'!$A:$A, MATCH(1, ('ALL STUDENTS'!$B:$B = B1136) * ('ALL STUDENTS'!$C:$C = C1136), 0)), "NOT FOUND")</f>
        <v>2177</v>
      </c>
      <c r="J1136" t="str">
        <f>IF(Table26[[#This Row],[Fee]]&gt;500,Table26[[#This Row],[Fee]],"")</f>
        <v/>
      </c>
    </row>
    <row r="1137" spans="1:10" hidden="1">
      <c r="A1137">
        <v>1136</v>
      </c>
      <c r="B1137" t="s">
        <v>675</v>
      </c>
      <c r="C1137" t="s">
        <v>294</v>
      </c>
      <c r="D1137" t="str">
        <f t="array" ref="D1137">TEXT(Table26[[#This Row],[Date]],"MMMM")</f>
        <v>September</v>
      </c>
      <c r="E1137">
        <v>500</v>
      </c>
      <c r="F1137" t="s">
        <v>591</v>
      </c>
      <c r="G1137" t="s">
        <v>1824</v>
      </c>
      <c r="H1137" s="38">
        <v>46274</v>
      </c>
      <c r="I1137" cm="1">
        <f t="array" ref="I1137">IFERROR(INDEX('ALL STUDENTS'!$A:$A, MATCH(1, ('ALL STUDENTS'!$B:$B = B1137) * ('ALL STUDENTS'!$C:$C = C1137), 0)), "NOT FOUND")</f>
        <v>2270</v>
      </c>
      <c r="J1137" t="str">
        <f>IF(Table26[[#This Row],[Fee]]&gt;500,Table26[[#This Row],[Fee]],"")</f>
        <v/>
      </c>
    </row>
    <row r="1138" spans="1:10" hidden="1">
      <c r="A1138">
        <v>1137</v>
      </c>
      <c r="B1138" t="s">
        <v>676</v>
      </c>
      <c r="C1138" t="s">
        <v>356</v>
      </c>
      <c r="D1138" t="str">
        <f t="array" ref="D1138">TEXT(Table26[[#This Row],[Date]],"MMMM")</f>
        <v>September</v>
      </c>
      <c r="E1138">
        <v>500</v>
      </c>
      <c r="F1138" t="s">
        <v>591</v>
      </c>
      <c r="G1138" t="s">
        <v>1825</v>
      </c>
      <c r="H1138" s="38">
        <v>46274</v>
      </c>
      <c r="I1138" cm="1">
        <f t="array" ref="I1138">IFERROR(INDEX('ALL STUDENTS'!$A:$A, MATCH(1, ('ALL STUDENTS'!$B:$B = B1138) * ('ALL STUDENTS'!$C:$C = C1138), 0)), "NOT FOUND")</f>
        <v>776</v>
      </c>
      <c r="J1138" t="str">
        <f>IF(Table26[[#This Row],[Fee]]&gt;500,Table26[[#This Row],[Fee]],"")</f>
        <v/>
      </c>
    </row>
    <row r="1139" spans="1:10" hidden="1">
      <c r="A1139">
        <v>1138</v>
      </c>
      <c r="B1139" t="s">
        <v>677</v>
      </c>
      <c r="C1139" t="s">
        <v>62</v>
      </c>
      <c r="D1139" t="str">
        <f t="array" ref="D1139">TEXT(Table26[[#This Row],[Date]],"MMMM")</f>
        <v>September</v>
      </c>
      <c r="E1139">
        <v>500</v>
      </c>
      <c r="F1139" t="s">
        <v>589</v>
      </c>
      <c r="G1139" t="s">
        <v>1826</v>
      </c>
      <c r="H1139" s="38">
        <v>46276</v>
      </c>
      <c r="I1139" cm="1">
        <f t="array" ref="I1139">IFERROR(INDEX('ALL STUDENTS'!$A:$A, MATCH(1, ('ALL STUDENTS'!$B:$B = B1139) * ('ALL STUDENTS'!$C:$C = C1139), 0)), "NOT FOUND")</f>
        <v>3196</v>
      </c>
      <c r="J1139" t="str">
        <f>IF(Table26[[#This Row],[Fee]]&gt;500,Table26[[#This Row],[Fee]],"")</f>
        <v/>
      </c>
    </row>
    <row r="1140" spans="1:10" hidden="1">
      <c r="A1140">
        <v>1139</v>
      </c>
      <c r="B1140" t="s">
        <v>677</v>
      </c>
      <c r="C1140" t="s">
        <v>62</v>
      </c>
      <c r="D1140" t="str">
        <f t="array" ref="D1140">TEXT(Table26[[#This Row],[Date]],"MMMM")</f>
        <v>September</v>
      </c>
      <c r="E1140">
        <v>500</v>
      </c>
      <c r="F1140" t="s">
        <v>589</v>
      </c>
      <c r="G1140" t="s">
        <v>1827</v>
      </c>
      <c r="H1140" s="38">
        <v>46276</v>
      </c>
      <c r="I1140" cm="1">
        <f t="array" ref="I1140">IFERROR(INDEX('ALL STUDENTS'!$A:$A, MATCH(1, ('ALL STUDENTS'!$B:$B = B1140) * ('ALL STUDENTS'!$C:$C = C1140), 0)), "NOT FOUND")</f>
        <v>3196</v>
      </c>
      <c r="J1140" t="str">
        <f>IF(Table26[[#This Row],[Fee]]&gt;500,Table26[[#This Row],[Fee]],"")</f>
        <v/>
      </c>
    </row>
    <row r="1141" spans="1:10" hidden="1">
      <c r="A1141">
        <v>1140</v>
      </c>
      <c r="B1141" t="s">
        <v>677</v>
      </c>
      <c r="C1141" t="s">
        <v>62</v>
      </c>
      <c r="D1141" t="str">
        <f t="array" ref="D1141">TEXT(Table26[[#This Row],[Date]],"MMMM")</f>
        <v>September</v>
      </c>
      <c r="E1141">
        <v>500</v>
      </c>
      <c r="F1141" t="s">
        <v>589</v>
      </c>
      <c r="G1141" t="s">
        <v>1828</v>
      </c>
      <c r="H1141" s="38">
        <v>46276</v>
      </c>
      <c r="I1141" cm="1">
        <f t="array" ref="I1141">IFERROR(INDEX('ALL STUDENTS'!$A:$A, MATCH(1, ('ALL STUDENTS'!$B:$B = B1141) * ('ALL STUDENTS'!$C:$C = C1141), 0)), "NOT FOUND")</f>
        <v>3196</v>
      </c>
      <c r="J1141" t="str">
        <f>IF(Table26[[#This Row],[Fee]]&gt;500,Table26[[#This Row],[Fee]],"")</f>
        <v/>
      </c>
    </row>
    <row r="1142" spans="1:10" hidden="1">
      <c r="A1142">
        <v>1141</v>
      </c>
      <c r="B1142" t="s">
        <v>678</v>
      </c>
      <c r="C1142" t="s">
        <v>374</v>
      </c>
      <c r="D1142" t="str">
        <f t="array" ref="D1142">TEXT(Table26[[#This Row],[Date]],"MMMM")</f>
        <v>September</v>
      </c>
      <c r="E1142">
        <v>500</v>
      </c>
      <c r="F1142" t="s">
        <v>589</v>
      </c>
      <c r="G1142" t="s">
        <v>1829</v>
      </c>
      <c r="H1142" s="38">
        <v>46276</v>
      </c>
      <c r="I1142" cm="1">
        <f t="array" ref="I1142">IFERROR(INDEX('ALL STUDENTS'!$A:$A, MATCH(1, ('ALL STUDENTS'!$B:$B = B1142) * ('ALL STUDENTS'!$C:$C = C1142), 0)), "NOT FOUND")</f>
        <v>843</v>
      </c>
      <c r="J1142" t="str">
        <f>IF(Table26[[#This Row],[Fee]]&gt;500,Table26[[#This Row],[Fee]],"")</f>
        <v/>
      </c>
    </row>
    <row r="1143" spans="1:10" hidden="1">
      <c r="A1143">
        <v>1142</v>
      </c>
      <c r="B1143" t="s">
        <v>679</v>
      </c>
      <c r="C1143" t="s">
        <v>299</v>
      </c>
      <c r="D1143" t="str">
        <f t="array" ref="D1143">TEXT(Table26[[#This Row],[Date]],"MMMM")</f>
        <v>September</v>
      </c>
      <c r="E1143">
        <v>500</v>
      </c>
      <c r="F1143" t="s">
        <v>589</v>
      </c>
      <c r="G1143" t="s">
        <v>1830</v>
      </c>
      <c r="H1143" s="38">
        <v>46274</v>
      </c>
      <c r="I1143" cm="1">
        <f t="array" ref="I1143">IFERROR(INDEX('ALL STUDENTS'!$A:$A, MATCH(1, ('ALL STUDENTS'!$B:$B = B1143) * ('ALL STUDENTS'!$C:$C = C1143), 0)), "NOT FOUND")</f>
        <v>2311</v>
      </c>
      <c r="J1143" t="str">
        <f>IF(Table26[[#This Row],[Fee]]&gt;500,Table26[[#This Row],[Fee]],"")</f>
        <v/>
      </c>
    </row>
    <row r="1144" spans="1:10" hidden="1">
      <c r="A1144">
        <v>1143</v>
      </c>
      <c r="B1144" t="s">
        <v>679</v>
      </c>
      <c r="C1144" t="s">
        <v>299</v>
      </c>
      <c r="D1144" t="str">
        <f t="array" ref="D1144">TEXT(Table26[[#This Row],[Date]],"MMMM")</f>
        <v>September</v>
      </c>
      <c r="E1144">
        <v>500</v>
      </c>
      <c r="F1144" t="s">
        <v>589</v>
      </c>
      <c r="G1144" t="s">
        <v>1831</v>
      </c>
      <c r="H1144" s="38">
        <v>46274</v>
      </c>
      <c r="I1144" cm="1">
        <f t="array" ref="I1144">IFERROR(INDEX('ALL STUDENTS'!$A:$A, MATCH(1, ('ALL STUDENTS'!$B:$B = B1144) * ('ALL STUDENTS'!$C:$C = C1144), 0)), "NOT FOUND")</f>
        <v>2311</v>
      </c>
      <c r="J1144" t="str">
        <f>IF(Table26[[#This Row],[Fee]]&gt;500,Table26[[#This Row],[Fee]],"")</f>
        <v/>
      </c>
    </row>
    <row r="1145" spans="1:10" hidden="1">
      <c r="A1145">
        <v>1144</v>
      </c>
      <c r="B1145" t="s">
        <v>680</v>
      </c>
      <c r="C1145" t="s">
        <v>20</v>
      </c>
      <c r="D1145" t="str">
        <f t="array" ref="D1145">TEXT(Table26[[#This Row],[Date]],"MMMM")</f>
        <v>September</v>
      </c>
      <c r="E1145">
        <v>500</v>
      </c>
      <c r="F1145" t="s">
        <v>589</v>
      </c>
      <c r="G1145" t="s">
        <v>1832</v>
      </c>
      <c r="H1145" s="38">
        <v>46276</v>
      </c>
      <c r="I1145" cm="1">
        <f t="array" ref="I1145">IFERROR(INDEX('ALL STUDENTS'!$A:$A, MATCH(1, ('ALL STUDENTS'!$B:$B = B1145) * ('ALL STUDENTS'!$C:$C = C1145), 0)), "NOT FOUND")</f>
        <v>3056</v>
      </c>
      <c r="J1145" t="str">
        <f>IF(Table26[[#This Row],[Fee]]&gt;500,Table26[[#This Row],[Fee]],"")</f>
        <v/>
      </c>
    </row>
    <row r="1146" spans="1:10" hidden="1">
      <c r="A1146">
        <v>1145</v>
      </c>
      <c r="B1146" t="s">
        <v>680</v>
      </c>
      <c r="C1146" t="s">
        <v>20</v>
      </c>
      <c r="D1146" t="str">
        <f t="array" ref="D1146">TEXT(Table26[[#This Row],[Date]],"MMMM")</f>
        <v>September</v>
      </c>
      <c r="E1146">
        <v>500</v>
      </c>
      <c r="F1146" t="s">
        <v>589</v>
      </c>
      <c r="G1146" t="s">
        <v>1833</v>
      </c>
      <c r="H1146" s="38">
        <v>46276</v>
      </c>
      <c r="I1146" cm="1">
        <f t="array" ref="I1146">IFERROR(INDEX('ALL STUDENTS'!$A:$A, MATCH(1, ('ALL STUDENTS'!$B:$B = B1146) * ('ALL STUDENTS'!$C:$C = C1146), 0)), "NOT FOUND")</f>
        <v>3056</v>
      </c>
      <c r="J1146" t="str">
        <f>IF(Table26[[#This Row],[Fee]]&gt;500,Table26[[#This Row],[Fee]],"")</f>
        <v/>
      </c>
    </row>
    <row r="1147" spans="1:10" hidden="1">
      <c r="A1147">
        <v>1146</v>
      </c>
      <c r="B1147" t="s">
        <v>680</v>
      </c>
      <c r="C1147" t="s">
        <v>20</v>
      </c>
      <c r="D1147" t="str">
        <f t="array" ref="D1147">TEXT(Table26[[#This Row],[Date]],"MMMM")</f>
        <v>September</v>
      </c>
      <c r="E1147">
        <v>500</v>
      </c>
      <c r="F1147" t="s">
        <v>589</v>
      </c>
      <c r="G1147" t="s">
        <v>1834</v>
      </c>
      <c r="H1147" s="38">
        <v>46276</v>
      </c>
      <c r="I1147" cm="1">
        <f t="array" ref="I1147">IFERROR(INDEX('ALL STUDENTS'!$A:$A, MATCH(1, ('ALL STUDENTS'!$B:$B = B1147) * ('ALL STUDENTS'!$C:$C = C1147), 0)), "NOT FOUND")</f>
        <v>3056</v>
      </c>
      <c r="J1147" t="str">
        <f>IF(Table26[[#This Row],[Fee]]&gt;500,Table26[[#This Row],[Fee]],"")</f>
        <v/>
      </c>
    </row>
    <row r="1148" spans="1:10" hidden="1">
      <c r="A1148">
        <v>1147</v>
      </c>
      <c r="B1148" t="s">
        <v>681</v>
      </c>
      <c r="C1148" t="s">
        <v>453</v>
      </c>
      <c r="D1148" t="str">
        <f t="array" ref="D1148">TEXT(Table26[[#This Row],[Date]],"MMMM")</f>
        <v>September</v>
      </c>
      <c r="E1148">
        <v>500</v>
      </c>
      <c r="F1148" t="s">
        <v>589</v>
      </c>
      <c r="G1148" t="s">
        <v>1835</v>
      </c>
      <c r="H1148" s="38">
        <v>46276</v>
      </c>
      <c r="I1148" cm="1">
        <f t="array" ref="I1148">IFERROR(INDEX('ALL STUDENTS'!$A:$A, MATCH(1, ('ALL STUDENTS'!$B:$B = B1148) * ('ALL STUDENTS'!$C:$C = C1148), 0)), "NOT FOUND")</f>
        <v>710</v>
      </c>
      <c r="J1148" t="str">
        <f>IF(Table26[[#This Row],[Fee]]&gt;500,Table26[[#This Row],[Fee]],"")</f>
        <v/>
      </c>
    </row>
    <row r="1149" spans="1:10" hidden="1">
      <c r="A1149">
        <v>1148</v>
      </c>
      <c r="B1149" t="s">
        <v>682</v>
      </c>
      <c r="C1149" t="s">
        <v>548</v>
      </c>
      <c r="D1149" t="str">
        <f t="array" ref="D1149">TEXT(Table26[[#This Row],[Date]],"MMMM")</f>
        <v>September</v>
      </c>
      <c r="E1149">
        <v>500</v>
      </c>
      <c r="F1149" t="s">
        <v>589</v>
      </c>
      <c r="G1149" t="s">
        <v>1836</v>
      </c>
      <c r="H1149" s="38">
        <v>46276</v>
      </c>
      <c r="I1149" cm="1">
        <f t="array" ref="I1149">IFERROR(INDEX('ALL STUDENTS'!$A:$A, MATCH(1, ('ALL STUDENTS'!$B:$B = B1149) * ('ALL STUDENTS'!$C:$C = C1149), 0)), "NOT FOUND")</f>
        <v>177</v>
      </c>
      <c r="J1149" t="str">
        <f>IF(Table26[[#This Row],[Fee]]&gt;500,Table26[[#This Row],[Fee]],"")</f>
        <v/>
      </c>
    </row>
    <row r="1150" spans="1:10" hidden="1">
      <c r="A1150">
        <v>1149</v>
      </c>
      <c r="B1150" t="s">
        <v>683</v>
      </c>
      <c r="C1150" t="s">
        <v>356</v>
      </c>
      <c r="D1150" t="str">
        <f t="array" ref="D1150">TEXT(Table26[[#This Row],[Date]],"MMMM")</f>
        <v>September</v>
      </c>
      <c r="E1150">
        <v>500</v>
      </c>
      <c r="F1150" t="s">
        <v>589</v>
      </c>
      <c r="G1150" t="s">
        <v>1837</v>
      </c>
      <c r="H1150" s="38">
        <v>46276</v>
      </c>
      <c r="I1150" cm="1">
        <f t="array" ref="I1150">IFERROR(INDEX('ALL STUDENTS'!$A:$A, MATCH(1, ('ALL STUDENTS'!$B:$B = B1150) * ('ALL STUDENTS'!$C:$C = C1150), 0)), "NOT FOUND")</f>
        <v>777</v>
      </c>
      <c r="J1150" t="str">
        <f>IF(Table26[[#This Row],[Fee]]&gt;500,Table26[[#This Row],[Fee]],"")</f>
        <v/>
      </c>
    </row>
    <row r="1151" spans="1:10" hidden="1">
      <c r="A1151">
        <v>1150</v>
      </c>
      <c r="B1151" t="s">
        <v>684</v>
      </c>
      <c r="C1151" t="s">
        <v>185</v>
      </c>
      <c r="D1151" t="str">
        <f t="array" ref="D1151">TEXT(Table26[[#This Row],[Date]],"MMMM")</f>
        <v>September</v>
      </c>
      <c r="E1151">
        <v>500</v>
      </c>
      <c r="F1151" t="s">
        <v>589</v>
      </c>
      <c r="G1151" t="s">
        <v>1838</v>
      </c>
      <c r="H1151" s="38">
        <v>46276</v>
      </c>
      <c r="I1151" cm="1">
        <f t="array" ref="I1151">IFERROR(INDEX('ALL STUDENTS'!$A:$A, MATCH(1, ('ALL STUDENTS'!$B:$B = B1151) * ('ALL STUDENTS'!$C:$C = C1151), 0)), "NOT FOUND")</f>
        <v>1823</v>
      </c>
      <c r="J1151" t="str">
        <f>IF(Table26[[#This Row],[Fee]]&gt;500,Table26[[#This Row],[Fee]],"")</f>
        <v/>
      </c>
    </row>
    <row r="1152" spans="1:10" hidden="1">
      <c r="A1152">
        <v>1151</v>
      </c>
      <c r="B1152" t="s">
        <v>1840</v>
      </c>
      <c r="C1152" t="s">
        <v>397</v>
      </c>
      <c r="D1152" t="str">
        <f t="array" ref="D1152">TEXT(Table26[[#This Row],[Date]],"MMMM")</f>
        <v>September</v>
      </c>
      <c r="E1152">
        <v>500</v>
      </c>
      <c r="F1152" t="s">
        <v>589</v>
      </c>
      <c r="G1152" t="s">
        <v>1856</v>
      </c>
      <c r="H1152" s="38">
        <v>46272</v>
      </c>
      <c r="I1152" cm="1">
        <f t="array" ref="I1152">IFERROR(INDEX('ALL STUDENTS'!$A:$A, MATCH(1, ('ALL STUDENTS'!$B:$B = B1152) * ('ALL STUDENTS'!$C:$C = C1152), 0)), "NOT FOUND")</f>
        <v>918</v>
      </c>
      <c r="J1152" t="str">
        <f>IF(Table26[[#This Row],[Fee]]&gt;500,Table26[[#This Row],[Fee]],"")</f>
        <v/>
      </c>
    </row>
    <row r="1153" spans="1:10" hidden="1">
      <c r="A1153">
        <v>1152</v>
      </c>
      <c r="B1153" t="s">
        <v>1841</v>
      </c>
      <c r="C1153" t="s">
        <v>294</v>
      </c>
      <c r="D1153" t="str">
        <f t="array" ref="D1153">TEXT(Table26[[#This Row],[Date]],"MMMM")</f>
        <v>September</v>
      </c>
      <c r="E1153">
        <v>500</v>
      </c>
      <c r="F1153" t="s">
        <v>589</v>
      </c>
      <c r="G1153" t="s">
        <v>1857</v>
      </c>
      <c r="H1153" s="38">
        <v>46277</v>
      </c>
      <c r="I1153" cm="1">
        <f t="array" ref="I1153">IFERROR(INDEX('ALL STUDENTS'!$A:$A, MATCH(1, ('ALL STUDENTS'!$B:$B = B1153) * ('ALL STUDENTS'!$C:$C = C1153), 0)), "NOT FOUND")</f>
        <v>2289</v>
      </c>
      <c r="J1153" t="str">
        <f>IF(Table26[[#This Row],[Fee]]&gt;500,Table26[[#This Row],[Fee]],"")</f>
        <v/>
      </c>
    </row>
    <row r="1154" spans="1:10" hidden="1">
      <c r="A1154">
        <v>1153</v>
      </c>
      <c r="B1154" t="s">
        <v>1841</v>
      </c>
      <c r="C1154" t="s">
        <v>294</v>
      </c>
      <c r="D1154" t="str">
        <f t="array" ref="D1154">TEXT(Table26[[#This Row],[Date]],"MMMM")</f>
        <v>September</v>
      </c>
      <c r="E1154">
        <v>500</v>
      </c>
      <c r="F1154" t="s">
        <v>589</v>
      </c>
      <c r="G1154" t="s">
        <v>1858</v>
      </c>
      <c r="H1154" s="38">
        <v>46277</v>
      </c>
      <c r="I1154" cm="1">
        <f t="array" ref="I1154">IFERROR(INDEX('ALL STUDENTS'!$A:$A, MATCH(1, ('ALL STUDENTS'!$B:$B = B1154) * ('ALL STUDENTS'!$C:$C = C1154), 0)), "NOT FOUND")</f>
        <v>2289</v>
      </c>
      <c r="J1154" t="str">
        <f>IF(Table26[[#This Row],[Fee]]&gt;500,Table26[[#This Row],[Fee]],"")</f>
        <v/>
      </c>
    </row>
    <row r="1155" spans="1:10" hidden="1">
      <c r="A1155">
        <v>1154</v>
      </c>
      <c r="B1155" t="s">
        <v>1841</v>
      </c>
      <c r="C1155" t="s">
        <v>294</v>
      </c>
      <c r="D1155" t="str">
        <f t="array" ref="D1155">TEXT(Table26[[#This Row],[Date]],"MMMM")</f>
        <v>September</v>
      </c>
      <c r="E1155">
        <v>500</v>
      </c>
      <c r="F1155" t="s">
        <v>589</v>
      </c>
      <c r="G1155" t="s">
        <v>1859</v>
      </c>
      <c r="H1155" s="38">
        <v>46277</v>
      </c>
      <c r="I1155" cm="1">
        <f t="array" ref="I1155">IFERROR(INDEX('ALL STUDENTS'!$A:$A, MATCH(1, ('ALL STUDENTS'!$B:$B = B1155) * ('ALL STUDENTS'!$C:$C = C1155), 0)), "NOT FOUND")</f>
        <v>2289</v>
      </c>
      <c r="J1155" t="str">
        <f>IF(Table26[[#This Row],[Fee]]&gt;500,Table26[[#This Row],[Fee]],"")</f>
        <v/>
      </c>
    </row>
    <row r="1156" spans="1:10" hidden="1">
      <c r="A1156">
        <v>1155</v>
      </c>
      <c r="B1156" t="s">
        <v>1842</v>
      </c>
      <c r="C1156" t="s">
        <v>447</v>
      </c>
      <c r="D1156" t="str">
        <f t="array" ref="D1156">TEXT(Table26[[#This Row],[Date]],"MMMM")</f>
        <v>September</v>
      </c>
      <c r="E1156">
        <v>500</v>
      </c>
      <c r="F1156" t="s">
        <v>589</v>
      </c>
      <c r="G1156" t="s">
        <v>1860</v>
      </c>
      <c r="H1156" s="38">
        <v>46276</v>
      </c>
      <c r="I1156" cm="1">
        <f t="array" ref="I1156">IFERROR(INDEX('ALL STUDENTS'!$A:$A, MATCH(1, ('ALL STUDENTS'!$B:$B = B1156) * ('ALL STUDENTS'!$C:$C = C1156), 0)), "NOT FOUND")</f>
        <v>692</v>
      </c>
      <c r="J1156" t="str">
        <f>IF(Table26[[#This Row],[Fee]]&gt;500,Table26[[#This Row],[Fee]],"")</f>
        <v/>
      </c>
    </row>
    <row r="1157" spans="1:10" hidden="1">
      <c r="A1157">
        <v>1156</v>
      </c>
      <c r="B1157" t="s">
        <v>1842</v>
      </c>
      <c r="C1157" t="s">
        <v>447</v>
      </c>
      <c r="D1157" t="str">
        <f t="array" ref="D1157">TEXT(Table26[[#This Row],[Date]],"MMMM")</f>
        <v>September</v>
      </c>
      <c r="E1157">
        <v>500</v>
      </c>
      <c r="F1157" t="s">
        <v>589</v>
      </c>
      <c r="G1157" t="s">
        <v>1861</v>
      </c>
      <c r="H1157" s="38">
        <v>46276</v>
      </c>
      <c r="I1157" cm="1">
        <f t="array" ref="I1157">IFERROR(INDEX('ALL STUDENTS'!$A:$A, MATCH(1, ('ALL STUDENTS'!$B:$B = B1157) * ('ALL STUDENTS'!$C:$C = C1157), 0)), "NOT FOUND")</f>
        <v>692</v>
      </c>
      <c r="J1157" t="str">
        <f>IF(Table26[[#This Row],[Fee]]&gt;500,Table26[[#This Row],[Fee]],"")</f>
        <v/>
      </c>
    </row>
    <row r="1158" spans="1:10" hidden="1">
      <c r="A1158">
        <v>1157</v>
      </c>
      <c r="B1158" t="s">
        <v>1842</v>
      </c>
      <c r="C1158" t="s">
        <v>447</v>
      </c>
      <c r="D1158" t="str">
        <f t="array" ref="D1158">TEXT(Table26[[#This Row],[Date]],"MMMM")</f>
        <v>September</v>
      </c>
      <c r="E1158">
        <v>500</v>
      </c>
      <c r="F1158" t="s">
        <v>589</v>
      </c>
      <c r="G1158" t="s">
        <v>1862</v>
      </c>
      <c r="H1158" s="38">
        <v>46276</v>
      </c>
      <c r="I1158" cm="1">
        <f t="array" ref="I1158">IFERROR(INDEX('ALL STUDENTS'!$A:$A, MATCH(1, ('ALL STUDENTS'!$B:$B = B1158) * ('ALL STUDENTS'!$C:$C = C1158), 0)), "NOT FOUND")</f>
        <v>692</v>
      </c>
      <c r="J1158" t="str">
        <f>IF(Table26[[#This Row],[Fee]]&gt;500,Table26[[#This Row],[Fee]],"")</f>
        <v/>
      </c>
    </row>
    <row r="1159" spans="1:10" hidden="1">
      <c r="A1159">
        <v>1158</v>
      </c>
      <c r="B1159" t="s">
        <v>1843</v>
      </c>
      <c r="C1159" t="s">
        <v>538</v>
      </c>
      <c r="D1159" t="str">
        <f t="array" ref="D1159">TEXT(Table26[[#This Row],[Date]],"MMMM")</f>
        <v>September</v>
      </c>
      <c r="E1159">
        <v>500</v>
      </c>
      <c r="F1159" t="s">
        <v>589</v>
      </c>
      <c r="G1159" t="s">
        <v>1863</v>
      </c>
      <c r="H1159" s="38">
        <v>46276</v>
      </c>
      <c r="I1159" cm="1">
        <f t="array" ref="I1159">IFERROR(INDEX('ALL STUDENTS'!$A:$A, MATCH(1, ('ALL STUDENTS'!$B:$B = B1159) * ('ALL STUDENTS'!$C:$C = C1159), 0)), "NOT FOUND")</f>
        <v>19</v>
      </c>
      <c r="J1159" t="str">
        <f>IF(Table26[[#This Row],[Fee]]&gt;500,Table26[[#This Row],[Fee]],"")</f>
        <v/>
      </c>
    </row>
    <row r="1160" spans="1:10" hidden="1">
      <c r="A1160">
        <v>1159</v>
      </c>
      <c r="B1160" t="s">
        <v>1844</v>
      </c>
      <c r="C1160" t="s">
        <v>366</v>
      </c>
      <c r="D1160" t="str">
        <f t="array" ref="D1160">TEXT(Table26[[#This Row],[Date]],"MMMM")</f>
        <v>September</v>
      </c>
      <c r="E1160">
        <v>500</v>
      </c>
      <c r="F1160" t="s">
        <v>589</v>
      </c>
      <c r="G1160" t="s">
        <v>1864</v>
      </c>
      <c r="H1160" s="38">
        <v>46274</v>
      </c>
      <c r="I1160" cm="1">
        <f t="array" ref="I1160">IFERROR(INDEX('ALL STUDENTS'!$A:$A, MATCH(1, ('ALL STUDENTS'!$B:$B = B1160) * ('ALL STUDENTS'!$C:$C = C1160), 0)), "NOT FOUND")</f>
        <v>793</v>
      </c>
      <c r="J1160" t="str">
        <f>IF(Table26[[#This Row],[Fee]]&gt;500,Table26[[#This Row],[Fee]],"")</f>
        <v/>
      </c>
    </row>
    <row r="1161" spans="1:10" hidden="1">
      <c r="A1161">
        <v>1160</v>
      </c>
      <c r="B1161" t="s">
        <v>1845</v>
      </c>
      <c r="C1161" t="s">
        <v>102</v>
      </c>
      <c r="D1161" t="str">
        <f t="array" ref="D1161">TEXT(Table26[[#This Row],[Date]],"MMMM")</f>
        <v>September</v>
      </c>
      <c r="E1161">
        <v>500</v>
      </c>
      <c r="F1161" t="s">
        <v>589</v>
      </c>
      <c r="G1161" t="s">
        <v>1865</v>
      </c>
      <c r="H1161" s="38">
        <v>46276</v>
      </c>
      <c r="I1161" cm="1">
        <f t="array" ref="I1161">IFERROR(INDEX('ALL STUDENTS'!$A:$A, MATCH(1, ('ALL STUDENTS'!$B:$B = B1161) * ('ALL STUDENTS'!$C:$C = C1161), 0)), "NOT FOUND")</f>
        <v>1599</v>
      </c>
      <c r="J1161" t="str">
        <f>IF(Table26[[#This Row],[Fee]]&gt;500,Table26[[#This Row],[Fee]],"")</f>
        <v/>
      </c>
    </row>
    <row r="1162" spans="1:10" hidden="1">
      <c r="A1162">
        <v>1161</v>
      </c>
      <c r="B1162" t="s">
        <v>1846</v>
      </c>
      <c r="C1162" t="s">
        <v>515</v>
      </c>
      <c r="D1162" t="str">
        <f t="array" ref="D1162">TEXT(Table26[[#This Row],[Date]],"MMMM")</f>
        <v>September</v>
      </c>
      <c r="E1162">
        <v>500</v>
      </c>
      <c r="F1162" t="s">
        <v>589</v>
      </c>
      <c r="G1162" t="s">
        <v>1866</v>
      </c>
      <c r="H1162" s="38">
        <v>46276</v>
      </c>
      <c r="I1162" cm="1">
        <f t="array" ref="I1162">IFERROR(INDEX('ALL STUDENTS'!$A:$A, MATCH(1, ('ALL STUDENTS'!$B:$B = B1162) * ('ALL STUDENTS'!$C:$C = C1162), 0)), "NOT FOUND")</f>
        <v>59</v>
      </c>
      <c r="J1162" t="str">
        <f>IF(Table26[[#This Row],[Fee]]&gt;500,Table26[[#This Row],[Fee]],"")</f>
        <v/>
      </c>
    </row>
    <row r="1163" spans="1:10" hidden="1">
      <c r="A1163">
        <v>1162</v>
      </c>
      <c r="B1163" t="s">
        <v>1847</v>
      </c>
      <c r="C1163" t="s">
        <v>415</v>
      </c>
      <c r="D1163" t="str">
        <f t="array" ref="D1163">TEXT(Table26[[#This Row],[Date]],"MMMM")</f>
        <v>September</v>
      </c>
      <c r="E1163">
        <v>500</v>
      </c>
      <c r="F1163" t="s">
        <v>589</v>
      </c>
      <c r="G1163" t="s">
        <v>1867</v>
      </c>
      <c r="H1163" s="38">
        <v>46276</v>
      </c>
      <c r="I1163" cm="1">
        <f t="array" ref="I1163">IFERROR(INDEX('ALL STUDENTS'!$A:$A, MATCH(1, ('ALL STUDENTS'!$B:$B = B1163) * ('ALL STUDENTS'!$C:$C = C1163), 0)), "NOT FOUND")</f>
        <v>1004</v>
      </c>
      <c r="J1163" t="str">
        <f>IF(Table26[[#This Row],[Fee]]&gt;500,Table26[[#This Row],[Fee]],"")</f>
        <v/>
      </c>
    </row>
    <row r="1164" spans="1:10" s="1" customFormat="1" hidden="1">
      <c r="A1164">
        <v>1163</v>
      </c>
      <c r="B1164" t="s">
        <v>1946</v>
      </c>
      <c r="C1164" t="s">
        <v>351</v>
      </c>
      <c r="D1164" t="str">
        <f t="array" ref="D1164">TEXT(Table26[[#This Row],[Date]],"MMMM")</f>
        <v>August</v>
      </c>
      <c r="E1164">
        <v>500</v>
      </c>
      <c r="F1164" t="s">
        <v>589</v>
      </c>
      <c r="G1164" t="s">
        <v>1947</v>
      </c>
      <c r="H1164" s="38">
        <v>46243</v>
      </c>
      <c r="I1164" cm="1">
        <f t="array" ref="I1164">IFERROR(INDEX('ALL STUDENTS'!$A:$A, MATCH(1, ('ALL STUDENTS'!$B:$B = B1164) * ('ALL STUDENTS'!$C:$C = C1164), 0)), "NOT FOUND")</f>
        <v>2561</v>
      </c>
      <c r="J1164"/>
    </row>
    <row r="1165" spans="1:10" s="1" customFormat="1" hidden="1">
      <c r="A1165">
        <v>1164</v>
      </c>
      <c r="B1165" t="s">
        <v>1946</v>
      </c>
      <c r="C1165" t="s">
        <v>351</v>
      </c>
      <c r="D1165" t="str">
        <f t="array" ref="D1165">TEXT(Table26[[#This Row],[Date]],"MMMM")</f>
        <v>August</v>
      </c>
      <c r="E1165">
        <v>500</v>
      </c>
      <c r="F1165" t="s">
        <v>589</v>
      </c>
      <c r="G1165" t="s">
        <v>1948</v>
      </c>
      <c r="H1165" s="38">
        <v>46243</v>
      </c>
      <c r="I1165" cm="1">
        <f t="array" ref="I1165">IFERROR(INDEX('ALL STUDENTS'!$A:$A, MATCH(1, ('ALL STUDENTS'!$B:$B = B1165) * ('ALL STUDENTS'!$C:$C = C1165), 0)), "NOT FOUND")</f>
        <v>2561</v>
      </c>
      <c r="J1165"/>
    </row>
    <row r="1166" spans="1:10" s="1" customFormat="1" hidden="1">
      <c r="A1166">
        <v>1165</v>
      </c>
      <c r="B1166" t="s">
        <v>1946</v>
      </c>
      <c r="C1166" t="s">
        <v>351</v>
      </c>
      <c r="D1166" t="str">
        <f t="array" ref="D1166">TEXT(Table26[[#This Row],[Date]],"MMMM")</f>
        <v>August</v>
      </c>
      <c r="E1166">
        <v>500</v>
      </c>
      <c r="F1166" t="s">
        <v>589</v>
      </c>
      <c r="G1166" t="s">
        <v>1949</v>
      </c>
      <c r="H1166" s="38">
        <v>46243</v>
      </c>
      <c r="I1166" cm="1">
        <f t="array" ref="I1166">IFERROR(INDEX('ALL STUDENTS'!$A:$A, MATCH(1, ('ALL STUDENTS'!$B:$B = B1166) * ('ALL STUDENTS'!$C:$C = C1166), 0)), "NOT FOUND")</f>
        <v>2561</v>
      </c>
      <c r="J1166"/>
    </row>
    <row r="1167" spans="1:10" hidden="1">
      <c r="A1167">
        <v>1166</v>
      </c>
      <c r="B1167" t="s">
        <v>1848</v>
      </c>
      <c r="C1167" s="3" t="s">
        <v>175</v>
      </c>
      <c r="D1167" t="str">
        <f t="array" ref="D1167">TEXT(Table26[[#This Row],[Date]],"MMMM")</f>
        <v>September</v>
      </c>
      <c r="E1167">
        <v>500</v>
      </c>
      <c r="F1167" t="s">
        <v>589</v>
      </c>
      <c r="G1167" t="s">
        <v>1868</v>
      </c>
      <c r="H1167" s="38">
        <v>46277</v>
      </c>
      <c r="I1167" cm="1">
        <f t="array" ref="I1167">IFERROR(INDEX('ALL STUDENTS'!$A:$A, MATCH(1, ('ALL STUDENTS'!$B:$B = B1167) * ('ALL STUDENTS'!$C:$C = C1167), 0)), "NOT FOUND")</f>
        <v>1890</v>
      </c>
      <c r="J1167" t="str">
        <f>IF(Table26[[#This Row],[Fee]]&gt;500,Table26[[#This Row],[Fee]],"")</f>
        <v/>
      </c>
    </row>
    <row r="1168" spans="1:10" hidden="1">
      <c r="A1168">
        <v>1167</v>
      </c>
      <c r="B1168" t="s">
        <v>1849</v>
      </c>
      <c r="C1168" t="s">
        <v>62</v>
      </c>
      <c r="D1168" t="str">
        <f t="array" ref="D1168">TEXT(Table26[[#This Row],[Date]],"MMMM")</f>
        <v>September</v>
      </c>
      <c r="E1168">
        <v>500</v>
      </c>
      <c r="F1168" t="s">
        <v>589</v>
      </c>
      <c r="G1168" t="s">
        <v>1869</v>
      </c>
      <c r="H1168" s="38">
        <v>46276</v>
      </c>
      <c r="I1168" cm="1">
        <f t="array" ref="I1168">IFERROR(INDEX('ALL STUDENTS'!$A:$A, MATCH(1, ('ALL STUDENTS'!$B:$B = B1168) * ('ALL STUDENTS'!$C:$C = C1168), 0)), "NOT FOUND")</f>
        <v>3180</v>
      </c>
      <c r="J1168" t="str">
        <f>IF(Table26[[#This Row],[Fee]]&gt;500,Table26[[#This Row],[Fee]],"")</f>
        <v/>
      </c>
    </row>
    <row r="1169" spans="1:10" hidden="1">
      <c r="A1169">
        <v>1168</v>
      </c>
      <c r="B1169" t="s">
        <v>50</v>
      </c>
      <c r="C1169" t="s">
        <v>32</v>
      </c>
      <c r="D1169" t="str">
        <f t="array" ref="D1169">TEXT(Table26[[#This Row],[Date]],"MMMM")</f>
        <v>September</v>
      </c>
      <c r="E1169">
        <v>500</v>
      </c>
      <c r="F1169" t="s">
        <v>589</v>
      </c>
      <c r="G1169" t="s">
        <v>1870</v>
      </c>
      <c r="H1169" s="38">
        <v>46275</v>
      </c>
      <c r="I1169" cm="1">
        <f t="array" ref="I1169">IFERROR(INDEX('ALL STUDENTS'!$A:$A, MATCH(1, ('ALL STUDENTS'!$B:$B = B1169) * ('ALL STUDENTS'!$C:$C = C1169), 0)), "NOT FOUND")</f>
        <v>3080</v>
      </c>
      <c r="J1169" t="str">
        <f>IF(Table26[[#This Row],[Fee]]&gt;500,Table26[[#This Row],[Fee]],"")</f>
        <v/>
      </c>
    </row>
    <row r="1170" spans="1:10" hidden="1">
      <c r="A1170">
        <v>1169</v>
      </c>
      <c r="B1170" t="s">
        <v>1850</v>
      </c>
      <c r="C1170" t="s">
        <v>51</v>
      </c>
      <c r="D1170" t="str">
        <f t="array" ref="D1170">TEXT(Table26[[#This Row],[Date]],"MMMM")</f>
        <v>September</v>
      </c>
      <c r="E1170">
        <v>500</v>
      </c>
      <c r="F1170" t="s">
        <v>589</v>
      </c>
      <c r="G1170" t="s">
        <v>1871</v>
      </c>
      <c r="H1170" s="38">
        <v>46280</v>
      </c>
      <c r="I1170" cm="1">
        <f t="array" ref="I1170">IFERROR(INDEX('ALL STUDENTS'!$A:$A, MATCH(1, ('ALL STUDENTS'!$B:$B = B1170) * ('ALL STUDENTS'!$C:$C = C1170), 0)), "NOT FOUND")</f>
        <v>3117</v>
      </c>
      <c r="J1170" t="str">
        <f>IF(Table26[[#This Row],[Fee]]&gt;500,Table26[[#This Row],[Fee]],"")</f>
        <v/>
      </c>
    </row>
    <row r="1171" spans="1:10" hidden="1">
      <c r="A1171">
        <v>1170</v>
      </c>
      <c r="B1171" t="s">
        <v>1850</v>
      </c>
      <c r="C1171" t="s">
        <v>51</v>
      </c>
      <c r="D1171" t="str">
        <f t="array" ref="D1171">TEXT(Table26[[#This Row],[Date]],"MMMM")</f>
        <v>September</v>
      </c>
      <c r="E1171">
        <v>500</v>
      </c>
      <c r="F1171" t="s">
        <v>589</v>
      </c>
      <c r="G1171" t="s">
        <v>1872</v>
      </c>
      <c r="H1171" s="38">
        <v>46280</v>
      </c>
      <c r="I1171" cm="1">
        <f t="array" ref="I1171">IFERROR(INDEX('ALL STUDENTS'!$A:$A, MATCH(1, ('ALL STUDENTS'!$B:$B = B1171) * ('ALL STUDENTS'!$C:$C = C1171), 0)), "NOT FOUND")</f>
        <v>3117</v>
      </c>
      <c r="J1171" t="str">
        <f>IF(Table26[[#This Row],[Fee]]&gt;500,Table26[[#This Row],[Fee]],"")</f>
        <v/>
      </c>
    </row>
    <row r="1172" spans="1:10" hidden="1">
      <c r="A1172">
        <v>1171</v>
      </c>
      <c r="B1172" t="s">
        <v>1850</v>
      </c>
      <c r="C1172" t="s">
        <v>51</v>
      </c>
      <c r="D1172" t="str">
        <f t="array" ref="D1172">TEXT(Table26[[#This Row],[Date]],"MMMM")</f>
        <v>September</v>
      </c>
      <c r="E1172">
        <v>500</v>
      </c>
      <c r="F1172" t="s">
        <v>589</v>
      </c>
      <c r="G1172" t="s">
        <v>1873</v>
      </c>
      <c r="H1172" s="38">
        <v>46280</v>
      </c>
      <c r="I1172" cm="1">
        <f t="array" ref="I1172">IFERROR(INDEX('ALL STUDENTS'!$A:$A, MATCH(1, ('ALL STUDENTS'!$B:$B = B1172) * ('ALL STUDENTS'!$C:$C = C1172), 0)), "NOT FOUND")</f>
        <v>3117</v>
      </c>
      <c r="J1172" t="str">
        <f>IF(Table26[[#This Row],[Fee]]&gt;500,Table26[[#This Row],[Fee]],"")</f>
        <v/>
      </c>
    </row>
    <row r="1173" spans="1:10" hidden="1">
      <c r="A1173">
        <v>1172</v>
      </c>
      <c r="B1173" t="s">
        <v>1852</v>
      </c>
      <c r="C1173" t="s">
        <v>1851</v>
      </c>
      <c r="D1173" t="str">
        <f t="array" ref="D1173">TEXT(Table26[[#This Row],[Date]],"MMMM")</f>
        <v>September</v>
      </c>
      <c r="E1173">
        <v>500</v>
      </c>
      <c r="F1173" t="s">
        <v>589</v>
      </c>
      <c r="G1173" t="s">
        <v>1874</v>
      </c>
      <c r="H1173" s="38">
        <v>46277</v>
      </c>
      <c r="I1173" cm="1">
        <f t="array" ref="I1173">IFERROR(INDEX('ALL STUDENTS'!$A:$A, MATCH(1, ('ALL STUDENTS'!$B:$B = B1173) * ('ALL STUDENTS'!$C:$C = C1173), 0)), "NOT FOUND")</f>
        <v>1317</v>
      </c>
      <c r="J1173" t="str">
        <f>IF(Table26[[#This Row],[Fee]]&gt;500,Table26[[#This Row],[Fee]],"")</f>
        <v/>
      </c>
    </row>
    <row r="1174" spans="1:10" hidden="1">
      <c r="A1174">
        <v>1173</v>
      </c>
      <c r="B1174" t="s">
        <v>1852</v>
      </c>
      <c r="C1174" t="s">
        <v>1851</v>
      </c>
      <c r="D1174" t="str">
        <f t="array" ref="D1174">TEXT(Table26[[#This Row],[Date]],"MMMM")</f>
        <v>September</v>
      </c>
      <c r="E1174">
        <v>500</v>
      </c>
      <c r="F1174" t="s">
        <v>589</v>
      </c>
      <c r="G1174" t="s">
        <v>1875</v>
      </c>
      <c r="H1174" s="38">
        <v>46277</v>
      </c>
      <c r="I1174" cm="1">
        <f t="array" ref="I1174">IFERROR(INDEX('ALL STUDENTS'!$A:$A, MATCH(1, ('ALL STUDENTS'!$B:$B = B1174) * ('ALL STUDENTS'!$C:$C = C1174), 0)), "NOT FOUND")</f>
        <v>1317</v>
      </c>
      <c r="J1174" t="str">
        <f>IF(Table26[[#This Row],[Fee]]&gt;500,Table26[[#This Row],[Fee]],"")</f>
        <v/>
      </c>
    </row>
    <row r="1175" spans="1:10" hidden="1">
      <c r="A1175">
        <v>1174</v>
      </c>
      <c r="B1175" t="s">
        <v>1852</v>
      </c>
      <c r="C1175" t="s">
        <v>1851</v>
      </c>
      <c r="D1175" t="str">
        <f t="array" ref="D1175">TEXT(Table26[[#This Row],[Date]],"MMMM")</f>
        <v>September</v>
      </c>
      <c r="E1175">
        <v>500</v>
      </c>
      <c r="F1175" t="s">
        <v>589</v>
      </c>
      <c r="G1175" t="s">
        <v>1876</v>
      </c>
      <c r="H1175" s="38">
        <v>46277</v>
      </c>
      <c r="I1175" cm="1">
        <f t="array" ref="I1175">IFERROR(INDEX('ALL STUDENTS'!$A:$A, MATCH(1, ('ALL STUDENTS'!$B:$B = B1175) * ('ALL STUDENTS'!$C:$C = C1175), 0)), "NOT FOUND")</f>
        <v>1317</v>
      </c>
      <c r="J1175" t="str">
        <f>IF(Table26[[#This Row],[Fee]]&gt;500,Table26[[#This Row],[Fee]],"")</f>
        <v/>
      </c>
    </row>
    <row r="1176" spans="1:10" hidden="1">
      <c r="A1176">
        <v>1175</v>
      </c>
      <c r="B1176" t="s">
        <v>1853</v>
      </c>
      <c r="C1176" t="s">
        <v>496</v>
      </c>
      <c r="D1176" t="str">
        <f t="array" ref="D1176">TEXT(Table26[[#This Row],[Date]],"MMMM")</f>
        <v>September</v>
      </c>
      <c r="E1176">
        <v>500</v>
      </c>
      <c r="F1176" t="s">
        <v>589</v>
      </c>
      <c r="G1176" t="s">
        <v>1877</v>
      </c>
      <c r="H1176" s="38">
        <v>46277</v>
      </c>
      <c r="I1176" cm="1">
        <f t="array" ref="I1176">IFERROR(INDEX('ALL STUDENTS'!$A:$A, MATCH(1, ('ALL STUDENTS'!$B:$B = B1176) * ('ALL STUDENTS'!$C:$C = C1176), 0)), "NOT FOUND")</f>
        <v>353</v>
      </c>
      <c r="J1176" t="str">
        <f>IF(Table26[[#This Row],[Fee]]&gt;500,Table26[[#This Row],[Fee]],"")</f>
        <v/>
      </c>
    </row>
    <row r="1177" spans="1:10" hidden="1">
      <c r="A1177">
        <v>1176</v>
      </c>
      <c r="B1177" t="s">
        <v>1854</v>
      </c>
      <c r="C1177" t="s">
        <v>415</v>
      </c>
      <c r="D1177" t="str">
        <f t="array" ref="D1177">TEXT(Table26[[#This Row],[Date]],"MMMM")</f>
        <v>September</v>
      </c>
      <c r="E1177">
        <v>500</v>
      </c>
      <c r="F1177" t="s">
        <v>589</v>
      </c>
      <c r="G1177" t="s">
        <v>1878</v>
      </c>
      <c r="H1177" s="38">
        <v>46280</v>
      </c>
      <c r="I1177" cm="1">
        <f t="array" ref="I1177">IFERROR(INDEX('ALL STUDENTS'!$A:$A, MATCH(1, ('ALL STUDENTS'!$B:$B = B1177) * ('ALL STUDENTS'!$C:$C = C1177), 0)), "NOT FOUND")</f>
        <v>987</v>
      </c>
      <c r="J1177" t="str">
        <f>IF(Table26[[#This Row],[Fee]]&gt;500,Table26[[#This Row],[Fee]],"")</f>
        <v/>
      </c>
    </row>
    <row r="1178" spans="1:10" hidden="1">
      <c r="A1178">
        <v>1177</v>
      </c>
      <c r="B1178" t="s">
        <v>1854</v>
      </c>
      <c r="C1178" t="s">
        <v>415</v>
      </c>
      <c r="D1178" t="str">
        <f t="array" ref="D1178">TEXT(Table26[[#This Row],[Date]],"MMMM")</f>
        <v>September</v>
      </c>
      <c r="E1178">
        <v>500</v>
      </c>
      <c r="F1178" t="s">
        <v>589</v>
      </c>
      <c r="G1178" t="s">
        <v>1879</v>
      </c>
      <c r="H1178" s="38">
        <v>46280</v>
      </c>
      <c r="I1178" cm="1">
        <f t="array" ref="I1178">IFERROR(INDEX('ALL STUDENTS'!$A:$A, MATCH(1, ('ALL STUDENTS'!$B:$B = B1178) * ('ALL STUDENTS'!$C:$C = C1178), 0)), "NOT FOUND")</f>
        <v>987</v>
      </c>
      <c r="J1178" t="str">
        <f>IF(Table26[[#This Row],[Fee]]&gt;500,Table26[[#This Row],[Fee]],"")</f>
        <v/>
      </c>
    </row>
    <row r="1179" spans="1:10" hidden="1">
      <c r="A1179">
        <v>1178</v>
      </c>
      <c r="B1179" t="s">
        <v>1854</v>
      </c>
      <c r="C1179" t="s">
        <v>415</v>
      </c>
      <c r="D1179" t="str">
        <f t="array" ref="D1179">TEXT(Table26[[#This Row],[Date]],"MMMM")</f>
        <v>September</v>
      </c>
      <c r="E1179">
        <v>500</v>
      </c>
      <c r="F1179" t="s">
        <v>589</v>
      </c>
      <c r="G1179" t="s">
        <v>1880</v>
      </c>
      <c r="H1179" s="38">
        <v>46280</v>
      </c>
      <c r="I1179" cm="1">
        <f t="array" ref="I1179">IFERROR(INDEX('ALL STUDENTS'!$A:$A, MATCH(1, ('ALL STUDENTS'!$B:$B = B1179) * ('ALL STUDENTS'!$C:$C = C1179), 0)), "NOT FOUND")</f>
        <v>987</v>
      </c>
      <c r="J1179" t="str">
        <f>IF(Table26[[#This Row],[Fee]]&gt;500,Table26[[#This Row],[Fee]],"")</f>
        <v/>
      </c>
    </row>
    <row r="1180" spans="1:10" hidden="1">
      <c r="A1180">
        <v>1179</v>
      </c>
      <c r="B1180" t="s">
        <v>1855</v>
      </c>
      <c r="C1180" t="s">
        <v>320</v>
      </c>
      <c r="D1180" t="str">
        <f t="array" ref="D1180">TEXT(Table26[[#This Row],[Date]],"MMMM")</f>
        <v>September</v>
      </c>
      <c r="E1180">
        <v>500</v>
      </c>
      <c r="F1180" t="s">
        <v>589</v>
      </c>
      <c r="G1180" t="s">
        <v>1881</v>
      </c>
      <c r="H1180" s="38">
        <v>46277</v>
      </c>
      <c r="I1180" cm="1">
        <f t="array" ref="I1180">IFERROR(INDEX('ALL STUDENTS'!$A:$A, MATCH(1, ('ALL STUDENTS'!$B:$B = B1180) * ('ALL STUDENTS'!$C:$C = C1180), 0)), "NOT FOUND")</f>
        <v>2418</v>
      </c>
      <c r="J1180" t="str">
        <f>IF(Table26[[#This Row],[Fee]]&gt;500,Table26[[#This Row],[Fee]],"")</f>
        <v/>
      </c>
    </row>
    <row r="1181" spans="1:10" hidden="1">
      <c r="A1181">
        <v>1180</v>
      </c>
      <c r="B1181" t="s">
        <v>1899</v>
      </c>
      <c r="C1181" t="s">
        <v>171</v>
      </c>
      <c r="D1181" t="str">
        <f t="array" ref="D1181">TEXT(Table26[[#This Row],[Date]],"MMMM")</f>
        <v>September</v>
      </c>
      <c r="E1181">
        <v>500</v>
      </c>
      <c r="F1181" t="s">
        <v>589</v>
      </c>
      <c r="G1181" t="s">
        <v>1914</v>
      </c>
      <c r="H1181" s="38">
        <v>46280</v>
      </c>
      <c r="I1181" cm="1">
        <f t="array" ref="I1181">IFERROR(INDEX('ALL STUDENTS'!$A:$A, MATCH(1, ('ALL STUDENTS'!$B:$B = B1181) * ('ALL STUDENTS'!$C:$C = C1181), 0)), "NOT FOUND")</f>
        <v>2706</v>
      </c>
      <c r="J1181" t="str">
        <f>IF(Table26[[#This Row],[Fee]]&gt;500,Table26[[#This Row],[Fee]],"")</f>
        <v/>
      </c>
    </row>
    <row r="1182" spans="1:10" hidden="1">
      <c r="A1182">
        <v>1181</v>
      </c>
      <c r="B1182" t="s">
        <v>1900</v>
      </c>
      <c r="C1182" t="s">
        <v>356</v>
      </c>
      <c r="D1182" t="str">
        <f t="array" ref="D1182">TEXT(Table26[[#This Row],[Date]],"MMMM")</f>
        <v>September</v>
      </c>
      <c r="E1182">
        <v>500</v>
      </c>
      <c r="F1182" t="s">
        <v>589</v>
      </c>
      <c r="G1182" t="s">
        <v>1915</v>
      </c>
      <c r="H1182" s="38">
        <v>46280</v>
      </c>
      <c r="I1182" cm="1">
        <f t="array" ref="I1182">IFERROR(INDEX('ALL STUDENTS'!$A:$A, MATCH(1, ('ALL STUDENTS'!$B:$B = B1182) * ('ALL STUDENTS'!$C:$C = C1182), 0)), "NOT FOUND")</f>
        <v>761</v>
      </c>
      <c r="J1182" t="str">
        <f>IF(Table26[[#This Row],[Fee]]&gt;500,Table26[[#This Row],[Fee]],"")</f>
        <v/>
      </c>
    </row>
    <row r="1183" spans="1:10" hidden="1">
      <c r="A1183">
        <v>1182</v>
      </c>
      <c r="B1183" t="s">
        <v>1900</v>
      </c>
      <c r="C1183" t="s">
        <v>356</v>
      </c>
      <c r="D1183" t="str">
        <f t="array" ref="D1183">TEXT(Table26[[#This Row],[Date]],"MMMM")</f>
        <v>September</v>
      </c>
      <c r="E1183">
        <v>500</v>
      </c>
      <c r="F1183" t="s">
        <v>589</v>
      </c>
      <c r="G1183" t="s">
        <v>1916</v>
      </c>
      <c r="H1183" s="38">
        <v>46280</v>
      </c>
      <c r="I1183" cm="1">
        <f t="array" ref="I1183">IFERROR(INDEX('ALL STUDENTS'!$A:$A, MATCH(1, ('ALL STUDENTS'!$B:$B = B1183) * ('ALL STUDENTS'!$C:$C = C1183), 0)), "NOT FOUND")</f>
        <v>761</v>
      </c>
      <c r="J1183" t="str">
        <f>IF(Table26[[#This Row],[Fee]]&gt;500,Table26[[#This Row],[Fee]],"")</f>
        <v/>
      </c>
    </row>
    <row r="1184" spans="1:10" hidden="1">
      <c r="A1184">
        <v>1183</v>
      </c>
      <c r="B1184" t="s">
        <v>1900</v>
      </c>
      <c r="C1184" t="s">
        <v>356</v>
      </c>
      <c r="D1184" t="str">
        <f t="array" ref="D1184">TEXT(Table26[[#This Row],[Date]],"MMMM")</f>
        <v>September</v>
      </c>
      <c r="E1184">
        <v>500</v>
      </c>
      <c r="F1184" t="s">
        <v>589</v>
      </c>
      <c r="G1184" t="s">
        <v>1917</v>
      </c>
      <c r="H1184" s="38">
        <v>46280</v>
      </c>
      <c r="I1184" cm="1">
        <f t="array" ref="I1184">IFERROR(INDEX('ALL STUDENTS'!$A:$A, MATCH(1, ('ALL STUDENTS'!$B:$B = B1184) * ('ALL STUDENTS'!$C:$C = C1184), 0)), "NOT FOUND")</f>
        <v>761</v>
      </c>
      <c r="J1184" t="str">
        <f>IF(Table26[[#This Row],[Fee]]&gt;500,Table26[[#This Row],[Fee]],"")</f>
        <v/>
      </c>
    </row>
    <row r="1185" spans="1:10" hidden="1">
      <c r="A1185">
        <v>1184</v>
      </c>
      <c r="B1185" t="s">
        <v>1901</v>
      </c>
      <c r="C1185" t="s">
        <v>356</v>
      </c>
      <c r="D1185" t="str">
        <f t="array" ref="D1185">TEXT(Table26[[#This Row],[Date]],"MMMM")</f>
        <v>September</v>
      </c>
      <c r="E1185">
        <v>500</v>
      </c>
      <c r="F1185" t="s">
        <v>589</v>
      </c>
      <c r="G1185" t="s">
        <v>1918</v>
      </c>
      <c r="H1185" s="38">
        <v>46280</v>
      </c>
      <c r="I1185" cm="1">
        <f t="array" ref="I1185">IFERROR(INDEX('ALL STUDENTS'!$A:$A, MATCH(1, ('ALL STUDENTS'!$B:$B = B1185) * ('ALL STUDENTS'!$C:$C = C1185), 0)), "NOT FOUND")</f>
        <v>778</v>
      </c>
      <c r="J1185" t="str">
        <f>IF(Table26[[#This Row],[Fee]]&gt;500,Table26[[#This Row],[Fee]],"")</f>
        <v/>
      </c>
    </row>
    <row r="1186" spans="1:10" hidden="1">
      <c r="A1186">
        <v>1185</v>
      </c>
      <c r="B1186" t="s">
        <v>1902</v>
      </c>
      <c r="C1186" t="s">
        <v>496</v>
      </c>
      <c r="D1186" t="str">
        <f t="array" ref="D1186">TEXT(Table26[[#This Row],[Date]],"MMMM")</f>
        <v>September</v>
      </c>
      <c r="E1186">
        <v>500</v>
      </c>
      <c r="F1186" t="s">
        <v>589</v>
      </c>
      <c r="G1186" t="s">
        <v>1919</v>
      </c>
      <c r="H1186" s="38">
        <v>46270</v>
      </c>
      <c r="I1186" cm="1">
        <f t="array" ref="I1186">IFERROR(INDEX('ALL STUDENTS'!$A:$A, MATCH(1, ('ALL STUDENTS'!$B:$B = B1186) * ('ALL STUDENTS'!$C:$C = C1186), 0)), "NOT FOUND")</f>
        <v>365</v>
      </c>
      <c r="J1186" t="str">
        <f>IF(Table26[[#This Row],[Fee]]&gt;500,Table26[[#This Row],[Fee]],"")</f>
        <v/>
      </c>
    </row>
    <row r="1187" spans="1:10" hidden="1">
      <c r="A1187">
        <v>1186</v>
      </c>
      <c r="B1187" t="s">
        <v>1903</v>
      </c>
      <c r="C1187" t="s">
        <v>463</v>
      </c>
      <c r="D1187" t="str">
        <f t="array" ref="D1187">TEXT(Table26[[#This Row],[Date]],"MMMM")</f>
        <v>September</v>
      </c>
      <c r="E1187">
        <v>500</v>
      </c>
      <c r="F1187" t="s">
        <v>589</v>
      </c>
      <c r="G1187" t="s">
        <v>1920</v>
      </c>
      <c r="H1187" s="38">
        <v>46280</v>
      </c>
      <c r="I1187" cm="1">
        <f t="array" ref="I1187">IFERROR(INDEX('ALL STUDENTS'!$A:$A, MATCH(1, ('ALL STUDENTS'!$B:$B = B1187) * ('ALL STUDENTS'!$C:$C = C1187), 0)), "NOT FOUND")</f>
        <v>738</v>
      </c>
      <c r="J1187" t="str">
        <f>IF(Table26[[#This Row],[Fee]]&gt;500,Table26[[#This Row],[Fee]],"")</f>
        <v/>
      </c>
    </row>
    <row r="1188" spans="1:10" hidden="1">
      <c r="A1188">
        <v>1187</v>
      </c>
      <c r="B1188" t="s">
        <v>1904</v>
      </c>
      <c r="C1188" t="s">
        <v>496</v>
      </c>
      <c r="D1188" t="str">
        <f t="array" ref="D1188">TEXT(Table26[[#This Row],[Date]],"MMMM")</f>
        <v>September</v>
      </c>
      <c r="E1188">
        <v>500</v>
      </c>
      <c r="F1188" t="s">
        <v>591</v>
      </c>
      <c r="G1188" t="s">
        <v>1921</v>
      </c>
      <c r="H1188" s="38">
        <v>46280</v>
      </c>
      <c r="I1188" cm="1">
        <f t="array" ref="I1188">IFERROR(INDEX('ALL STUDENTS'!$A:$A, MATCH(1, ('ALL STUDENTS'!$B:$B = B1188) * ('ALL STUDENTS'!$C:$C = C1188), 0)), "NOT FOUND")</f>
        <v>371</v>
      </c>
      <c r="J1188" t="str">
        <f>IF(Table26[[#This Row],[Fee]]&gt;500,Table26[[#This Row],[Fee]],"")</f>
        <v/>
      </c>
    </row>
    <row r="1189" spans="1:10" hidden="1">
      <c r="A1189">
        <v>1188</v>
      </c>
      <c r="B1189" t="s">
        <v>1904</v>
      </c>
      <c r="C1189" t="s">
        <v>496</v>
      </c>
      <c r="D1189" t="str">
        <f t="array" ref="D1189">TEXT(Table26[[#This Row],[Date]],"MMMM")</f>
        <v>September</v>
      </c>
      <c r="E1189">
        <v>500</v>
      </c>
      <c r="F1189" t="s">
        <v>591</v>
      </c>
      <c r="G1189" t="s">
        <v>1922</v>
      </c>
      <c r="H1189" s="38">
        <v>46280</v>
      </c>
      <c r="I1189" cm="1">
        <f t="array" ref="I1189">IFERROR(INDEX('ALL STUDENTS'!$A:$A, MATCH(1, ('ALL STUDENTS'!$B:$B = B1189) * ('ALL STUDENTS'!$C:$C = C1189), 0)), "NOT FOUND")</f>
        <v>371</v>
      </c>
      <c r="J1189" t="str">
        <f>IF(Table26[[#This Row],[Fee]]&gt;500,Table26[[#This Row],[Fee]],"")</f>
        <v/>
      </c>
    </row>
    <row r="1190" spans="1:10" hidden="1">
      <c r="A1190">
        <v>1189</v>
      </c>
      <c r="B1190" t="s">
        <v>1904</v>
      </c>
      <c r="C1190" t="s">
        <v>496</v>
      </c>
      <c r="D1190" t="str">
        <f t="array" ref="D1190">TEXT(Table26[[#This Row],[Date]],"MMMM")</f>
        <v>September</v>
      </c>
      <c r="E1190">
        <v>500</v>
      </c>
      <c r="F1190" t="s">
        <v>591</v>
      </c>
      <c r="G1190" t="s">
        <v>1923</v>
      </c>
      <c r="H1190" s="38">
        <v>46280</v>
      </c>
      <c r="I1190" cm="1">
        <f t="array" ref="I1190">IFERROR(INDEX('ALL STUDENTS'!$A:$A, MATCH(1, ('ALL STUDENTS'!$B:$B = B1190) * ('ALL STUDENTS'!$C:$C = C1190), 0)), "NOT FOUND")</f>
        <v>371</v>
      </c>
      <c r="J1190" t="str">
        <f>IF(Table26[[#This Row],[Fee]]&gt;500,Table26[[#This Row],[Fee]],"")</f>
        <v/>
      </c>
    </row>
    <row r="1191" spans="1:10" hidden="1">
      <c r="A1191">
        <v>1190</v>
      </c>
      <c r="B1191" t="s">
        <v>1905</v>
      </c>
      <c r="C1191" t="s">
        <v>51</v>
      </c>
      <c r="D1191" t="str">
        <f t="array" ref="D1191">TEXT(Table26[[#This Row],[Date]],"MMMM")</f>
        <v>September</v>
      </c>
      <c r="E1191">
        <v>500</v>
      </c>
      <c r="F1191" t="s">
        <v>589</v>
      </c>
      <c r="G1191" t="s">
        <v>1924</v>
      </c>
      <c r="H1191" s="38">
        <v>46280</v>
      </c>
      <c r="I1191" cm="1">
        <f t="array" ref="I1191">IFERROR(INDEX('ALL STUDENTS'!$A:$A, MATCH(1, ('ALL STUDENTS'!$B:$B = B1191) * ('ALL STUDENTS'!$C:$C = C1191), 0)), "NOT FOUND")</f>
        <v>3125</v>
      </c>
      <c r="J1191" t="str">
        <f>IF(Table26[[#This Row],[Fee]]&gt;500,Table26[[#This Row],[Fee]],"")</f>
        <v/>
      </c>
    </row>
    <row r="1192" spans="1:10" hidden="1">
      <c r="A1192">
        <v>1191</v>
      </c>
      <c r="B1192" t="s">
        <v>1905</v>
      </c>
      <c r="C1192" t="s">
        <v>51</v>
      </c>
      <c r="D1192" t="str">
        <f t="array" ref="D1192">TEXT(Table26[[#This Row],[Date]],"MMMM")</f>
        <v>September</v>
      </c>
      <c r="E1192">
        <v>500</v>
      </c>
      <c r="F1192" t="s">
        <v>589</v>
      </c>
      <c r="G1192" t="s">
        <v>1925</v>
      </c>
      <c r="H1192" s="38">
        <v>46280</v>
      </c>
      <c r="I1192" cm="1">
        <f t="array" ref="I1192">IFERROR(INDEX('ALL STUDENTS'!$A:$A, MATCH(1, ('ALL STUDENTS'!$B:$B = B1192) * ('ALL STUDENTS'!$C:$C = C1192), 0)), "NOT FOUND")</f>
        <v>3125</v>
      </c>
      <c r="J1192" t="str">
        <f>IF(Table26[[#This Row],[Fee]]&gt;500,Table26[[#This Row],[Fee]],"")</f>
        <v/>
      </c>
    </row>
    <row r="1193" spans="1:10" hidden="1">
      <c r="A1193">
        <v>1192</v>
      </c>
      <c r="B1193" t="s">
        <v>1905</v>
      </c>
      <c r="C1193" t="s">
        <v>51</v>
      </c>
      <c r="D1193" t="str">
        <f t="array" ref="D1193">TEXT(Table26[[#This Row],[Date]],"MMMM")</f>
        <v>September</v>
      </c>
      <c r="E1193">
        <v>500</v>
      </c>
      <c r="F1193" t="s">
        <v>589</v>
      </c>
      <c r="G1193" t="s">
        <v>1926</v>
      </c>
      <c r="H1193" s="38">
        <v>46280</v>
      </c>
      <c r="I1193" cm="1">
        <f t="array" ref="I1193">IFERROR(INDEX('ALL STUDENTS'!$A:$A, MATCH(1, ('ALL STUDENTS'!$B:$B = B1193) * ('ALL STUDENTS'!$C:$C = C1193), 0)), "NOT FOUND")</f>
        <v>3125</v>
      </c>
      <c r="J1193" t="str">
        <f>IF(Table26[[#This Row],[Fee]]&gt;500,Table26[[#This Row],[Fee]],"")</f>
        <v/>
      </c>
    </row>
    <row r="1194" spans="1:10" hidden="1">
      <c r="A1194">
        <v>1193</v>
      </c>
      <c r="B1194" t="s">
        <v>1906</v>
      </c>
      <c r="C1194" t="s">
        <v>128</v>
      </c>
      <c r="D1194" t="str">
        <f t="array" ref="D1194">TEXT(Table26[[#This Row],[Date]],"MMMM")</f>
        <v>September</v>
      </c>
      <c r="E1194">
        <v>500</v>
      </c>
      <c r="F1194" t="s">
        <v>589</v>
      </c>
      <c r="G1194" t="s">
        <v>1927</v>
      </c>
      <c r="H1194" s="38">
        <v>46273</v>
      </c>
      <c r="I1194" cm="1">
        <f t="array" ref="I1194">IFERROR(INDEX('ALL STUDENTS'!$A:$A, MATCH(1, ('ALL STUDENTS'!$B:$B = B1194) * ('ALL STUDENTS'!$C:$C = C1194), 0)), "NOT FOUND")</f>
        <v>1710</v>
      </c>
      <c r="J1194" t="str">
        <f>IF(Table26[[#This Row],[Fee]]&gt;500,Table26[[#This Row],[Fee]],"")</f>
        <v/>
      </c>
    </row>
    <row r="1195" spans="1:10" hidden="1">
      <c r="A1195">
        <v>1194</v>
      </c>
      <c r="B1195" t="s">
        <v>1906</v>
      </c>
      <c r="C1195" t="s">
        <v>128</v>
      </c>
      <c r="D1195" t="str">
        <f t="array" ref="D1195">TEXT(Table26[[#This Row],[Date]],"MMMM")</f>
        <v>September</v>
      </c>
      <c r="E1195">
        <v>500</v>
      </c>
      <c r="F1195" t="s">
        <v>589</v>
      </c>
      <c r="G1195" t="s">
        <v>1928</v>
      </c>
      <c r="H1195" s="38">
        <v>46273</v>
      </c>
      <c r="I1195" cm="1">
        <f t="array" ref="I1195">IFERROR(INDEX('ALL STUDENTS'!$A:$A, MATCH(1, ('ALL STUDENTS'!$B:$B = B1195) * ('ALL STUDENTS'!$C:$C = C1195), 0)), "NOT FOUND")</f>
        <v>1710</v>
      </c>
      <c r="J1195" t="str">
        <f>IF(Table26[[#This Row],[Fee]]&gt;500,Table26[[#This Row],[Fee]],"")</f>
        <v/>
      </c>
    </row>
    <row r="1196" spans="1:10" hidden="1">
      <c r="A1196">
        <v>1195</v>
      </c>
      <c r="B1196" t="s">
        <v>1906</v>
      </c>
      <c r="C1196" t="s">
        <v>128</v>
      </c>
      <c r="D1196" t="str">
        <f t="array" ref="D1196">TEXT(Table26[[#This Row],[Date]],"MMMM")</f>
        <v>September</v>
      </c>
      <c r="E1196">
        <v>500</v>
      </c>
      <c r="F1196" t="s">
        <v>589</v>
      </c>
      <c r="G1196" t="s">
        <v>1929</v>
      </c>
      <c r="H1196" s="38">
        <v>46273</v>
      </c>
      <c r="I1196" cm="1">
        <f t="array" ref="I1196">IFERROR(INDEX('ALL STUDENTS'!$A:$A, MATCH(1, ('ALL STUDENTS'!$B:$B = B1196) * ('ALL STUDENTS'!$C:$C = C1196), 0)), "NOT FOUND")</f>
        <v>1710</v>
      </c>
      <c r="J1196" t="str">
        <f>IF(Table26[[#This Row],[Fee]]&gt;500,Table26[[#This Row],[Fee]],"")</f>
        <v/>
      </c>
    </row>
    <row r="1197" spans="1:10">
      <c r="A1197">
        <v>1196</v>
      </c>
      <c r="B1197" t="s">
        <v>1907</v>
      </c>
      <c r="C1197" t="s">
        <v>334</v>
      </c>
      <c r="D1197" t="str">
        <f t="array" ref="D1197">TEXT(Table26[[#This Row],[Date]],"MMMM")</f>
        <v>August</v>
      </c>
      <c r="E1197">
        <v>500</v>
      </c>
      <c r="F1197" t="s">
        <v>589</v>
      </c>
      <c r="G1197" t="s">
        <v>1930</v>
      </c>
      <c r="H1197" s="38">
        <v>46255</v>
      </c>
      <c r="I1197" t="str" cm="1">
        <f t="array" ref="I1197">IFERROR(INDEX('ALL STUDENTS'!$A:$A, MATCH(1, ('ALL STUDENTS'!$B:$B = B1197) * ('ALL STUDENTS'!$C:$C = C1197), 0)), "NOT FOUND")</f>
        <v>NOT FOUND</v>
      </c>
      <c r="J1197" t="str">
        <f>IF(Table26[[#This Row],[Fee]]&gt;500,Table26[[#This Row],[Fee]],"")</f>
        <v/>
      </c>
    </row>
    <row r="1198" spans="1:10">
      <c r="A1198">
        <v>1197</v>
      </c>
      <c r="B1198" t="s">
        <v>1907</v>
      </c>
      <c r="C1198" t="s">
        <v>334</v>
      </c>
      <c r="D1198" t="str">
        <f t="array" ref="D1198">TEXT(Table26[[#This Row],[Date]],"MMMM")</f>
        <v>August</v>
      </c>
      <c r="E1198">
        <v>500</v>
      </c>
      <c r="F1198" t="s">
        <v>589</v>
      </c>
      <c r="G1198" t="s">
        <v>1931</v>
      </c>
      <c r="H1198" s="38">
        <v>46255</v>
      </c>
      <c r="I1198" t="str" cm="1">
        <f t="array" ref="I1198">IFERROR(INDEX('ALL STUDENTS'!$A:$A, MATCH(1, ('ALL STUDENTS'!$B:$B = B1198) * ('ALL STUDENTS'!$C:$C = C1198), 0)), "NOT FOUND")</f>
        <v>NOT FOUND</v>
      </c>
      <c r="J1198" t="str">
        <f>IF(Table26[[#This Row],[Fee]]&gt;500,Table26[[#This Row],[Fee]],"")</f>
        <v/>
      </c>
    </row>
    <row r="1199" spans="1:10" hidden="1">
      <c r="A1199">
        <v>1198</v>
      </c>
      <c r="B1199" t="s">
        <v>1908</v>
      </c>
      <c r="C1199" t="s">
        <v>227</v>
      </c>
      <c r="D1199" t="str">
        <f t="array" ref="D1199">TEXT(Table26[[#This Row],[Date]],"MMMM")</f>
        <v>August</v>
      </c>
      <c r="E1199">
        <v>500</v>
      </c>
      <c r="F1199" t="s">
        <v>589</v>
      </c>
      <c r="G1199" t="s">
        <v>1932</v>
      </c>
      <c r="H1199" s="38">
        <v>46257</v>
      </c>
      <c r="I1199" cm="1">
        <f t="array" ref="I1199">IFERROR(INDEX('ALL STUDENTS'!$A:$A, MATCH(1, ('ALL STUDENTS'!$B:$B = B1199) * ('ALL STUDENTS'!$C:$C = C1199), 0)), "NOT FOUND")</f>
        <v>2070</v>
      </c>
      <c r="J1199" t="str">
        <f>IF(Table26[[#This Row],[Fee]]&gt;500,Table26[[#This Row],[Fee]],"")</f>
        <v/>
      </c>
    </row>
    <row r="1200" spans="1:10" hidden="1">
      <c r="A1200">
        <v>1199</v>
      </c>
      <c r="B1200" t="s">
        <v>1908</v>
      </c>
      <c r="C1200" t="s">
        <v>227</v>
      </c>
      <c r="D1200" t="str">
        <f t="array" ref="D1200">TEXT(Table26[[#This Row],[Date]],"MMMM")</f>
        <v>August</v>
      </c>
      <c r="E1200">
        <v>500</v>
      </c>
      <c r="F1200" t="s">
        <v>589</v>
      </c>
      <c r="G1200" t="s">
        <v>1933</v>
      </c>
      <c r="H1200" s="38">
        <v>46257</v>
      </c>
      <c r="I1200" cm="1">
        <f t="array" ref="I1200">IFERROR(INDEX('ALL STUDENTS'!$A:$A, MATCH(1, ('ALL STUDENTS'!$B:$B = B1200) * ('ALL STUDENTS'!$C:$C = C1200), 0)), "NOT FOUND")</f>
        <v>2070</v>
      </c>
      <c r="J1200" t="str">
        <f>IF(Table26[[#This Row],[Fee]]&gt;500,Table26[[#This Row],[Fee]],"")</f>
        <v/>
      </c>
    </row>
    <row r="1201" spans="1:10" hidden="1">
      <c r="A1201">
        <v>1200</v>
      </c>
      <c r="B1201" t="s">
        <v>1908</v>
      </c>
      <c r="C1201" t="s">
        <v>227</v>
      </c>
      <c r="D1201" t="str">
        <f t="array" ref="D1201">TEXT(Table26[[#This Row],[Date]],"MMMM")</f>
        <v>August</v>
      </c>
      <c r="E1201">
        <v>500</v>
      </c>
      <c r="F1201" t="s">
        <v>589</v>
      </c>
      <c r="G1201" t="s">
        <v>1934</v>
      </c>
      <c r="H1201" s="38">
        <v>46257</v>
      </c>
      <c r="I1201" cm="1">
        <f t="array" ref="I1201">IFERROR(INDEX('ALL STUDENTS'!$A:$A, MATCH(1, ('ALL STUDENTS'!$B:$B = B1201) * ('ALL STUDENTS'!$C:$C = C1201), 0)), "NOT FOUND")</f>
        <v>2070</v>
      </c>
      <c r="J1201" t="str">
        <f>IF(Table26[[#This Row],[Fee]]&gt;500,Table26[[#This Row],[Fee]],"")</f>
        <v/>
      </c>
    </row>
    <row r="1202" spans="1:10" hidden="1">
      <c r="A1202">
        <v>1201</v>
      </c>
      <c r="B1202" t="s">
        <v>3957</v>
      </c>
      <c r="C1202" t="s">
        <v>68</v>
      </c>
      <c r="D1202" t="str">
        <f t="array" ref="D1202">TEXT(Table26[[#This Row],[Date]],"MMMM")</f>
        <v>September</v>
      </c>
      <c r="E1202">
        <v>500</v>
      </c>
      <c r="F1202" t="s">
        <v>589</v>
      </c>
      <c r="G1202" t="s">
        <v>1935</v>
      </c>
      <c r="H1202" s="38">
        <v>46280</v>
      </c>
      <c r="I1202" cm="1">
        <f t="array" ref="I1202">IFERROR(INDEX('ALL STUDENTS'!$A:$A, MATCH(1, ('ALL STUDENTS'!$B:$B = B1202) * ('ALL STUDENTS'!$C:$C = C1202), 0)), "NOT FOUND")</f>
        <v>2659</v>
      </c>
      <c r="J1202" t="str">
        <f>IF(Table26[[#This Row],[Fee]]&gt;500,Table26[[#This Row],[Fee]],"")</f>
        <v/>
      </c>
    </row>
    <row r="1203" spans="1:10" hidden="1">
      <c r="A1203">
        <v>1202</v>
      </c>
      <c r="B1203" t="s">
        <v>1909</v>
      </c>
      <c r="C1203" t="s">
        <v>221</v>
      </c>
      <c r="D1203" t="str">
        <f t="array" ref="D1203">TEXT(Table26[[#This Row],[Date]],"MMMM")</f>
        <v>September</v>
      </c>
      <c r="E1203">
        <v>500</v>
      </c>
      <c r="F1203" t="s">
        <v>589</v>
      </c>
      <c r="G1203" t="s">
        <v>1936</v>
      </c>
      <c r="H1203" s="38">
        <v>46277</v>
      </c>
      <c r="I1203" cm="1">
        <f t="array" ref="I1203">IFERROR(INDEX('ALL STUDENTS'!$A:$A, MATCH(1, ('ALL STUDENTS'!$B:$B = B1203) * ('ALL STUDENTS'!$C:$C = C1203), 0)), "NOT FOUND")</f>
        <v>2032</v>
      </c>
      <c r="J1203" t="str">
        <f>IF(Table26[[#This Row],[Fee]]&gt;500,Table26[[#This Row],[Fee]],"")</f>
        <v/>
      </c>
    </row>
    <row r="1204" spans="1:10" hidden="1">
      <c r="A1204">
        <v>1203</v>
      </c>
      <c r="B1204" t="s">
        <v>1910</v>
      </c>
      <c r="C1204" t="s">
        <v>340</v>
      </c>
      <c r="D1204" t="str">
        <f t="array" ref="D1204">TEXT(Table26[[#This Row],[Date]],"MMMM")</f>
        <v>September</v>
      </c>
      <c r="E1204">
        <v>500</v>
      </c>
      <c r="F1204" t="s">
        <v>589</v>
      </c>
      <c r="G1204" t="s">
        <v>1937</v>
      </c>
      <c r="H1204" s="38">
        <v>46280</v>
      </c>
      <c r="I1204" cm="1">
        <f t="array" ref="I1204">IFERROR(INDEX('ALL STUDENTS'!$A:$A, MATCH(1, ('ALL STUDENTS'!$B:$B = B1204) * ('ALL STUDENTS'!$C:$C = C1204), 0)), "NOT FOUND")</f>
        <v>2517</v>
      </c>
      <c r="J1204" t="str">
        <f>IF(Table26[[#This Row],[Fee]]&gt;500,Table26[[#This Row],[Fee]],"")</f>
        <v/>
      </c>
    </row>
    <row r="1205" spans="1:10" hidden="1">
      <c r="A1205">
        <v>1204</v>
      </c>
      <c r="B1205" t="s">
        <v>1911</v>
      </c>
      <c r="C1205" t="s">
        <v>265</v>
      </c>
      <c r="D1205" t="str">
        <f t="array" ref="D1205">TEXT(Table26[[#This Row],[Date]],"MMMM")</f>
        <v>September</v>
      </c>
      <c r="E1205">
        <v>500</v>
      </c>
      <c r="F1205" t="s">
        <v>589</v>
      </c>
      <c r="G1205" t="s">
        <v>1938</v>
      </c>
      <c r="H1205" s="38">
        <v>46281</v>
      </c>
      <c r="I1205" cm="1">
        <f t="array" ref="I1205">IFERROR(INDEX('ALL STUDENTS'!$A:$A, MATCH(1, ('ALL STUDENTS'!$B:$B = B1205) * ('ALL STUDENTS'!$C:$C = C1205), 0)), "NOT FOUND")</f>
        <v>2161</v>
      </c>
      <c r="J1205" t="str">
        <f>IF(Table26[[#This Row],[Fee]]&gt;500,Table26[[#This Row],[Fee]],"")</f>
        <v/>
      </c>
    </row>
    <row r="1206" spans="1:10" hidden="1">
      <c r="A1206">
        <v>1205</v>
      </c>
      <c r="B1206" t="s">
        <v>1911</v>
      </c>
      <c r="C1206" t="s">
        <v>265</v>
      </c>
      <c r="D1206" t="str">
        <f t="array" ref="D1206">TEXT(Table26[[#This Row],[Date]],"MMMM")</f>
        <v>September</v>
      </c>
      <c r="E1206">
        <v>500</v>
      </c>
      <c r="F1206" t="s">
        <v>589</v>
      </c>
      <c r="G1206" t="s">
        <v>1939</v>
      </c>
      <c r="H1206" s="38">
        <v>46281</v>
      </c>
      <c r="I1206" cm="1">
        <f t="array" ref="I1206">IFERROR(INDEX('ALL STUDENTS'!$A:$A, MATCH(1, ('ALL STUDENTS'!$B:$B = B1206) * ('ALL STUDENTS'!$C:$C = C1206), 0)), "NOT FOUND")</f>
        <v>2161</v>
      </c>
      <c r="J1206" t="str">
        <f>IF(Table26[[#This Row],[Fee]]&gt;500,Table26[[#This Row],[Fee]],"")</f>
        <v/>
      </c>
    </row>
    <row r="1207" spans="1:10" hidden="1">
      <c r="A1207">
        <v>1206</v>
      </c>
      <c r="B1207" t="s">
        <v>1911</v>
      </c>
      <c r="C1207" t="s">
        <v>265</v>
      </c>
      <c r="D1207" t="str">
        <f t="array" ref="D1207">TEXT(Table26[[#This Row],[Date]],"MMMM")</f>
        <v>September</v>
      </c>
      <c r="E1207">
        <v>500</v>
      </c>
      <c r="F1207" t="s">
        <v>589</v>
      </c>
      <c r="G1207" t="s">
        <v>1940</v>
      </c>
      <c r="H1207" s="38">
        <v>46281</v>
      </c>
      <c r="I1207" cm="1">
        <f t="array" ref="I1207">IFERROR(INDEX('ALL STUDENTS'!$A:$A, MATCH(1, ('ALL STUDENTS'!$B:$B = B1207) * ('ALL STUDENTS'!$C:$C = C1207), 0)), "NOT FOUND")</f>
        <v>2161</v>
      </c>
      <c r="J1207" t="str">
        <f>IF(Table26[[#This Row],[Fee]]&gt;500,Table26[[#This Row],[Fee]],"")</f>
        <v/>
      </c>
    </row>
    <row r="1208" spans="1:10" hidden="1">
      <c r="A1208">
        <v>1207</v>
      </c>
      <c r="B1208" t="s">
        <v>1912</v>
      </c>
      <c r="C1208" t="s">
        <v>62</v>
      </c>
      <c r="D1208" t="str">
        <f t="array" ref="D1208">TEXT(Table26[[#This Row],[Date]],"MMMM")</f>
        <v>September</v>
      </c>
      <c r="E1208">
        <v>500</v>
      </c>
      <c r="F1208" t="s">
        <v>589</v>
      </c>
      <c r="G1208" t="s">
        <v>1941</v>
      </c>
      <c r="H1208" s="38">
        <v>46281</v>
      </c>
      <c r="I1208" cm="1">
        <f t="array" ref="I1208">IFERROR(INDEX('ALL STUDENTS'!$A:$A, MATCH(1, ('ALL STUDENTS'!$B:$B = B1208) * ('ALL STUDENTS'!$C:$C = C1208), 0)), "NOT FOUND")</f>
        <v>3194</v>
      </c>
      <c r="J1208" t="str">
        <f>IF(Table26[[#This Row],[Fee]]&gt;500,Table26[[#This Row],[Fee]],"")</f>
        <v/>
      </c>
    </row>
    <row r="1209" spans="1:10" hidden="1">
      <c r="A1209">
        <v>1208</v>
      </c>
      <c r="B1209" t="s">
        <v>1912</v>
      </c>
      <c r="C1209" t="s">
        <v>62</v>
      </c>
      <c r="D1209" t="str">
        <f t="array" ref="D1209">TEXT(Table26[[#This Row],[Date]],"MMMM")</f>
        <v>September</v>
      </c>
      <c r="E1209">
        <v>500</v>
      </c>
      <c r="F1209" t="s">
        <v>589</v>
      </c>
      <c r="G1209" t="s">
        <v>1942</v>
      </c>
      <c r="H1209" s="38">
        <v>46281</v>
      </c>
      <c r="I1209" cm="1">
        <f t="array" ref="I1209">IFERROR(INDEX('ALL STUDENTS'!$A:$A, MATCH(1, ('ALL STUDENTS'!$B:$B = B1209) * ('ALL STUDENTS'!$C:$C = C1209), 0)), "NOT FOUND")</f>
        <v>3194</v>
      </c>
      <c r="J1209" t="str">
        <f>IF(Table26[[#This Row],[Fee]]&gt;500,Table26[[#This Row],[Fee]],"")</f>
        <v/>
      </c>
    </row>
    <row r="1210" spans="1:10" hidden="1">
      <c r="A1210">
        <v>1209</v>
      </c>
      <c r="B1210" t="s">
        <v>1912</v>
      </c>
      <c r="C1210" t="s">
        <v>62</v>
      </c>
      <c r="D1210" t="str">
        <f t="array" ref="D1210">TEXT(Table26[[#This Row],[Date]],"MMMM")</f>
        <v>September</v>
      </c>
      <c r="E1210">
        <v>500</v>
      </c>
      <c r="F1210" t="s">
        <v>589</v>
      </c>
      <c r="G1210" t="s">
        <v>1943</v>
      </c>
      <c r="H1210" s="38">
        <v>46281</v>
      </c>
      <c r="I1210" cm="1">
        <f t="array" ref="I1210">IFERROR(INDEX('ALL STUDENTS'!$A:$A, MATCH(1, ('ALL STUDENTS'!$B:$B = B1210) * ('ALL STUDENTS'!$C:$C = C1210), 0)), "NOT FOUND")</f>
        <v>3194</v>
      </c>
      <c r="J1210" t="str">
        <f>IF(Table26[[#This Row],[Fee]]&gt;500,Table26[[#This Row],[Fee]],"")</f>
        <v/>
      </c>
    </row>
    <row r="1211" spans="1:10" hidden="1">
      <c r="A1211">
        <v>1210</v>
      </c>
      <c r="B1211" t="s">
        <v>1913</v>
      </c>
      <c r="C1211" t="s">
        <v>20</v>
      </c>
      <c r="D1211" t="str">
        <f t="array" ref="D1211">TEXT(Table26[[#This Row],[Date]],"MMMM")</f>
        <v>September</v>
      </c>
      <c r="E1211">
        <v>500</v>
      </c>
      <c r="F1211" t="s">
        <v>589</v>
      </c>
      <c r="G1211" t="s">
        <v>1944</v>
      </c>
      <c r="H1211" s="38">
        <v>46281</v>
      </c>
      <c r="I1211" cm="1">
        <f t="array" ref="I1211">IFERROR(INDEX('ALL STUDENTS'!$A:$A, MATCH(1, ('ALL STUDENTS'!$B:$B = B1211) * ('ALL STUDENTS'!$C:$C = C1211), 0)), "NOT FOUND")</f>
        <v>3034</v>
      </c>
      <c r="J1211" t="str">
        <f>IF(Table26[[#This Row],[Fee]]&gt;500,Table26[[#This Row],[Fee]],"")</f>
        <v/>
      </c>
    </row>
    <row r="1212" spans="1:10" hidden="1">
      <c r="A1212">
        <v>1211</v>
      </c>
      <c r="B1212" t="s">
        <v>1913</v>
      </c>
      <c r="C1212" t="s">
        <v>20</v>
      </c>
      <c r="D1212" t="str">
        <f t="array" ref="D1212">TEXT(Table26[[#This Row],[Date]],"MMMM")</f>
        <v>September</v>
      </c>
      <c r="E1212">
        <v>500</v>
      </c>
      <c r="F1212" t="s">
        <v>589</v>
      </c>
      <c r="G1212" t="s">
        <v>1945</v>
      </c>
      <c r="H1212" s="38">
        <v>46281</v>
      </c>
      <c r="I1212" cm="1">
        <f t="array" ref="I1212">IFERROR(INDEX('ALL STUDENTS'!$A:$A, MATCH(1, ('ALL STUDENTS'!$B:$B = B1212) * ('ALL STUDENTS'!$C:$C = C1212), 0)), "NOT FOUND")</f>
        <v>3034</v>
      </c>
      <c r="J1212" t="str">
        <f>IF(Table26[[#This Row],[Fee]]&gt;500,Table26[[#This Row],[Fee]],"")</f>
        <v/>
      </c>
    </row>
    <row r="1213" spans="1:10" hidden="1">
      <c r="A1213">
        <v>1212</v>
      </c>
      <c r="B1213" t="s">
        <v>3261</v>
      </c>
      <c r="C1213" t="s">
        <v>252</v>
      </c>
      <c r="D1213" t="str">
        <f t="array" ref="D1213">TEXT(Table26[[#This Row],[Date]],"MMMM")</f>
        <v>September</v>
      </c>
      <c r="E1213">
        <v>500</v>
      </c>
      <c r="F1213" t="s">
        <v>591</v>
      </c>
      <c r="G1213" t="s">
        <v>3848</v>
      </c>
      <c r="H1213" s="38">
        <v>46275</v>
      </c>
      <c r="I1213" cm="1">
        <f t="array" ref="I1213">IFERROR(INDEX('ALL STUDENTS'!$A:$A, MATCH(1, ('ALL STUDENTS'!$B:$B = B1213) * ('ALL STUDENTS'!$C:$C = C1213), 0)), "NOT FOUND")</f>
        <v>2136</v>
      </c>
      <c r="J1213" t="str">
        <f>IF(Table26[[#This Row],[Fee]]&gt;500,Table26[[#This Row],[Fee]],"")</f>
        <v/>
      </c>
    </row>
    <row r="1214" spans="1:10" hidden="1">
      <c r="A1214">
        <v>1213</v>
      </c>
      <c r="B1214" t="s">
        <v>3261</v>
      </c>
      <c r="C1214" t="s">
        <v>252</v>
      </c>
      <c r="D1214" t="str">
        <f t="array" ref="D1214">TEXT(Table26[[#This Row],[Date]],"MMMM")</f>
        <v>September</v>
      </c>
      <c r="E1214">
        <v>500</v>
      </c>
      <c r="F1214" t="s">
        <v>591</v>
      </c>
      <c r="G1214" t="s">
        <v>3849</v>
      </c>
      <c r="H1214" s="38">
        <v>46275</v>
      </c>
      <c r="I1214" cm="1">
        <f t="array" ref="I1214">IFERROR(INDEX('ALL STUDENTS'!$A:$A, MATCH(1, ('ALL STUDENTS'!$B:$B = B1214) * ('ALL STUDENTS'!$C:$C = C1214), 0)), "NOT FOUND")</f>
        <v>2136</v>
      </c>
      <c r="J1214" t="str">
        <f>IF(Table26[[#This Row],[Fee]]&gt;500,Table26[[#This Row],[Fee]],"")</f>
        <v/>
      </c>
    </row>
    <row r="1215" spans="1:10" hidden="1">
      <c r="A1215">
        <v>1214</v>
      </c>
      <c r="B1215" t="s">
        <v>2684</v>
      </c>
      <c r="C1215" t="s">
        <v>572</v>
      </c>
      <c r="D1215" t="str">
        <f t="array" ref="D1215">TEXT(Table26[[#This Row],[Date]],"MMMM")</f>
        <v>September</v>
      </c>
      <c r="E1215">
        <v>500</v>
      </c>
      <c r="F1215" t="s">
        <v>591</v>
      </c>
      <c r="G1215" t="s">
        <v>3850</v>
      </c>
      <c r="H1215" s="38">
        <v>46275</v>
      </c>
      <c r="I1215" cm="1">
        <f t="array" ref="I1215">IFERROR(INDEX('ALL STUDENTS'!$A:$A, MATCH(1, ('ALL STUDENTS'!$B:$B = B1215) * ('ALL STUDENTS'!$C:$C = C1215), 0)), "NOT FOUND")</f>
        <v>1302</v>
      </c>
      <c r="J1215" t="str">
        <f>IF(Table26[[#This Row],[Fee]]&gt;500,Table26[[#This Row],[Fee]],"")</f>
        <v/>
      </c>
    </row>
    <row r="1216" spans="1:10" hidden="1">
      <c r="A1216">
        <v>1215</v>
      </c>
      <c r="B1216" t="s">
        <v>2684</v>
      </c>
      <c r="C1216" t="s">
        <v>572</v>
      </c>
      <c r="D1216" t="str">
        <f t="array" ref="D1216">TEXT(Table26[[#This Row],[Date]],"MMMM")</f>
        <v>September</v>
      </c>
      <c r="E1216">
        <v>500</v>
      </c>
      <c r="F1216" t="s">
        <v>591</v>
      </c>
      <c r="G1216" t="s">
        <v>3851</v>
      </c>
      <c r="H1216" s="38">
        <v>46275</v>
      </c>
      <c r="I1216" cm="1">
        <f t="array" ref="I1216">IFERROR(INDEX('ALL STUDENTS'!$A:$A, MATCH(1, ('ALL STUDENTS'!$B:$B = B1216) * ('ALL STUDENTS'!$C:$C = C1216), 0)), "NOT FOUND")</f>
        <v>1302</v>
      </c>
      <c r="J1216" t="str">
        <f>IF(Table26[[#This Row],[Fee]]&gt;500,Table26[[#This Row],[Fee]],"")</f>
        <v/>
      </c>
    </row>
    <row r="1217" spans="1:10" hidden="1">
      <c r="A1217">
        <v>1216</v>
      </c>
      <c r="B1217" t="s">
        <v>2961</v>
      </c>
      <c r="C1217" t="s">
        <v>128</v>
      </c>
      <c r="D1217" t="str">
        <f t="array" ref="D1217">TEXT(Table26[[#This Row],[Date]],"MMMM")</f>
        <v>September</v>
      </c>
      <c r="E1217">
        <v>500</v>
      </c>
      <c r="F1217" t="s">
        <v>591</v>
      </c>
      <c r="G1217" t="s">
        <v>3852</v>
      </c>
      <c r="H1217" s="38">
        <v>46275</v>
      </c>
      <c r="I1217" cm="1">
        <f t="array" ref="I1217">IFERROR(INDEX('ALL STUDENTS'!$A:$A, MATCH(1, ('ALL STUDENTS'!$B:$B = B1217) * ('ALL STUDENTS'!$C:$C = C1217), 0)), "NOT FOUND")</f>
        <v>1714</v>
      </c>
      <c r="J1217" t="str">
        <f>IF(Table26[[#This Row],[Fee]]&gt;500,Table26[[#This Row],[Fee]],"")</f>
        <v/>
      </c>
    </row>
    <row r="1218" spans="1:10" hidden="1">
      <c r="A1218">
        <v>1217</v>
      </c>
      <c r="B1218" t="s">
        <v>2961</v>
      </c>
      <c r="C1218" t="s">
        <v>128</v>
      </c>
      <c r="D1218" t="str">
        <f t="array" ref="D1218">TEXT(Table26[[#This Row],[Date]],"MMMM")</f>
        <v>September</v>
      </c>
      <c r="E1218">
        <v>500</v>
      </c>
      <c r="F1218" t="s">
        <v>591</v>
      </c>
      <c r="G1218" t="s">
        <v>3853</v>
      </c>
      <c r="H1218" s="38">
        <v>46275</v>
      </c>
      <c r="I1218" cm="1">
        <f t="array" ref="I1218">IFERROR(INDEX('ALL STUDENTS'!$A:$A, MATCH(1, ('ALL STUDENTS'!$B:$B = B1218) * ('ALL STUDENTS'!$C:$C = C1218), 0)), "NOT FOUND")</f>
        <v>1714</v>
      </c>
      <c r="J1218" t="str">
        <f>IF(Table26[[#This Row],[Fee]]&gt;500,Table26[[#This Row],[Fee]],"")</f>
        <v/>
      </c>
    </row>
    <row r="1219" spans="1:10" hidden="1">
      <c r="A1219">
        <v>1218</v>
      </c>
      <c r="B1219" t="s">
        <v>2961</v>
      </c>
      <c r="C1219" t="s">
        <v>128</v>
      </c>
      <c r="D1219" t="str">
        <f t="array" ref="D1219">TEXT(Table26[[#This Row],[Date]],"MMMM")</f>
        <v>September</v>
      </c>
      <c r="E1219">
        <v>500</v>
      </c>
      <c r="F1219" t="s">
        <v>591</v>
      </c>
      <c r="G1219" t="s">
        <v>3854</v>
      </c>
      <c r="H1219" s="38">
        <v>46275</v>
      </c>
      <c r="I1219" cm="1">
        <f t="array" ref="I1219">IFERROR(INDEX('ALL STUDENTS'!$A:$A, MATCH(1, ('ALL STUDENTS'!$B:$B = B1219) * ('ALL STUDENTS'!$C:$C = C1219), 0)), "NOT FOUND")</f>
        <v>1714</v>
      </c>
      <c r="J1219" t="str">
        <f>IF(Table26[[#This Row],[Fee]]&gt;500,Table26[[#This Row],[Fee]],"")</f>
        <v/>
      </c>
    </row>
    <row r="1220" spans="1:10" hidden="1">
      <c r="A1220">
        <v>1219</v>
      </c>
      <c r="B1220" t="s">
        <v>2355</v>
      </c>
      <c r="C1220" t="s">
        <v>429</v>
      </c>
      <c r="D1220" t="str">
        <f t="array" ref="D1220">TEXT(Table26[[#This Row],[Date]],"MMMM")</f>
        <v>September</v>
      </c>
      <c r="E1220">
        <v>500</v>
      </c>
      <c r="F1220" t="s">
        <v>591</v>
      </c>
      <c r="G1220" t="s">
        <v>3855</v>
      </c>
      <c r="H1220" s="38">
        <v>46275</v>
      </c>
      <c r="I1220" cm="1">
        <f t="array" ref="I1220">IFERROR(INDEX('ALL STUDENTS'!$A:$A, MATCH(1, ('ALL STUDENTS'!$B:$B = B1220) * ('ALL STUDENTS'!$C:$C = C1220), 0)), "NOT FOUND")</f>
        <v>570</v>
      </c>
      <c r="J1220" t="str">
        <f>IF(Table26[[#This Row],[Fee]]&gt;500,Table26[[#This Row],[Fee]],"")</f>
        <v/>
      </c>
    </row>
    <row r="1221" spans="1:10" hidden="1">
      <c r="A1221">
        <v>1220</v>
      </c>
      <c r="B1221" t="s">
        <v>2355</v>
      </c>
      <c r="C1221" t="s">
        <v>429</v>
      </c>
      <c r="D1221" t="str">
        <f t="array" ref="D1221">TEXT(Table26[[#This Row],[Date]],"MMMM")</f>
        <v>September</v>
      </c>
      <c r="E1221">
        <v>500</v>
      </c>
      <c r="F1221" t="s">
        <v>591</v>
      </c>
      <c r="G1221" t="s">
        <v>3856</v>
      </c>
      <c r="H1221" s="38">
        <v>46275</v>
      </c>
      <c r="I1221" cm="1">
        <f t="array" ref="I1221">IFERROR(INDEX('ALL STUDENTS'!$A:$A, MATCH(1, ('ALL STUDENTS'!$B:$B = B1221) * ('ALL STUDENTS'!$C:$C = C1221), 0)), "NOT FOUND")</f>
        <v>570</v>
      </c>
      <c r="J1221" t="str">
        <f>IF(Table26[[#This Row],[Fee]]&gt;500,Table26[[#This Row],[Fee]],"")</f>
        <v/>
      </c>
    </row>
    <row r="1222" spans="1:10" hidden="1">
      <c r="A1222">
        <v>1221</v>
      </c>
      <c r="B1222" t="s">
        <v>2355</v>
      </c>
      <c r="C1222" t="s">
        <v>429</v>
      </c>
      <c r="D1222" t="str">
        <f t="array" ref="D1222">TEXT(Table26[[#This Row],[Date]],"MMMM")</f>
        <v>September</v>
      </c>
      <c r="E1222">
        <v>500</v>
      </c>
      <c r="F1222" t="s">
        <v>591</v>
      </c>
      <c r="G1222" t="s">
        <v>3857</v>
      </c>
      <c r="H1222" s="38">
        <v>46275</v>
      </c>
      <c r="I1222" cm="1">
        <f t="array" ref="I1222">IFERROR(INDEX('ALL STUDENTS'!$A:$A, MATCH(1, ('ALL STUDENTS'!$B:$B = B1222) * ('ALL STUDENTS'!$C:$C = C1222), 0)), "NOT FOUND")</f>
        <v>570</v>
      </c>
      <c r="J1222" t="str">
        <f>IF(Table26[[#This Row],[Fee]]&gt;500,Table26[[#This Row],[Fee]],"")</f>
        <v/>
      </c>
    </row>
    <row r="1223" spans="1:10" hidden="1">
      <c r="A1223">
        <v>1222</v>
      </c>
      <c r="B1223" t="s">
        <v>3394</v>
      </c>
      <c r="C1223" t="s">
        <v>304</v>
      </c>
      <c r="D1223" t="str">
        <f t="array" ref="D1223">TEXT(Table26[[#This Row],[Date]],"MMMM")</f>
        <v>September</v>
      </c>
      <c r="E1223">
        <v>500</v>
      </c>
      <c r="F1223" t="s">
        <v>589</v>
      </c>
      <c r="G1223" t="s">
        <v>3874</v>
      </c>
      <c r="H1223" s="38">
        <v>46281</v>
      </c>
      <c r="I1223" cm="1">
        <f t="array" ref="I1223">IFERROR(INDEX('ALL STUDENTS'!$A:$A, MATCH(1, ('ALL STUDENTS'!$B:$B = B1223) * ('ALL STUDENTS'!$C:$C = C1223), 0)), "NOT FOUND")</f>
        <v>2356</v>
      </c>
      <c r="J1223" t="str">
        <f>IF(Table26[[#This Row],[Fee]]&gt;500,Table26[[#This Row],[Fee]],"")</f>
        <v/>
      </c>
    </row>
    <row r="1224" spans="1:10" hidden="1">
      <c r="A1224">
        <v>1223</v>
      </c>
      <c r="B1224" t="s">
        <v>3295</v>
      </c>
      <c r="C1224" t="s">
        <v>265</v>
      </c>
      <c r="D1224" t="str">
        <f t="array" ref="D1224">TEXT(Table26[[#This Row],[Date]],"MMMM")</f>
        <v>September</v>
      </c>
      <c r="E1224">
        <v>500</v>
      </c>
      <c r="F1224" t="s">
        <v>589</v>
      </c>
      <c r="G1224" t="s">
        <v>3875</v>
      </c>
      <c r="H1224" s="38">
        <v>46281</v>
      </c>
      <c r="I1224" cm="1">
        <f t="array" ref="I1224">IFERROR(INDEX('ALL STUDENTS'!$A:$A, MATCH(1, ('ALL STUDENTS'!$B:$B = B1224) * ('ALL STUDENTS'!$C:$C = C1224), 0)), "NOT FOUND")</f>
        <v>2182</v>
      </c>
      <c r="J1224" t="str">
        <f>IF(Table26[[#This Row],[Fee]]&gt;500,Table26[[#This Row],[Fee]],"")</f>
        <v/>
      </c>
    </row>
    <row r="1225" spans="1:10" hidden="1">
      <c r="A1225">
        <v>1224</v>
      </c>
      <c r="B1225" t="s">
        <v>3295</v>
      </c>
      <c r="C1225" t="s">
        <v>265</v>
      </c>
      <c r="D1225" t="str">
        <f t="array" ref="D1225">TEXT(Table26[[#This Row],[Date]],"MMMM")</f>
        <v>September</v>
      </c>
      <c r="E1225">
        <v>500</v>
      </c>
      <c r="F1225" t="s">
        <v>589</v>
      </c>
      <c r="G1225" t="s">
        <v>3876</v>
      </c>
      <c r="H1225" s="38">
        <v>46281</v>
      </c>
      <c r="I1225" cm="1">
        <f t="array" ref="I1225">IFERROR(INDEX('ALL STUDENTS'!$A:$A, MATCH(1, ('ALL STUDENTS'!$B:$B = B1225) * ('ALL STUDENTS'!$C:$C = C1225), 0)), "NOT FOUND")</f>
        <v>2182</v>
      </c>
      <c r="J1225" t="str">
        <f>IF(Table26[[#This Row],[Fee]]&gt;500,Table26[[#This Row],[Fee]],"")</f>
        <v/>
      </c>
    </row>
    <row r="1226" spans="1:10" hidden="1">
      <c r="A1226">
        <v>1225</v>
      </c>
      <c r="B1226" t="s">
        <v>3295</v>
      </c>
      <c r="C1226" t="s">
        <v>265</v>
      </c>
      <c r="D1226" t="str">
        <f t="array" ref="D1226">TEXT(Table26[[#This Row],[Date]],"MMMM")</f>
        <v>September</v>
      </c>
      <c r="E1226">
        <v>500</v>
      </c>
      <c r="F1226" t="s">
        <v>589</v>
      </c>
      <c r="G1226" t="s">
        <v>3877</v>
      </c>
      <c r="H1226" s="38">
        <v>46281</v>
      </c>
      <c r="I1226" cm="1">
        <f t="array" ref="I1226">IFERROR(INDEX('ALL STUDENTS'!$A:$A, MATCH(1, ('ALL STUDENTS'!$B:$B = B1226) * ('ALL STUDENTS'!$C:$C = C1226), 0)), "NOT FOUND")</f>
        <v>2182</v>
      </c>
      <c r="J1226" t="str">
        <f>IF(Table26[[#This Row],[Fee]]&gt;500,Table26[[#This Row],[Fee]],"")</f>
        <v/>
      </c>
    </row>
    <row r="1227" spans="1:10" hidden="1">
      <c r="A1227">
        <v>1226</v>
      </c>
      <c r="B1227" t="s">
        <v>2708</v>
      </c>
      <c r="C1227" t="s">
        <v>1884</v>
      </c>
      <c r="D1227" t="str">
        <f t="array" ref="D1227">TEXT(Table26[[#This Row],[Date]],"MMMM")</f>
        <v>September</v>
      </c>
      <c r="E1227">
        <v>500</v>
      </c>
      <c r="F1227" t="s">
        <v>589</v>
      </c>
      <c r="G1227" t="s">
        <v>3878</v>
      </c>
      <c r="H1227" s="38">
        <v>46281</v>
      </c>
      <c r="I1227" cm="1">
        <f t="array" ref="I1227">IFERROR(INDEX('ALL STUDENTS'!$A:$A, MATCH(1, ('ALL STUDENTS'!$B:$B = B1227) * ('ALL STUDENTS'!$C:$C = C1227), 0)), "NOT FOUND")</f>
        <v>1339</v>
      </c>
      <c r="J1227" t="str">
        <f>IF(Table26[[#This Row],[Fee]]&gt;500,Table26[[#This Row],[Fee]],"")</f>
        <v/>
      </c>
    </row>
    <row r="1228" spans="1:10" hidden="1">
      <c r="A1228">
        <v>1227</v>
      </c>
      <c r="B1228" t="s">
        <v>2708</v>
      </c>
      <c r="C1228" t="s">
        <v>1884</v>
      </c>
      <c r="D1228" t="str">
        <f t="array" ref="D1228">TEXT(Table26[[#This Row],[Date]],"MMMM")</f>
        <v>September</v>
      </c>
      <c r="E1228">
        <v>500</v>
      </c>
      <c r="F1228" t="s">
        <v>589</v>
      </c>
      <c r="G1228" t="s">
        <v>3879</v>
      </c>
      <c r="H1228" s="38">
        <v>46281</v>
      </c>
      <c r="I1228" cm="1">
        <f t="array" ref="I1228">IFERROR(INDEX('ALL STUDENTS'!$A:$A, MATCH(1, ('ALL STUDENTS'!$B:$B = B1228) * ('ALL STUDENTS'!$C:$C = C1228), 0)), "NOT FOUND")</f>
        <v>1339</v>
      </c>
      <c r="J1228" t="str">
        <f>IF(Table26[[#This Row],[Fee]]&gt;500,Table26[[#This Row],[Fee]],"")</f>
        <v/>
      </c>
    </row>
    <row r="1229" spans="1:10" hidden="1">
      <c r="A1229">
        <v>1228</v>
      </c>
      <c r="B1229" t="s">
        <v>2708</v>
      </c>
      <c r="C1229" t="s">
        <v>1884</v>
      </c>
      <c r="D1229" t="str">
        <f t="array" ref="D1229">TEXT(Table26[[#This Row],[Date]],"MMMM")</f>
        <v>September</v>
      </c>
      <c r="E1229">
        <v>500</v>
      </c>
      <c r="F1229" t="s">
        <v>589</v>
      </c>
      <c r="G1229" t="s">
        <v>3880</v>
      </c>
      <c r="H1229" s="38">
        <v>46281</v>
      </c>
      <c r="I1229" cm="1">
        <f t="array" ref="I1229">IFERROR(INDEX('ALL STUDENTS'!$A:$A, MATCH(1, ('ALL STUDENTS'!$B:$B = B1229) * ('ALL STUDENTS'!$C:$C = C1229), 0)), "NOT FOUND")</f>
        <v>1339</v>
      </c>
      <c r="J1229" t="str">
        <f>IF(Table26[[#This Row],[Fee]]&gt;500,Table26[[#This Row],[Fee]],"")</f>
        <v/>
      </c>
    </row>
    <row r="1230" spans="1:10" hidden="1">
      <c r="A1230">
        <v>1229</v>
      </c>
      <c r="B1230" t="s">
        <v>108</v>
      </c>
      <c r="C1230" s="3" t="s">
        <v>175</v>
      </c>
      <c r="D1230" t="str">
        <f t="array" ref="D1230">TEXT(Table26[[#This Row],[Date]],"MMMM")</f>
        <v>September</v>
      </c>
      <c r="E1230">
        <v>500</v>
      </c>
      <c r="F1230" t="s">
        <v>589</v>
      </c>
      <c r="G1230" t="s">
        <v>3881</v>
      </c>
      <c r="H1230" s="38">
        <v>46281</v>
      </c>
      <c r="I1230" cm="1">
        <f t="array" ref="I1230">IFERROR(INDEX('ALL STUDENTS'!$A:$A, MATCH(1, ('ALL STUDENTS'!$B:$B = B1230) * ('ALL STUDENTS'!$C:$C = C1230), 0)), "NOT FOUND")</f>
        <v>1879</v>
      </c>
      <c r="J1230" t="str">
        <f>IF(Table26[[#This Row],[Fee]]&gt;500,Table26[[#This Row],[Fee]],"")</f>
        <v/>
      </c>
    </row>
    <row r="1231" spans="1:10" hidden="1">
      <c r="A1231">
        <v>1230</v>
      </c>
      <c r="B1231" t="s">
        <v>3759</v>
      </c>
      <c r="C1231" t="s">
        <v>32</v>
      </c>
      <c r="D1231" t="str">
        <f t="array" ref="D1231">TEXT(Table26[[#This Row],[Date]],"MMMM")</f>
        <v>September</v>
      </c>
      <c r="E1231">
        <v>500</v>
      </c>
      <c r="F1231" t="s">
        <v>589</v>
      </c>
      <c r="G1231" t="s">
        <v>3882</v>
      </c>
      <c r="H1231" s="38">
        <v>46281</v>
      </c>
      <c r="I1231" cm="1">
        <f t="array" ref="I1231">IFERROR(INDEX('ALL STUDENTS'!$A:$A, MATCH(1, ('ALL STUDENTS'!$B:$B = B1231) * ('ALL STUDENTS'!$C:$C = C1231), 0)), "NOT FOUND")</f>
        <v>3085</v>
      </c>
      <c r="J1231" t="str">
        <f>IF(Table26[[#This Row],[Fee]]&gt;500,Table26[[#This Row],[Fee]],"")</f>
        <v/>
      </c>
    </row>
    <row r="1232" spans="1:10" hidden="1">
      <c r="A1232">
        <v>1231</v>
      </c>
      <c r="B1232" t="s">
        <v>3759</v>
      </c>
      <c r="C1232" t="s">
        <v>32</v>
      </c>
      <c r="D1232" t="str">
        <f t="array" ref="D1232">TEXT(Table26[[#This Row],[Date]],"MMMM")</f>
        <v>September</v>
      </c>
      <c r="E1232">
        <v>500</v>
      </c>
      <c r="F1232" t="s">
        <v>589</v>
      </c>
      <c r="G1232" t="s">
        <v>3883</v>
      </c>
      <c r="H1232" s="38">
        <v>46281</v>
      </c>
      <c r="I1232" cm="1">
        <f t="array" ref="I1232">IFERROR(INDEX('ALL STUDENTS'!$A:$A, MATCH(1, ('ALL STUDENTS'!$B:$B = B1232) * ('ALL STUDENTS'!$C:$C = C1232), 0)), "NOT FOUND")</f>
        <v>3085</v>
      </c>
      <c r="J1232" t="str">
        <f>IF(Table26[[#This Row],[Fee]]&gt;500,Table26[[#This Row],[Fee]],"")</f>
        <v/>
      </c>
    </row>
    <row r="1233" spans="1:10" hidden="1">
      <c r="A1233">
        <v>1232</v>
      </c>
      <c r="B1233" t="s">
        <v>3759</v>
      </c>
      <c r="C1233" t="s">
        <v>32</v>
      </c>
      <c r="D1233" t="str">
        <f t="array" ref="D1233">TEXT(Table26[[#This Row],[Date]],"MMMM")</f>
        <v>September</v>
      </c>
      <c r="E1233">
        <v>500</v>
      </c>
      <c r="F1233" t="s">
        <v>589</v>
      </c>
      <c r="G1233" t="s">
        <v>3884</v>
      </c>
      <c r="H1233" s="38">
        <v>46281</v>
      </c>
      <c r="I1233" cm="1">
        <f t="array" ref="I1233">IFERROR(INDEX('ALL STUDENTS'!$A:$A, MATCH(1, ('ALL STUDENTS'!$B:$B = B1233) * ('ALL STUDENTS'!$C:$C = C1233), 0)), "NOT FOUND")</f>
        <v>3085</v>
      </c>
      <c r="J1233" t="str">
        <f>IF(Table26[[#This Row],[Fee]]&gt;500,Table26[[#This Row],[Fee]],"")</f>
        <v/>
      </c>
    </row>
    <row r="1234" spans="1:10" hidden="1">
      <c r="A1234">
        <v>1233</v>
      </c>
      <c r="B1234" t="s">
        <v>3830</v>
      </c>
      <c r="C1234" t="s">
        <v>62</v>
      </c>
      <c r="D1234" t="str">
        <f t="array" ref="D1234">TEXT(Table26[[#This Row],[Date]],"MMMM")</f>
        <v>September</v>
      </c>
      <c r="E1234">
        <v>500</v>
      </c>
      <c r="F1234" t="s">
        <v>589</v>
      </c>
      <c r="G1234" t="s">
        <v>3885</v>
      </c>
      <c r="H1234" s="38">
        <v>46281</v>
      </c>
      <c r="I1234" cm="1">
        <f t="array" ref="I1234">IFERROR(INDEX('ALL STUDENTS'!$A:$A, MATCH(1, ('ALL STUDENTS'!$B:$B = B1234) * ('ALL STUDENTS'!$C:$C = C1234), 0)), "NOT FOUND")</f>
        <v>3186</v>
      </c>
      <c r="J1234" t="str">
        <f>IF(Table26[[#This Row],[Fee]]&gt;500,Table26[[#This Row],[Fee]],"")</f>
        <v/>
      </c>
    </row>
    <row r="1235" spans="1:10" hidden="1">
      <c r="A1235">
        <v>1234</v>
      </c>
      <c r="B1235" t="s">
        <v>3830</v>
      </c>
      <c r="C1235" t="s">
        <v>62</v>
      </c>
      <c r="D1235" t="str">
        <f t="array" ref="D1235">TEXT(Table26[[#This Row],[Date]],"MMMM")</f>
        <v>September</v>
      </c>
      <c r="E1235">
        <v>500</v>
      </c>
      <c r="F1235" t="s">
        <v>589</v>
      </c>
      <c r="G1235" t="s">
        <v>3886</v>
      </c>
      <c r="H1235" s="38">
        <v>46281</v>
      </c>
      <c r="I1235" cm="1">
        <f t="array" ref="I1235">IFERROR(INDEX('ALL STUDENTS'!$A:$A, MATCH(1, ('ALL STUDENTS'!$B:$B = B1235) * ('ALL STUDENTS'!$C:$C = C1235), 0)), "NOT FOUND")</f>
        <v>3186</v>
      </c>
      <c r="J1235" t="str">
        <f>IF(Table26[[#This Row],[Fee]]&gt;500,Table26[[#This Row],[Fee]],"")</f>
        <v/>
      </c>
    </row>
    <row r="1236" spans="1:10" hidden="1">
      <c r="A1236">
        <v>1235</v>
      </c>
      <c r="B1236" t="s">
        <v>3830</v>
      </c>
      <c r="C1236" t="s">
        <v>62</v>
      </c>
      <c r="D1236" t="str">
        <f t="array" ref="D1236">TEXT(Table26[[#This Row],[Date]],"MMMM")</f>
        <v>September</v>
      </c>
      <c r="E1236">
        <v>500</v>
      </c>
      <c r="F1236" t="s">
        <v>589</v>
      </c>
      <c r="G1236" t="s">
        <v>3887</v>
      </c>
      <c r="H1236" s="38">
        <v>46281</v>
      </c>
      <c r="I1236" cm="1">
        <f t="array" ref="I1236">IFERROR(INDEX('ALL STUDENTS'!$A:$A, MATCH(1, ('ALL STUDENTS'!$B:$B = B1236) * ('ALL STUDENTS'!$C:$C = C1236), 0)), "NOT FOUND")</f>
        <v>3186</v>
      </c>
      <c r="J1236" t="str">
        <f>IF(Table26[[#This Row],[Fee]]&gt;500,Table26[[#This Row],[Fee]],"")</f>
        <v/>
      </c>
    </row>
    <row r="1237" spans="1:10" hidden="1">
      <c r="A1237">
        <v>1236</v>
      </c>
      <c r="B1237" t="s">
        <v>3888</v>
      </c>
      <c r="C1237" t="s">
        <v>366</v>
      </c>
      <c r="D1237" t="str">
        <f t="array" ref="D1237">TEXT(Table26[[#This Row],[Date]],"MMMM")</f>
        <v>September</v>
      </c>
      <c r="E1237">
        <v>500</v>
      </c>
      <c r="F1237" t="s">
        <v>589</v>
      </c>
      <c r="G1237" t="s">
        <v>3889</v>
      </c>
      <c r="H1237" s="38">
        <v>46281</v>
      </c>
      <c r="I1237" cm="1">
        <f t="array" ref="I1237">IFERROR(INDEX('ALL STUDENTS'!$A:$A, MATCH(1, ('ALL STUDENTS'!$B:$B = B1237) * ('ALL STUDENTS'!$C:$C = C1237), 0)), "NOT FOUND")</f>
        <v>830</v>
      </c>
      <c r="J1237" t="str">
        <f>IF(Table26[[#This Row],[Fee]]&gt;500,Table26[[#This Row],[Fee]],"")</f>
        <v/>
      </c>
    </row>
    <row r="1238" spans="1:10" hidden="1">
      <c r="A1238">
        <v>1237</v>
      </c>
      <c r="B1238" t="s">
        <v>3941</v>
      </c>
      <c r="C1238" t="s">
        <v>467</v>
      </c>
      <c r="D1238" t="str">
        <f t="array" ref="D1238">TEXT(Table26[[#This Row],[Date]],"MMMM")</f>
        <v>September</v>
      </c>
      <c r="E1238">
        <v>500</v>
      </c>
      <c r="F1238" t="s">
        <v>589</v>
      </c>
      <c r="G1238" t="s">
        <v>3858</v>
      </c>
      <c r="H1238" s="38">
        <v>46275</v>
      </c>
      <c r="I1238" cm="1">
        <f t="array" ref="I1238">IFERROR(INDEX('ALL STUDENTS'!$A:$A, MATCH(1, ('ALL STUDENTS'!$B:$B = B1238) * ('ALL STUDENTS'!$C:$C = C1238), 0)), "NOT FOUND")</f>
        <v>482</v>
      </c>
      <c r="J1238" t="str">
        <f>IF(Table26[[#This Row],[Fee]]&gt;500,Table26[[#This Row],[Fee]],"")</f>
        <v/>
      </c>
    </row>
    <row r="1239" spans="1:10" hidden="1">
      <c r="A1239">
        <v>1238</v>
      </c>
      <c r="B1239" t="s">
        <v>3953</v>
      </c>
      <c r="C1239" t="s">
        <v>113</v>
      </c>
      <c r="D1239" t="str">
        <f t="array" ref="D1239">TEXT(Table26[[#This Row],[Date]],"MMMM")</f>
        <v>September</v>
      </c>
      <c r="E1239">
        <v>500</v>
      </c>
      <c r="F1239" t="s">
        <v>589</v>
      </c>
      <c r="G1239" t="s">
        <v>3859</v>
      </c>
      <c r="H1239" s="38">
        <v>46275</v>
      </c>
      <c r="I1239" cm="1">
        <f t="array" ref="I1239">IFERROR(INDEX('ALL STUDENTS'!$A:$A, MATCH(1, ('ALL STUDENTS'!$B:$B = B1239) * ('ALL STUDENTS'!$C:$C = C1239), 0)), "NOT FOUND")</f>
        <v>1646</v>
      </c>
      <c r="J1239" t="str">
        <f>IF(Table26[[#This Row],[Fee]]&gt;500,Table26[[#This Row],[Fee]],"")</f>
        <v/>
      </c>
    </row>
    <row r="1240" spans="1:10" hidden="1">
      <c r="A1240">
        <v>1239</v>
      </c>
      <c r="B1240" t="s">
        <v>2566</v>
      </c>
      <c r="C1240" t="s">
        <v>386</v>
      </c>
      <c r="D1240" t="str">
        <f t="array" ref="D1240">TEXT(Table26[[#This Row],[Date]],"MMMM")</f>
        <v>August</v>
      </c>
      <c r="E1240">
        <v>500</v>
      </c>
      <c r="F1240" t="s">
        <v>589</v>
      </c>
      <c r="G1240" t="s">
        <v>3871</v>
      </c>
      <c r="H1240" s="38">
        <v>46249</v>
      </c>
      <c r="I1240" cm="1">
        <f t="array" ref="I1240">IFERROR(INDEX('ALL STUDENTS'!$A:$A, MATCH(1, ('ALL STUDENTS'!$B:$B = B1240) * ('ALL STUDENTS'!$C:$C = C1240), 0)), "NOT FOUND")</f>
        <v>872</v>
      </c>
      <c r="J1240" t="str">
        <f>IF(Table26[[#This Row],[Fee]]&gt;500,Table26[[#This Row],[Fee]],"")</f>
        <v/>
      </c>
    </row>
    <row r="1241" spans="1:10" hidden="1">
      <c r="A1241">
        <v>1240</v>
      </c>
      <c r="B1241" t="s">
        <v>2566</v>
      </c>
      <c r="C1241" t="s">
        <v>386</v>
      </c>
      <c r="D1241" t="str">
        <f t="array" ref="D1241">TEXT(Table26[[#This Row],[Date]],"MMMM")</f>
        <v>September</v>
      </c>
      <c r="E1241">
        <v>500</v>
      </c>
      <c r="F1241" t="s">
        <v>589</v>
      </c>
      <c r="G1241" t="s">
        <v>3872</v>
      </c>
      <c r="H1241" s="38">
        <v>46280</v>
      </c>
      <c r="I1241" cm="1">
        <f t="array" ref="I1241">IFERROR(INDEX('ALL STUDENTS'!$A:$A, MATCH(1, ('ALL STUDENTS'!$B:$B = B1241) * ('ALL STUDENTS'!$C:$C = C1241), 0)), "NOT FOUND")</f>
        <v>872</v>
      </c>
      <c r="J1241" t="str">
        <f>IF(Table26[[#This Row],[Fee]]&gt;500,Table26[[#This Row],[Fee]],"")</f>
        <v/>
      </c>
    </row>
    <row r="1242" spans="1:10" hidden="1">
      <c r="A1242">
        <v>1241</v>
      </c>
      <c r="B1242" t="s">
        <v>3370</v>
      </c>
      <c r="C1242" t="s">
        <v>294</v>
      </c>
      <c r="D1242" t="str">
        <f t="array" ref="D1242">TEXT(Table26[[#This Row],[Date]],"MMMM")</f>
        <v>September</v>
      </c>
      <c r="E1242">
        <v>500</v>
      </c>
      <c r="F1242" t="s">
        <v>589</v>
      </c>
      <c r="G1242" t="s">
        <v>3847</v>
      </c>
      <c r="H1242" s="38">
        <v>46270</v>
      </c>
      <c r="I1242" cm="1">
        <f t="array" ref="I1242">IFERROR(INDEX('ALL STUDENTS'!$A:$A, MATCH(1, ('ALL STUDENTS'!$B:$B = B1242) * ('ALL STUDENTS'!$C:$C = C1242), 0)), "NOT FOUND")</f>
        <v>2294</v>
      </c>
      <c r="J1242" t="str">
        <f>IF(Table26[[#This Row],[Fee]]&gt;500,Table26[[#This Row],[Fee]],"")</f>
        <v/>
      </c>
    </row>
    <row r="1243" spans="1:10" hidden="1">
      <c r="A1243">
        <v>1242</v>
      </c>
      <c r="B1243" t="s">
        <v>2689</v>
      </c>
      <c r="C1243" t="s">
        <v>574</v>
      </c>
      <c r="D1243" t="str">
        <f t="array" ref="D1243">TEXT(Table26[[#This Row],[Date]],"MMMM")</f>
        <v>September</v>
      </c>
      <c r="E1243">
        <v>500</v>
      </c>
      <c r="F1243" t="s">
        <v>589</v>
      </c>
      <c r="G1243" t="s">
        <v>3890</v>
      </c>
      <c r="H1243" s="38">
        <v>46281</v>
      </c>
      <c r="I1243" cm="1">
        <f t="array" ref="I1243">IFERROR(INDEX('ALL STUDENTS'!$A:$A, MATCH(1, ('ALL STUDENTS'!$B:$B = B1243) * ('ALL STUDENTS'!$C:$C = C1243), 0)), "NOT FOUND")</f>
        <v>1311</v>
      </c>
      <c r="J1243" t="str">
        <f>IF(Table26[[#This Row],[Fee]]&gt;500,Table26[[#This Row],[Fee]],"")</f>
        <v/>
      </c>
    </row>
    <row r="1244" spans="1:10" hidden="1">
      <c r="A1244">
        <v>1243</v>
      </c>
      <c r="B1244" t="s">
        <v>3382</v>
      </c>
      <c r="C1244" t="s">
        <v>299</v>
      </c>
      <c r="D1244" t="str">
        <f t="array" ref="D1244">TEXT(Table26[[#This Row],[Date]],"MMMM")</f>
        <v>September</v>
      </c>
      <c r="E1244">
        <v>500</v>
      </c>
      <c r="F1244" t="s">
        <v>589</v>
      </c>
      <c r="G1244" t="s">
        <v>3891</v>
      </c>
      <c r="H1244" s="38">
        <v>46281</v>
      </c>
      <c r="I1244" cm="1">
        <f t="array" ref="I1244">IFERROR(INDEX('ALL STUDENTS'!$A:$A, MATCH(1, ('ALL STUDENTS'!$B:$B = B1244) * ('ALL STUDENTS'!$C:$C = C1244), 0)), "NOT FOUND")</f>
        <v>2314</v>
      </c>
      <c r="J1244" t="str">
        <f>IF(Table26[[#This Row],[Fee]]&gt;500,Table26[[#This Row],[Fee]],"")</f>
        <v/>
      </c>
    </row>
    <row r="1245" spans="1:10" hidden="1">
      <c r="A1245">
        <v>1244</v>
      </c>
      <c r="B1245" t="s">
        <v>3767</v>
      </c>
      <c r="C1245" t="s">
        <v>51</v>
      </c>
      <c r="D1245" t="str">
        <f t="array" ref="D1245">TEXT(Table26[[#This Row],[Date]],"MMMM")</f>
        <v>September</v>
      </c>
      <c r="E1245">
        <v>500</v>
      </c>
      <c r="F1245" t="s">
        <v>589</v>
      </c>
      <c r="G1245" t="s">
        <v>3892</v>
      </c>
      <c r="H1245" s="38">
        <v>46281</v>
      </c>
      <c r="I1245" cm="1">
        <f t="array" ref="I1245">IFERROR(INDEX('ALL STUDENTS'!$A:$A, MATCH(1, ('ALL STUDENTS'!$B:$B = B1245) * ('ALL STUDENTS'!$C:$C = C1245), 0)), "NOT FOUND")</f>
        <v>3102</v>
      </c>
      <c r="J1245" t="str">
        <f>IF(Table26[[#This Row],[Fee]]&gt;500,Table26[[#This Row],[Fee]],"")</f>
        <v/>
      </c>
    </row>
    <row r="1246" spans="1:10" hidden="1">
      <c r="A1246">
        <v>1245</v>
      </c>
      <c r="B1246" t="s">
        <v>3050</v>
      </c>
      <c r="C1246" t="s">
        <v>171</v>
      </c>
      <c r="D1246" t="str">
        <f t="array" ref="D1246">TEXT(Table26[[#This Row],[Date]],"MMMM")</f>
        <v>September</v>
      </c>
      <c r="E1246">
        <v>500</v>
      </c>
      <c r="F1246" t="s">
        <v>591</v>
      </c>
      <c r="G1246" t="s">
        <v>3873</v>
      </c>
      <c r="H1246" s="38">
        <v>46280</v>
      </c>
      <c r="I1246" cm="1">
        <f t="array" ref="I1246">IFERROR(INDEX('ALL STUDENTS'!$A:$A, MATCH(1, ('ALL STUDENTS'!$B:$B = B1246) * ('ALL STUDENTS'!$C:$C = C1246), 0)), "NOT FOUND")</f>
        <v>1845</v>
      </c>
      <c r="J1246" t="str">
        <f>IF(Table26[[#This Row],[Fee]]&gt;500,Table26[[#This Row],[Fee]],"")</f>
        <v/>
      </c>
    </row>
    <row r="1247" spans="1:10" hidden="1">
      <c r="A1247">
        <v>1246</v>
      </c>
      <c r="B1247" t="s">
        <v>2642</v>
      </c>
      <c r="C1247" t="s">
        <v>415</v>
      </c>
      <c r="D1247" t="str">
        <f t="array" ref="D1247">TEXT(Table26[[#This Row],[Date]],"MMMM")</f>
        <v>September</v>
      </c>
      <c r="E1247">
        <v>500</v>
      </c>
      <c r="F1247" t="s">
        <v>591</v>
      </c>
      <c r="G1247" t="s">
        <v>3862</v>
      </c>
      <c r="H1247" s="38">
        <v>46279</v>
      </c>
      <c r="I1247" cm="1">
        <f t="array" ref="I1247">IFERROR(INDEX('ALL STUDENTS'!$A:$A, MATCH(1, ('ALL STUDENTS'!$B:$B = B1247) * ('ALL STUDENTS'!$C:$C = C1247), 0)), "NOT FOUND")</f>
        <v>992</v>
      </c>
      <c r="J1247" t="str">
        <f>IF(Table26[[#This Row],[Fee]]&gt;500,Table26[[#This Row],[Fee]],"")</f>
        <v/>
      </c>
    </row>
    <row r="1248" spans="1:10" hidden="1">
      <c r="A1248">
        <v>1247</v>
      </c>
      <c r="B1248" t="s">
        <v>2148</v>
      </c>
      <c r="C1248" t="s">
        <v>467</v>
      </c>
      <c r="D1248" t="str">
        <f t="array" ref="D1248">TEXT(Table26[[#This Row],[Date]],"MMMM")</f>
        <v>September</v>
      </c>
      <c r="E1248">
        <v>500</v>
      </c>
      <c r="F1248" t="s">
        <v>591</v>
      </c>
      <c r="G1248" t="s">
        <v>3863</v>
      </c>
      <c r="H1248" s="38">
        <v>46279</v>
      </c>
      <c r="I1248" cm="1">
        <f t="array" ref="I1248">IFERROR(INDEX('ALL STUDENTS'!$A:$A, MATCH(1, ('ALL STUDENTS'!$B:$B = B1248) * ('ALL STUDENTS'!$C:$C = C1248), 0)), "NOT FOUND")</f>
        <v>258</v>
      </c>
      <c r="J1248" t="str">
        <f>IF(Table26[[#This Row],[Fee]]&gt;500,Table26[[#This Row],[Fee]],"")</f>
        <v/>
      </c>
    </row>
    <row r="1249" spans="1:10" hidden="1">
      <c r="A1249">
        <v>1248</v>
      </c>
      <c r="B1249" t="s">
        <v>3426</v>
      </c>
      <c r="C1249" t="s">
        <v>304</v>
      </c>
      <c r="D1249" t="str">
        <f t="array" ref="D1249">TEXT(Table26[[#This Row],[Date]],"MMMM")</f>
        <v>September</v>
      </c>
      <c r="E1249">
        <v>500</v>
      </c>
      <c r="F1249" t="s">
        <v>591</v>
      </c>
      <c r="G1249" t="s">
        <v>3864</v>
      </c>
      <c r="H1249" s="38">
        <v>46279</v>
      </c>
      <c r="I1249" cm="1">
        <f t="array" ref="I1249">IFERROR(INDEX('ALL STUDENTS'!$A:$A, MATCH(1, ('ALL STUDENTS'!$B:$B = B1249) * ('ALL STUDENTS'!$C:$C = C1249), 0)), "NOT FOUND")</f>
        <v>2375</v>
      </c>
      <c r="J1249" t="str">
        <f>IF(Table26[[#This Row],[Fee]]&gt;500,Table26[[#This Row],[Fee]],"")</f>
        <v/>
      </c>
    </row>
    <row r="1250" spans="1:10" hidden="1">
      <c r="A1250">
        <v>1249</v>
      </c>
      <c r="B1250" t="s">
        <v>3731</v>
      </c>
      <c r="C1250" t="s">
        <v>4</v>
      </c>
      <c r="D1250" t="str">
        <f t="array" ref="D1250">TEXT(Table26[[#This Row],[Date]],"MMMM")</f>
        <v>September</v>
      </c>
      <c r="E1250">
        <v>500</v>
      </c>
      <c r="F1250" t="s">
        <v>591</v>
      </c>
      <c r="G1250" t="s">
        <v>3865</v>
      </c>
      <c r="H1250" s="38">
        <v>46279</v>
      </c>
      <c r="I1250" cm="1">
        <f t="array" ref="I1250">IFERROR(INDEX('ALL STUDENTS'!$A:$A, MATCH(1, ('ALL STUDENTS'!$B:$B = B1250) * ('ALL STUDENTS'!$C:$C = C1250), 0)), "NOT FOUND")</f>
        <v>3020</v>
      </c>
      <c r="J1250" t="str">
        <f>IF(Table26[[#This Row],[Fee]]&gt;500,Table26[[#This Row],[Fee]],"")</f>
        <v/>
      </c>
    </row>
    <row r="1251" spans="1:10" hidden="1">
      <c r="A1251">
        <v>1250</v>
      </c>
      <c r="B1251" t="s">
        <v>3514</v>
      </c>
      <c r="C1251" t="s">
        <v>334</v>
      </c>
      <c r="D1251" t="str">
        <f t="array" ref="D1251">TEXT(Table26[[#This Row],[Date]],"MMMM")</f>
        <v>September</v>
      </c>
      <c r="E1251">
        <v>500</v>
      </c>
      <c r="F1251" t="s">
        <v>591</v>
      </c>
      <c r="G1251" t="s">
        <v>3866</v>
      </c>
      <c r="H1251" s="38">
        <v>46279</v>
      </c>
      <c r="I1251" cm="1">
        <f t="array" ref="I1251">IFERROR(INDEX('ALL STUDENTS'!$A:$A, MATCH(1, ('ALL STUDENTS'!$B:$B = B1251) * ('ALL STUDENTS'!$C:$C = C1251), 0)), "NOT FOUND")</f>
        <v>2486</v>
      </c>
      <c r="J1251" t="str">
        <f>IF(Table26[[#This Row],[Fee]]&gt;500,Table26[[#This Row],[Fee]],"")</f>
        <v/>
      </c>
    </row>
    <row r="1252" spans="1:10" hidden="1">
      <c r="A1252">
        <v>1251</v>
      </c>
      <c r="B1252" t="s">
        <v>3514</v>
      </c>
      <c r="C1252" t="s">
        <v>334</v>
      </c>
      <c r="D1252" t="str">
        <f t="array" ref="D1252">TEXT(Table26[[#This Row],[Date]],"MMMM")</f>
        <v>September</v>
      </c>
      <c r="E1252">
        <v>500</v>
      </c>
      <c r="F1252" t="s">
        <v>591</v>
      </c>
      <c r="G1252" t="s">
        <v>3867</v>
      </c>
      <c r="H1252" s="38">
        <v>46279</v>
      </c>
      <c r="I1252" cm="1">
        <f t="array" ref="I1252">IFERROR(INDEX('ALL STUDENTS'!$A:$A, MATCH(1, ('ALL STUDENTS'!$B:$B = B1252) * ('ALL STUDENTS'!$C:$C = C1252), 0)), "NOT FOUND")</f>
        <v>2486</v>
      </c>
      <c r="J1252" t="str">
        <f>IF(Table26[[#This Row],[Fee]]&gt;500,Table26[[#This Row],[Fee]],"")</f>
        <v/>
      </c>
    </row>
    <row r="1253" spans="1:10" hidden="1">
      <c r="A1253">
        <v>1252</v>
      </c>
      <c r="B1253" t="s">
        <v>3514</v>
      </c>
      <c r="C1253" t="s">
        <v>334</v>
      </c>
      <c r="D1253" t="str">
        <f t="array" ref="D1253">TEXT(Table26[[#This Row],[Date]],"MMMM")</f>
        <v>September</v>
      </c>
      <c r="E1253">
        <v>500</v>
      </c>
      <c r="F1253" t="s">
        <v>591</v>
      </c>
      <c r="G1253" t="s">
        <v>3868</v>
      </c>
      <c r="H1253" s="38">
        <v>46279</v>
      </c>
      <c r="I1253" cm="1">
        <f t="array" ref="I1253">IFERROR(INDEX('ALL STUDENTS'!$A:$A, MATCH(1, ('ALL STUDENTS'!$B:$B = B1253) * ('ALL STUDENTS'!$C:$C = C1253), 0)), "NOT FOUND")</f>
        <v>2486</v>
      </c>
      <c r="J1253" t="str">
        <f>IF(Table26[[#This Row],[Fee]]&gt;500,Table26[[#This Row],[Fee]],"")</f>
        <v/>
      </c>
    </row>
    <row r="1254" spans="1:10" hidden="1">
      <c r="A1254">
        <v>1253</v>
      </c>
      <c r="B1254" t="s">
        <v>412</v>
      </c>
      <c r="C1254" t="s">
        <v>409</v>
      </c>
      <c r="D1254" t="str">
        <f t="array" ref="D1254">TEXT(Table26[[#This Row],[Date]],"MMMM")</f>
        <v>September</v>
      </c>
      <c r="E1254">
        <v>500</v>
      </c>
      <c r="F1254" t="s">
        <v>591</v>
      </c>
      <c r="G1254" t="s">
        <v>3869</v>
      </c>
      <c r="H1254" s="38">
        <v>46279</v>
      </c>
      <c r="I1254" cm="1">
        <f t="array" ref="I1254">IFERROR(INDEX('ALL STUDENTS'!$A:$A, MATCH(1, ('ALL STUDENTS'!$B:$B = B1254) * ('ALL STUDENTS'!$C:$C = C1254), 0)), "NOT FOUND")</f>
        <v>963</v>
      </c>
      <c r="J1254" t="str">
        <f>IF(Table26[[#This Row],[Fee]]&gt;500,Table26[[#This Row],[Fee]],"")</f>
        <v/>
      </c>
    </row>
    <row r="1255" spans="1:10" hidden="1">
      <c r="A1255">
        <v>1254</v>
      </c>
      <c r="B1255" t="s">
        <v>3457</v>
      </c>
      <c r="C1255" t="s">
        <v>320</v>
      </c>
      <c r="D1255" t="str">
        <f t="array" ref="D1255">TEXT(Table26[[#This Row],[Date]],"MMMM")</f>
        <v>September</v>
      </c>
      <c r="E1255">
        <v>500</v>
      </c>
      <c r="F1255" t="s">
        <v>591</v>
      </c>
      <c r="G1255" t="s">
        <v>3870</v>
      </c>
      <c r="H1255" s="38">
        <v>46279</v>
      </c>
      <c r="I1255" cm="1">
        <f t="array" ref="I1255">IFERROR(INDEX('ALL STUDENTS'!$A:$A, MATCH(1, ('ALL STUDENTS'!$B:$B = B1255) * ('ALL STUDENTS'!$C:$C = C1255), 0)), "NOT FOUND")</f>
        <v>2409</v>
      </c>
      <c r="J1255" t="str">
        <f>IF(Table26[[#This Row],[Fee]]&gt;500,Table26[[#This Row],[Fee]],"")</f>
        <v/>
      </c>
    </row>
    <row r="1256" spans="1:10" hidden="1">
      <c r="A1256">
        <v>1255</v>
      </c>
      <c r="B1256" t="s">
        <v>145</v>
      </c>
      <c r="C1256" t="s">
        <v>138</v>
      </c>
      <c r="D1256" t="str">
        <f t="array" ref="D1256">TEXT(Table26[[#This Row],[Date]],"MMMM")</f>
        <v>September</v>
      </c>
      <c r="E1256">
        <v>500</v>
      </c>
      <c r="F1256" t="s">
        <v>589</v>
      </c>
      <c r="G1256" t="s">
        <v>3897</v>
      </c>
      <c r="H1256" s="38">
        <v>46282</v>
      </c>
      <c r="I1256" cm="1">
        <f t="array" ref="I1256">IFERROR(INDEX('ALL STUDENTS'!$A:$A, MATCH(1, ('ALL STUDENTS'!$B:$B = B1256) * ('ALL STUDENTS'!$C:$C = C1256), 0)), "NOT FOUND")</f>
        <v>1742</v>
      </c>
      <c r="J1256" t="str">
        <f>IF(Table26[[#This Row],[Fee]]&gt;500,Table26[[#This Row],[Fee]],"")</f>
        <v/>
      </c>
    </row>
    <row r="1257" spans="1:10" hidden="1">
      <c r="A1257">
        <v>1256</v>
      </c>
      <c r="B1257" t="s">
        <v>3133</v>
      </c>
      <c r="C1257" t="s">
        <v>205</v>
      </c>
      <c r="D1257" t="str">
        <f t="array" ref="D1257">TEXT(Table26[[#This Row],[Date]],"MMMM")</f>
        <v>September</v>
      </c>
      <c r="E1257">
        <v>500</v>
      </c>
      <c r="F1257" t="s">
        <v>589</v>
      </c>
      <c r="G1257" t="s">
        <v>3898</v>
      </c>
      <c r="H1257" s="38">
        <v>46282</v>
      </c>
      <c r="I1257" cm="1">
        <f t="array" ref="I1257">IFERROR(INDEX('ALL STUDENTS'!$A:$A, MATCH(1, ('ALL STUDENTS'!$B:$B = B1257) * ('ALL STUDENTS'!$C:$C = C1257), 0)), "NOT FOUND")</f>
        <v>1956</v>
      </c>
      <c r="J1257" t="str">
        <f>IF(Table26[[#This Row],[Fee]]&gt;500,Table26[[#This Row],[Fee]],"")</f>
        <v/>
      </c>
    </row>
    <row r="1258" spans="1:10" hidden="1">
      <c r="A1258">
        <v>1257</v>
      </c>
      <c r="B1258" t="s">
        <v>3133</v>
      </c>
      <c r="C1258" t="s">
        <v>205</v>
      </c>
      <c r="D1258" t="str">
        <f t="array" ref="D1258">TEXT(Table26[[#This Row],[Date]],"MMMM")</f>
        <v>September</v>
      </c>
      <c r="E1258">
        <v>500</v>
      </c>
      <c r="F1258" t="s">
        <v>589</v>
      </c>
      <c r="G1258" t="s">
        <v>3899</v>
      </c>
      <c r="H1258" s="38">
        <v>46282</v>
      </c>
      <c r="I1258" cm="1">
        <f t="array" ref="I1258">IFERROR(INDEX('ALL STUDENTS'!$A:$A, MATCH(1, ('ALL STUDENTS'!$B:$B = B1258) * ('ALL STUDENTS'!$C:$C = C1258), 0)), "NOT FOUND")</f>
        <v>1956</v>
      </c>
      <c r="J1258" t="str">
        <f>IF(Table26[[#This Row],[Fee]]&gt;500,Table26[[#This Row],[Fee]],"")</f>
        <v/>
      </c>
    </row>
    <row r="1259" spans="1:10" hidden="1">
      <c r="A1259">
        <v>1258</v>
      </c>
      <c r="B1259" t="s">
        <v>3133</v>
      </c>
      <c r="C1259" t="s">
        <v>205</v>
      </c>
      <c r="D1259" t="str">
        <f t="array" ref="D1259">TEXT(Table26[[#This Row],[Date]],"MMMM")</f>
        <v>September</v>
      </c>
      <c r="E1259">
        <v>500</v>
      </c>
      <c r="F1259" t="s">
        <v>589</v>
      </c>
      <c r="G1259" t="s">
        <v>3900</v>
      </c>
      <c r="H1259" s="38">
        <v>46282</v>
      </c>
      <c r="I1259" cm="1">
        <f t="array" ref="I1259">IFERROR(INDEX('ALL STUDENTS'!$A:$A, MATCH(1, ('ALL STUDENTS'!$B:$B = B1259) * ('ALL STUDENTS'!$C:$C = C1259), 0)), "NOT FOUND")</f>
        <v>1956</v>
      </c>
      <c r="J1259" t="str">
        <f>IF(Table26[[#This Row],[Fee]]&gt;500,Table26[[#This Row],[Fee]],"")</f>
        <v/>
      </c>
    </row>
    <row r="1260" spans="1:10" hidden="1">
      <c r="A1260">
        <v>1259</v>
      </c>
      <c r="B1260" t="s">
        <v>3790</v>
      </c>
      <c r="C1260" t="s">
        <v>58</v>
      </c>
      <c r="D1260" t="str">
        <f t="array" ref="D1260">TEXT(Table26[[#This Row],[Date]],"MMMM")</f>
        <v>September</v>
      </c>
      <c r="E1260">
        <v>500</v>
      </c>
      <c r="F1260" t="s">
        <v>589</v>
      </c>
      <c r="G1260" t="s">
        <v>3901</v>
      </c>
      <c r="H1260" s="38">
        <v>46282</v>
      </c>
      <c r="I1260" cm="1">
        <f t="array" ref="I1260">IFERROR(INDEX('ALL STUDENTS'!$A:$A, MATCH(1, ('ALL STUDENTS'!$B:$B = B1260) * ('ALL STUDENTS'!$C:$C = C1260), 0)), "NOT FOUND")</f>
        <v>3136</v>
      </c>
      <c r="J1260" t="str">
        <f>IF(Table26[[#This Row],[Fee]]&gt;500,Table26[[#This Row],[Fee]],"")</f>
        <v/>
      </c>
    </row>
    <row r="1261" spans="1:10" hidden="1">
      <c r="A1261">
        <v>1260</v>
      </c>
      <c r="B1261" t="s">
        <v>3322</v>
      </c>
      <c r="C1261" t="s">
        <v>286</v>
      </c>
      <c r="D1261" t="str">
        <f t="array" ref="D1261">TEXT(Table26[[#This Row],[Date]],"MMMM")</f>
        <v>September</v>
      </c>
      <c r="E1261">
        <v>500</v>
      </c>
      <c r="F1261" t="s">
        <v>589</v>
      </c>
      <c r="G1261" t="s">
        <v>3902</v>
      </c>
      <c r="H1261" s="38">
        <v>46282</v>
      </c>
      <c r="I1261" cm="1">
        <f t="array" ref="I1261">IFERROR(INDEX('ALL STUDENTS'!$A:$A, MATCH(1, ('ALL STUDENTS'!$B:$B = B1261) * ('ALL STUDENTS'!$C:$C = C1261), 0)), "NOT FOUND")</f>
        <v>2225</v>
      </c>
      <c r="J1261" t="str">
        <f>IF(Table26[[#This Row],[Fee]]&gt;500,Table26[[#This Row],[Fee]],"")</f>
        <v/>
      </c>
    </row>
    <row r="1262" spans="1:10" hidden="1">
      <c r="A1262">
        <v>1261</v>
      </c>
      <c r="B1262" t="s">
        <v>3322</v>
      </c>
      <c r="C1262" t="s">
        <v>286</v>
      </c>
      <c r="D1262" t="str">
        <f t="array" ref="D1262">TEXT(Table26[[#This Row],[Date]],"MMMM")</f>
        <v>September</v>
      </c>
      <c r="E1262">
        <v>500</v>
      </c>
      <c r="F1262" t="s">
        <v>589</v>
      </c>
      <c r="G1262" t="s">
        <v>3903</v>
      </c>
      <c r="H1262" s="38">
        <v>46282</v>
      </c>
      <c r="I1262" cm="1">
        <f t="array" ref="I1262">IFERROR(INDEX('ALL STUDENTS'!$A:$A, MATCH(1, ('ALL STUDENTS'!$B:$B = B1262) * ('ALL STUDENTS'!$C:$C = C1262), 0)), "NOT FOUND")</f>
        <v>2225</v>
      </c>
      <c r="J1262" t="str">
        <f>IF(Table26[[#This Row],[Fee]]&gt;500,Table26[[#This Row],[Fee]],"")</f>
        <v/>
      </c>
    </row>
    <row r="1263" spans="1:10" hidden="1">
      <c r="A1263">
        <v>1262</v>
      </c>
      <c r="B1263" t="s">
        <v>3322</v>
      </c>
      <c r="C1263" t="s">
        <v>286</v>
      </c>
      <c r="D1263" t="str">
        <f t="array" ref="D1263">TEXT(Table26[[#This Row],[Date]],"MMMM")</f>
        <v>September</v>
      </c>
      <c r="E1263">
        <v>500</v>
      </c>
      <c r="F1263" t="s">
        <v>589</v>
      </c>
      <c r="G1263" t="s">
        <v>3904</v>
      </c>
      <c r="H1263" s="38">
        <v>46282</v>
      </c>
      <c r="I1263" cm="1">
        <f t="array" ref="I1263">IFERROR(INDEX('ALL STUDENTS'!$A:$A, MATCH(1, ('ALL STUDENTS'!$B:$B = B1263) * ('ALL STUDENTS'!$C:$C = C1263), 0)), "NOT FOUND")</f>
        <v>2225</v>
      </c>
      <c r="J1263" t="str">
        <f>IF(Table26[[#This Row],[Fee]]&gt;500,Table26[[#This Row],[Fee]],"")</f>
        <v/>
      </c>
    </row>
    <row r="1264" spans="1:10" hidden="1">
      <c r="A1264">
        <v>1263</v>
      </c>
      <c r="B1264" t="s">
        <v>465</v>
      </c>
      <c r="C1264" t="s">
        <v>463</v>
      </c>
      <c r="D1264" t="str">
        <f t="array" ref="D1264">TEXT(Table26[[#This Row],[Date]],"MMMM")</f>
        <v>September</v>
      </c>
      <c r="E1264">
        <v>500</v>
      </c>
      <c r="F1264" t="s">
        <v>589</v>
      </c>
      <c r="G1264" t="s">
        <v>3905</v>
      </c>
      <c r="H1264" s="38">
        <v>46282</v>
      </c>
      <c r="I1264" cm="1">
        <f t="array" ref="I1264">IFERROR(INDEX('ALL STUDENTS'!$A:$A, MATCH(1, ('ALL STUDENTS'!$B:$B = B1264) * ('ALL STUDENTS'!$C:$C = C1264), 0)), "NOT FOUND")</f>
        <v>741</v>
      </c>
      <c r="J1264" t="str">
        <f>IF(Table26[[#This Row],[Fee]]&gt;500,Table26[[#This Row],[Fee]],"")</f>
        <v/>
      </c>
    </row>
    <row r="1265" spans="1:10" hidden="1">
      <c r="A1265">
        <v>1264</v>
      </c>
      <c r="B1265" t="s">
        <v>229</v>
      </c>
      <c r="C1265" t="s">
        <v>227</v>
      </c>
      <c r="D1265" t="str">
        <f t="array" ref="D1265">TEXT(Table26[[#This Row],[Date]],"MMMM")</f>
        <v>September</v>
      </c>
      <c r="E1265">
        <v>500</v>
      </c>
      <c r="F1265" t="s">
        <v>589</v>
      </c>
      <c r="G1265" t="s">
        <v>3906</v>
      </c>
      <c r="H1265" s="38">
        <v>46282</v>
      </c>
      <c r="I1265" cm="1">
        <f t="array" ref="I1265">IFERROR(INDEX('ALL STUDENTS'!$A:$A, MATCH(1, ('ALL STUDENTS'!$B:$B = B1265) * ('ALL STUDENTS'!$C:$C = C1265), 0)), "NOT FOUND")</f>
        <v>2062</v>
      </c>
      <c r="J1265" t="str">
        <f>IF(Table26[[#This Row],[Fee]]&gt;500,Table26[[#This Row],[Fee]],"")</f>
        <v/>
      </c>
    </row>
    <row r="1266" spans="1:10" hidden="1">
      <c r="A1266">
        <v>1265</v>
      </c>
      <c r="B1266" t="s">
        <v>240</v>
      </c>
      <c r="C1266" t="s">
        <v>232</v>
      </c>
      <c r="D1266" t="str">
        <f t="array" ref="D1266">TEXT(Table26[[#This Row],[Date]],"MMMM")</f>
        <v>September</v>
      </c>
      <c r="E1266">
        <v>500</v>
      </c>
      <c r="F1266" t="s">
        <v>591</v>
      </c>
      <c r="G1266" t="s">
        <v>3893</v>
      </c>
      <c r="H1266" s="38">
        <v>46281</v>
      </c>
      <c r="I1266" cm="1">
        <f t="array" ref="I1266">IFERROR(INDEX('ALL STUDENTS'!$A:$A, MATCH(1, ('ALL STUDENTS'!$B:$B = B1266) * ('ALL STUDENTS'!$C:$C = C1266), 0)), "NOT FOUND")</f>
        <v>2097</v>
      </c>
      <c r="J1266" t="str">
        <f>IF(Table26[[#This Row],[Fee]]&gt;500,Table26[[#This Row],[Fee]],"")</f>
        <v/>
      </c>
    </row>
    <row r="1267" spans="1:10" hidden="1">
      <c r="A1267">
        <v>1266</v>
      </c>
      <c r="B1267" t="s">
        <v>3214</v>
      </c>
      <c r="C1267" t="s">
        <v>227</v>
      </c>
      <c r="D1267" t="str">
        <f t="array" ref="D1267">TEXT(Table26[[#This Row],[Date]],"MMMM")</f>
        <v>September</v>
      </c>
      <c r="E1267">
        <v>500</v>
      </c>
      <c r="F1267" t="s">
        <v>591</v>
      </c>
      <c r="G1267" t="s">
        <v>3894</v>
      </c>
      <c r="H1267" s="38">
        <v>46281</v>
      </c>
      <c r="I1267" cm="1">
        <f t="array" ref="I1267">IFERROR(INDEX('ALL STUDENTS'!$A:$A, MATCH(1, ('ALL STUDENTS'!$B:$B = B1267) * ('ALL STUDENTS'!$C:$C = C1267), 0)), "NOT FOUND")</f>
        <v>2061</v>
      </c>
      <c r="J1267" t="str">
        <f>IF(Table26[[#This Row],[Fee]]&gt;500,Table26[[#This Row],[Fee]],"")</f>
        <v/>
      </c>
    </row>
    <row r="1268" spans="1:10" hidden="1">
      <c r="A1268">
        <v>1267</v>
      </c>
      <c r="B1268" t="s">
        <v>2908</v>
      </c>
      <c r="C1268" t="s">
        <v>113</v>
      </c>
      <c r="D1268" t="str">
        <f t="array" ref="D1268">TEXT(Table26[[#This Row],[Date]],"MMMM")</f>
        <v>September</v>
      </c>
      <c r="E1268">
        <v>500</v>
      </c>
      <c r="F1268" t="s">
        <v>589</v>
      </c>
      <c r="G1268" t="s">
        <v>3907</v>
      </c>
      <c r="H1268" s="38">
        <v>46283</v>
      </c>
      <c r="I1268" cm="1">
        <f t="array" ref="I1268">IFERROR(INDEX('ALL STUDENTS'!$A:$A, MATCH(1, ('ALL STUDENTS'!$B:$B = B1268) * ('ALL STUDENTS'!$C:$C = C1268), 0)), "NOT FOUND")</f>
        <v>1637</v>
      </c>
      <c r="J1268" t="str">
        <f>IF(Table26[[#This Row],[Fee]]&gt;500,Table26[[#This Row],[Fee]],"")</f>
        <v/>
      </c>
    </row>
    <row r="1269" spans="1:10" hidden="1">
      <c r="A1269">
        <v>1268</v>
      </c>
      <c r="B1269" t="s">
        <v>3447</v>
      </c>
      <c r="C1269" t="s">
        <v>320</v>
      </c>
      <c r="D1269" t="str">
        <f t="array" ref="D1269">TEXT(Table26[[#This Row],[Date]],"MMMM")</f>
        <v>September</v>
      </c>
      <c r="E1269">
        <v>500</v>
      </c>
      <c r="F1269" t="s">
        <v>589</v>
      </c>
      <c r="G1269" t="s">
        <v>3908</v>
      </c>
      <c r="H1269" s="38">
        <v>46283</v>
      </c>
      <c r="I1269" cm="1">
        <f t="array" ref="I1269">IFERROR(INDEX('ALL STUDENTS'!$A:$A, MATCH(1, ('ALL STUDENTS'!$B:$B = B1269) * ('ALL STUDENTS'!$C:$C = C1269), 0)), "NOT FOUND")</f>
        <v>2398</v>
      </c>
      <c r="J1269" t="str">
        <f>IF(Table26[[#This Row],[Fee]]&gt;500,Table26[[#This Row],[Fee]],"")</f>
        <v/>
      </c>
    </row>
    <row r="1270" spans="1:10" hidden="1">
      <c r="A1270">
        <v>1269</v>
      </c>
      <c r="B1270" t="s">
        <v>3447</v>
      </c>
      <c r="C1270" t="s">
        <v>320</v>
      </c>
      <c r="D1270" t="str">
        <f t="array" ref="D1270">TEXT(Table26[[#This Row],[Date]],"MMMM")</f>
        <v>September</v>
      </c>
      <c r="E1270">
        <v>500</v>
      </c>
      <c r="F1270" t="s">
        <v>589</v>
      </c>
      <c r="G1270" t="s">
        <v>3909</v>
      </c>
      <c r="H1270" s="38">
        <v>46283</v>
      </c>
      <c r="I1270" cm="1">
        <f t="array" ref="I1270">IFERROR(INDEX('ALL STUDENTS'!$A:$A, MATCH(1, ('ALL STUDENTS'!$B:$B = B1270) * ('ALL STUDENTS'!$C:$C = C1270), 0)), "NOT FOUND")</f>
        <v>2398</v>
      </c>
      <c r="J1270" t="str">
        <f>IF(Table26[[#This Row],[Fee]]&gt;500,Table26[[#This Row],[Fee]],"")</f>
        <v/>
      </c>
    </row>
    <row r="1271" spans="1:10" hidden="1">
      <c r="A1271">
        <v>1270</v>
      </c>
      <c r="B1271" t="s">
        <v>3447</v>
      </c>
      <c r="C1271" t="s">
        <v>320</v>
      </c>
      <c r="D1271" t="str">
        <f t="array" ref="D1271">TEXT(Table26[[#This Row],[Date]],"MMMM")</f>
        <v>September</v>
      </c>
      <c r="E1271">
        <v>500</v>
      </c>
      <c r="F1271" t="s">
        <v>589</v>
      </c>
      <c r="G1271" t="s">
        <v>3910</v>
      </c>
      <c r="H1271" s="38">
        <v>46283</v>
      </c>
      <c r="I1271" cm="1">
        <f t="array" ref="I1271">IFERROR(INDEX('ALL STUDENTS'!$A:$A, MATCH(1, ('ALL STUDENTS'!$B:$B = B1271) * ('ALL STUDENTS'!$C:$C = C1271), 0)), "NOT FOUND")</f>
        <v>2398</v>
      </c>
      <c r="J1271" t="str">
        <f>IF(Table26[[#This Row],[Fee]]&gt;500,Table26[[#This Row],[Fee]],"")</f>
        <v/>
      </c>
    </row>
    <row r="1272" spans="1:10" hidden="1">
      <c r="A1272">
        <v>1271</v>
      </c>
      <c r="B1272" t="s">
        <v>3237</v>
      </c>
      <c r="C1272" t="s">
        <v>232</v>
      </c>
      <c r="D1272" t="str">
        <f t="array" ref="D1272">TEXT(Table26[[#This Row],[Date]],"MMMM")</f>
        <v>September</v>
      </c>
      <c r="E1272">
        <v>500</v>
      </c>
      <c r="F1272" t="s">
        <v>589</v>
      </c>
      <c r="G1272" t="s">
        <v>3911</v>
      </c>
      <c r="H1272" s="38">
        <v>46283</v>
      </c>
      <c r="I1272" cm="1">
        <f t="array" ref="I1272">IFERROR(INDEX('ALL STUDENTS'!$A:$A, MATCH(1, ('ALL STUDENTS'!$B:$B = B1272) * ('ALL STUDENTS'!$C:$C = C1272), 0)), "NOT FOUND")</f>
        <v>2092</v>
      </c>
      <c r="J1272" t="str">
        <f>IF(Table26[[#This Row],[Fee]]&gt;500,Table26[[#This Row],[Fee]],"")</f>
        <v/>
      </c>
    </row>
    <row r="1273" spans="1:10" hidden="1">
      <c r="A1273">
        <v>1272</v>
      </c>
      <c r="B1273" t="s">
        <v>3237</v>
      </c>
      <c r="C1273" t="s">
        <v>232</v>
      </c>
      <c r="D1273" t="str">
        <f t="array" ref="D1273">TEXT(Table26[[#This Row],[Date]],"MMMM")</f>
        <v>September</v>
      </c>
      <c r="E1273">
        <v>500</v>
      </c>
      <c r="F1273" t="s">
        <v>589</v>
      </c>
      <c r="G1273" t="s">
        <v>3912</v>
      </c>
      <c r="H1273" s="38">
        <v>46283</v>
      </c>
      <c r="I1273" cm="1">
        <f t="array" ref="I1273">IFERROR(INDEX('ALL STUDENTS'!$A:$A, MATCH(1, ('ALL STUDENTS'!$B:$B = B1273) * ('ALL STUDENTS'!$C:$C = C1273), 0)), "NOT FOUND")</f>
        <v>2092</v>
      </c>
      <c r="J1273" t="str">
        <f>IF(Table26[[#This Row],[Fee]]&gt;500,Table26[[#This Row],[Fee]],"")</f>
        <v/>
      </c>
    </row>
    <row r="1274" spans="1:10" hidden="1">
      <c r="A1274">
        <v>1273</v>
      </c>
      <c r="B1274" t="s">
        <v>3237</v>
      </c>
      <c r="C1274" t="s">
        <v>232</v>
      </c>
      <c r="D1274" t="str">
        <f t="array" ref="D1274">TEXT(Table26[[#This Row],[Date]],"MMMM")</f>
        <v>September</v>
      </c>
      <c r="E1274">
        <v>500</v>
      </c>
      <c r="F1274" t="s">
        <v>589</v>
      </c>
      <c r="G1274" t="s">
        <v>3913</v>
      </c>
      <c r="H1274" s="38">
        <v>46283</v>
      </c>
      <c r="I1274" cm="1">
        <f t="array" ref="I1274">IFERROR(INDEX('ALL STUDENTS'!$A:$A, MATCH(1, ('ALL STUDENTS'!$B:$B = B1274) * ('ALL STUDENTS'!$C:$C = C1274), 0)), "NOT FOUND")</f>
        <v>2092</v>
      </c>
      <c r="J1274" t="str">
        <f>IF(Table26[[#This Row],[Fee]]&gt;500,Table26[[#This Row],[Fee]],"")</f>
        <v/>
      </c>
    </row>
    <row r="1275" spans="1:10" hidden="1">
      <c r="A1275">
        <v>1274</v>
      </c>
      <c r="B1275" t="s">
        <v>3758</v>
      </c>
      <c r="C1275" t="s">
        <v>32</v>
      </c>
      <c r="D1275" t="str">
        <f t="array" ref="D1275">TEXT(Table26[[#This Row],[Date]],"MMMM")</f>
        <v>September</v>
      </c>
      <c r="E1275">
        <v>500</v>
      </c>
      <c r="F1275" t="s">
        <v>589</v>
      </c>
      <c r="G1275" t="s">
        <v>3914</v>
      </c>
      <c r="H1275" s="38">
        <v>46283</v>
      </c>
      <c r="I1275" cm="1">
        <f t="array" ref="I1275">IFERROR(INDEX('ALL STUDENTS'!$A:$A, MATCH(1, ('ALL STUDENTS'!$B:$B = B1275) * ('ALL STUDENTS'!$C:$C = C1275), 0)), "NOT FOUND")</f>
        <v>3083</v>
      </c>
      <c r="J1275" t="str">
        <f>IF(Table26[[#This Row],[Fee]]&gt;500,Table26[[#This Row],[Fee]],"")</f>
        <v/>
      </c>
    </row>
    <row r="1276" spans="1:10" hidden="1">
      <c r="A1276">
        <v>1275</v>
      </c>
      <c r="B1276" t="s">
        <v>3758</v>
      </c>
      <c r="C1276" t="s">
        <v>32</v>
      </c>
      <c r="D1276" t="str">
        <f t="array" ref="D1276">TEXT(Table26[[#This Row],[Date]],"MMMM")</f>
        <v>September</v>
      </c>
      <c r="E1276">
        <v>500</v>
      </c>
      <c r="F1276" t="s">
        <v>589</v>
      </c>
      <c r="G1276" t="s">
        <v>3915</v>
      </c>
      <c r="H1276" s="38">
        <v>46283</v>
      </c>
      <c r="I1276" cm="1">
        <f t="array" ref="I1276">IFERROR(INDEX('ALL STUDENTS'!$A:$A, MATCH(1, ('ALL STUDENTS'!$B:$B = B1276) * ('ALL STUDENTS'!$C:$C = C1276), 0)), "NOT FOUND")</f>
        <v>3083</v>
      </c>
      <c r="J1276" t="str">
        <f>IF(Table26[[#This Row],[Fee]]&gt;500,Table26[[#This Row],[Fee]],"")</f>
        <v/>
      </c>
    </row>
    <row r="1277" spans="1:10" hidden="1">
      <c r="A1277">
        <v>1276</v>
      </c>
      <c r="B1277" t="s">
        <v>2964</v>
      </c>
      <c r="C1277" t="s">
        <v>128</v>
      </c>
      <c r="D1277" t="str">
        <f t="array" ref="D1277">TEXT(Table26[[#This Row],[Date]],"MMMM")</f>
        <v>September</v>
      </c>
      <c r="E1277">
        <v>500</v>
      </c>
      <c r="F1277" t="s">
        <v>589</v>
      </c>
      <c r="G1277" t="s">
        <v>3916</v>
      </c>
      <c r="H1277" s="38">
        <v>46283</v>
      </c>
      <c r="I1277" cm="1">
        <f t="array" ref="I1277">IFERROR(INDEX('ALL STUDENTS'!$A:$A, MATCH(1, ('ALL STUDENTS'!$B:$B = B1277) * ('ALL STUDENTS'!$C:$C = C1277), 0)), "NOT FOUND")</f>
        <v>1718</v>
      </c>
      <c r="J1277" t="str">
        <f>IF(Table26[[#This Row],[Fee]]&gt;500,Table26[[#This Row],[Fee]],"")</f>
        <v/>
      </c>
    </row>
    <row r="1278" spans="1:10" hidden="1">
      <c r="A1278">
        <v>1277</v>
      </c>
      <c r="B1278" t="s">
        <v>2964</v>
      </c>
      <c r="C1278" t="s">
        <v>128</v>
      </c>
      <c r="D1278" t="str">
        <f t="array" ref="D1278">TEXT(Table26[[#This Row],[Date]],"MMMM")</f>
        <v>September</v>
      </c>
      <c r="E1278">
        <v>500</v>
      </c>
      <c r="F1278" t="s">
        <v>589</v>
      </c>
      <c r="G1278" t="s">
        <v>3917</v>
      </c>
      <c r="H1278" s="38">
        <v>46283</v>
      </c>
      <c r="I1278" cm="1">
        <f t="array" ref="I1278">IFERROR(INDEX('ALL STUDENTS'!$A:$A, MATCH(1, ('ALL STUDENTS'!$B:$B = B1278) * ('ALL STUDENTS'!$C:$C = C1278), 0)), "NOT FOUND")</f>
        <v>1718</v>
      </c>
      <c r="J1278" t="str">
        <f>IF(Table26[[#This Row],[Fee]]&gt;500,Table26[[#This Row],[Fee]],"")</f>
        <v/>
      </c>
    </row>
    <row r="1279" spans="1:10" hidden="1">
      <c r="A1279">
        <v>1278</v>
      </c>
      <c r="B1279" t="s">
        <v>2964</v>
      </c>
      <c r="C1279" t="s">
        <v>128</v>
      </c>
      <c r="D1279" t="str">
        <f t="array" ref="D1279">TEXT(Table26[[#This Row],[Date]],"MMMM")</f>
        <v>September</v>
      </c>
      <c r="E1279">
        <v>500</v>
      </c>
      <c r="F1279" t="s">
        <v>589</v>
      </c>
      <c r="G1279" t="s">
        <v>3918</v>
      </c>
      <c r="H1279" s="38">
        <v>46283</v>
      </c>
      <c r="I1279" cm="1">
        <f t="array" ref="I1279">IFERROR(INDEX('ALL STUDENTS'!$A:$A, MATCH(1, ('ALL STUDENTS'!$B:$B = B1279) * ('ALL STUDENTS'!$C:$C = C1279), 0)), "NOT FOUND")</f>
        <v>1718</v>
      </c>
      <c r="J1279" t="str">
        <f>IF(Table26[[#This Row],[Fee]]&gt;500,Table26[[#This Row],[Fee]],"")</f>
        <v/>
      </c>
    </row>
    <row r="1280" spans="1:10" hidden="1">
      <c r="A1280">
        <v>1279</v>
      </c>
      <c r="B1280" t="s">
        <v>3423</v>
      </c>
      <c r="C1280" t="s">
        <v>304</v>
      </c>
      <c r="D1280" t="str">
        <f t="array" ref="D1280">TEXT(Table26[[#This Row],[Date]],"MMMM")</f>
        <v>September</v>
      </c>
      <c r="E1280">
        <v>500</v>
      </c>
      <c r="F1280" t="s">
        <v>589</v>
      </c>
      <c r="G1280" t="s">
        <v>3919</v>
      </c>
      <c r="H1280" s="38">
        <v>46283</v>
      </c>
      <c r="I1280" cm="1">
        <f t="array" ref="I1280">IFERROR(INDEX('ALL STUDENTS'!$A:$A, MATCH(1, ('ALL STUDENTS'!$B:$B = B1280) * ('ALL STUDENTS'!$C:$C = C1280), 0)), "NOT FOUND")</f>
        <v>2370</v>
      </c>
      <c r="J1280" t="str">
        <f>IF(Table26[[#This Row],[Fee]]&gt;500,Table26[[#This Row],[Fee]],"")</f>
        <v/>
      </c>
    </row>
    <row r="1281" spans="1:10" hidden="1">
      <c r="A1281">
        <v>1280</v>
      </c>
      <c r="B1281" t="s">
        <v>3423</v>
      </c>
      <c r="C1281" t="s">
        <v>304</v>
      </c>
      <c r="D1281" t="str">
        <f t="array" ref="D1281">TEXT(Table26[[#This Row],[Date]],"MMMM")</f>
        <v>September</v>
      </c>
      <c r="E1281">
        <v>500</v>
      </c>
      <c r="F1281" t="s">
        <v>589</v>
      </c>
      <c r="G1281" t="s">
        <v>3920</v>
      </c>
      <c r="H1281" s="38">
        <v>46283</v>
      </c>
      <c r="I1281" cm="1">
        <f t="array" ref="I1281">IFERROR(INDEX('ALL STUDENTS'!$A:$A, MATCH(1, ('ALL STUDENTS'!$B:$B = B1281) * ('ALL STUDENTS'!$C:$C = C1281), 0)), "NOT FOUND")</f>
        <v>2370</v>
      </c>
      <c r="J1281" t="str">
        <f>IF(Table26[[#This Row],[Fee]]&gt;500,Table26[[#This Row],[Fee]],"")</f>
        <v/>
      </c>
    </row>
    <row r="1282" spans="1:10" hidden="1">
      <c r="A1282">
        <v>1281</v>
      </c>
      <c r="B1282" t="s">
        <v>3423</v>
      </c>
      <c r="C1282" t="s">
        <v>304</v>
      </c>
      <c r="D1282" t="str">
        <f t="array" ref="D1282">TEXT(Table26[[#This Row],[Date]],"MMMM")</f>
        <v>September</v>
      </c>
      <c r="E1282">
        <v>500</v>
      </c>
      <c r="F1282" t="s">
        <v>589</v>
      </c>
      <c r="G1282" t="s">
        <v>3921</v>
      </c>
      <c r="H1282" s="38">
        <v>46283</v>
      </c>
      <c r="I1282" cm="1">
        <f t="array" ref="I1282">IFERROR(INDEX('ALL STUDENTS'!$A:$A, MATCH(1, ('ALL STUDENTS'!$B:$B = B1282) * ('ALL STUDENTS'!$C:$C = C1282), 0)), "NOT FOUND")</f>
        <v>2370</v>
      </c>
      <c r="J1282" t="str">
        <f>IF(Table26[[#This Row],[Fee]]&gt;500,Table26[[#This Row],[Fee]],"")</f>
        <v/>
      </c>
    </row>
    <row r="1283" spans="1:10" hidden="1">
      <c r="A1283">
        <v>1282</v>
      </c>
      <c r="B1283" t="s">
        <v>48</v>
      </c>
      <c r="C1283" t="s">
        <v>32</v>
      </c>
      <c r="D1283" t="str">
        <f t="array" ref="D1283">TEXT(Table26[[#This Row],[Date]],"MMMM")</f>
        <v>September</v>
      </c>
      <c r="E1283">
        <v>500</v>
      </c>
      <c r="F1283" t="s">
        <v>589</v>
      </c>
      <c r="G1283" t="s">
        <v>3922</v>
      </c>
      <c r="H1283" s="38">
        <v>46283</v>
      </c>
      <c r="I1283" cm="1">
        <f t="array" ref="I1283">IFERROR(INDEX('ALL STUDENTS'!$A:$A, MATCH(1, ('ALL STUDENTS'!$B:$B = B1283) * ('ALL STUDENTS'!$C:$C = C1283), 0)), "NOT FOUND")</f>
        <v>3073</v>
      </c>
      <c r="J1283" t="str">
        <f>IF(Table26[[#This Row],[Fee]]&gt;500,Table26[[#This Row],[Fee]],"")</f>
        <v/>
      </c>
    </row>
    <row r="1284" spans="1:10" hidden="1">
      <c r="A1284">
        <v>1283</v>
      </c>
      <c r="B1284" t="s">
        <v>3730</v>
      </c>
      <c r="C1284" t="s">
        <v>4</v>
      </c>
      <c r="D1284" t="str">
        <f t="array" ref="D1284">TEXT(Table26[[#This Row],[Date]],"MMMM")</f>
        <v>September</v>
      </c>
      <c r="E1284">
        <v>500</v>
      </c>
      <c r="F1284" t="s">
        <v>589</v>
      </c>
      <c r="G1284" t="s">
        <v>3923</v>
      </c>
      <c r="H1284" s="38">
        <v>46283</v>
      </c>
      <c r="I1284" cm="1">
        <f t="array" ref="I1284">IFERROR(INDEX('ALL STUDENTS'!$A:$A, MATCH(1, ('ALL STUDENTS'!$B:$B = B1284) * ('ALL STUDENTS'!$C:$C = C1284), 0)), "NOT FOUND")</f>
        <v>3019</v>
      </c>
      <c r="J1284" t="str">
        <f>IF(Table26[[#This Row],[Fee]]&gt;500,Table26[[#This Row],[Fee]],"")</f>
        <v/>
      </c>
    </row>
    <row r="1285" spans="1:10" hidden="1">
      <c r="A1285">
        <v>1284</v>
      </c>
      <c r="B1285" t="s">
        <v>218</v>
      </c>
      <c r="C1285" t="s">
        <v>211</v>
      </c>
      <c r="D1285" t="str">
        <f t="array" ref="D1285">TEXT(Table26[[#This Row],[Date]],"MMMM")</f>
        <v>September</v>
      </c>
      <c r="E1285">
        <v>500</v>
      </c>
      <c r="F1285" t="s">
        <v>589</v>
      </c>
      <c r="G1285" t="s">
        <v>3924</v>
      </c>
      <c r="H1285" s="38">
        <v>46283</v>
      </c>
      <c r="I1285" cm="1">
        <f t="array" ref="I1285">IFERROR(INDEX('ALL STUDENTS'!$A:$A, MATCH(1, ('ALL STUDENTS'!$B:$B = B1285) * ('ALL STUDENTS'!$C:$C = C1285), 0)), "NOT FOUND")</f>
        <v>2013</v>
      </c>
      <c r="J1285" t="str">
        <f>IF(Table26[[#This Row],[Fee]]&gt;500,Table26[[#This Row],[Fee]],"")</f>
        <v/>
      </c>
    </row>
    <row r="1286" spans="1:10" hidden="1">
      <c r="A1286">
        <v>1285</v>
      </c>
      <c r="B1286" t="s">
        <v>2033</v>
      </c>
      <c r="C1286" t="s">
        <v>526</v>
      </c>
      <c r="D1286" t="str">
        <f t="array" ref="D1286">TEXT(Table26[[#This Row],[Date]],"MMMM")</f>
        <v>September</v>
      </c>
      <c r="E1286">
        <v>500</v>
      </c>
      <c r="F1286" t="s">
        <v>589</v>
      </c>
      <c r="G1286" t="s">
        <v>3895</v>
      </c>
      <c r="H1286" s="38">
        <v>46281</v>
      </c>
      <c r="I1286" cm="1">
        <f t="array" ref="I1286">IFERROR(INDEX('ALL STUDENTS'!$A:$A, MATCH(1, ('ALL STUDENTS'!$B:$B = B1286) * ('ALL STUDENTS'!$C:$C = C1286), 0)), "NOT FOUND")</f>
        <v>106</v>
      </c>
      <c r="J1286" t="str">
        <f>IF(Table26[[#This Row],[Fee]]&gt;500,Table26[[#This Row],[Fee]],"")</f>
        <v/>
      </c>
    </row>
    <row r="1287" spans="1:10" hidden="1">
      <c r="A1287">
        <v>1286</v>
      </c>
      <c r="B1287" t="s">
        <v>3468</v>
      </c>
      <c r="C1287" t="s">
        <v>320</v>
      </c>
      <c r="D1287" t="str">
        <f t="array" ref="D1287">TEXT(Table26[[#This Row],[Date]],"MMMM")</f>
        <v>September</v>
      </c>
      <c r="E1287">
        <v>500</v>
      </c>
      <c r="F1287" t="s">
        <v>589</v>
      </c>
      <c r="G1287" t="s">
        <v>3896</v>
      </c>
      <c r="H1287" s="38">
        <v>46281</v>
      </c>
      <c r="I1287" cm="1">
        <f t="array" ref="I1287">IFERROR(INDEX('ALL STUDENTS'!$A:$A, MATCH(1, ('ALL STUDENTS'!$B:$B = B1287) * ('ALL STUDENTS'!$C:$C = C1287), 0)), "NOT FOUND")</f>
        <v>2423</v>
      </c>
      <c r="J1287" t="str">
        <f>IF(Table26[[#This Row],[Fee]]&gt;500,Table26[[#This Row],[Fee]],"")</f>
        <v/>
      </c>
    </row>
    <row r="1288" spans="1:10" hidden="1">
      <c r="A1288">
        <v>1287</v>
      </c>
      <c r="B1288" t="s">
        <v>1985</v>
      </c>
      <c r="C1288" t="s">
        <v>294</v>
      </c>
      <c r="D1288" t="str">
        <f t="array" ref="D1288">TEXT(Table26[[#This Row],[Date]],"MMMM")</f>
        <v>September</v>
      </c>
      <c r="E1288">
        <v>500</v>
      </c>
      <c r="F1288" t="s">
        <v>589</v>
      </c>
      <c r="G1288" t="s">
        <v>3925</v>
      </c>
      <c r="H1288" s="38">
        <v>46283</v>
      </c>
      <c r="I1288" cm="1">
        <f t="array" ref="I1288">IFERROR(INDEX('ALL STUDENTS'!$A:$A, MATCH(1, ('ALL STUDENTS'!$B:$B = B1288) * ('ALL STUDENTS'!$C:$C = C1288), 0)), "NOT FOUND")</f>
        <v>2266</v>
      </c>
      <c r="J1288" t="str">
        <f>IF(Table26[[#This Row],[Fee]]&gt;500,Table26[[#This Row],[Fee]],"")</f>
        <v/>
      </c>
    </row>
    <row r="1289" spans="1:10" hidden="1">
      <c r="A1289">
        <v>1288</v>
      </c>
      <c r="B1289" t="s">
        <v>3644</v>
      </c>
      <c r="C1289" t="s">
        <v>68</v>
      </c>
      <c r="D1289" t="str">
        <f t="array" ref="D1289">TEXT(Table26[[#This Row],[Date]],"MMMM")</f>
        <v>September</v>
      </c>
      <c r="E1289">
        <v>500</v>
      </c>
      <c r="F1289" t="s">
        <v>589</v>
      </c>
      <c r="G1289" t="s">
        <v>3926</v>
      </c>
      <c r="H1289" s="38">
        <v>46283</v>
      </c>
      <c r="I1289" cm="1">
        <f t="array" ref="I1289">IFERROR(INDEX('ALL STUDENTS'!$A:$A, MATCH(1, ('ALL STUDENTS'!$B:$B = B1289) * ('ALL STUDENTS'!$C:$C = C1289), 0)), "NOT FOUND")</f>
        <v>2661</v>
      </c>
      <c r="J1289" t="str">
        <f>IF(Table26[[#This Row],[Fee]]&gt;500,Table26[[#This Row],[Fee]],"")</f>
        <v/>
      </c>
    </row>
    <row r="1290" spans="1:10" hidden="1">
      <c r="A1290">
        <v>1289</v>
      </c>
      <c r="B1290" t="s">
        <v>3644</v>
      </c>
      <c r="C1290" t="s">
        <v>68</v>
      </c>
      <c r="D1290" t="str">
        <f t="array" ref="D1290">TEXT(Table26[[#This Row],[Date]],"MMMM")</f>
        <v>September</v>
      </c>
      <c r="E1290">
        <v>500</v>
      </c>
      <c r="F1290" t="s">
        <v>589</v>
      </c>
      <c r="G1290" t="s">
        <v>3927</v>
      </c>
      <c r="H1290" s="38">
        <v>46283</v>
      </c>
      <c r="I1290" cm="1">
        <f t="array" ref="I1290">IFERROR(INDEX('ALL STUDENTS'!$A:$A, MATCH(1, ('ALL STUDENTS'!$B:$B = B1290) * ('ALL STUDENTS'!$C:$C = C1290), 0)), "NOT FOUND")</f>
        <v>2661</v>
      </c>
      <c r="J1290" t="str">
        <f>IF(Table26[[#This Row],[Fee]]&gt;500,Table26[[#This Row],[Fee]],"")</f>
        <v/>
      </c>
    </row>
    <row r="1291" spans="1:10" hidden="1">
      <c r="A1291">
        <v>1290</v>
      </c>
      <c r="B1291" t="s">
        <v>3644</v>
      </c>
      <c r="C1291" t="s">
        <v>68</v>
      </c>
      <c r="D1291" t="str">
        <f t="array" ref="D1291">TEXT(Table26[[#This Row],[Date]],"MMMM")</f>
        <v>September</v>
      </c>
      <c r="E1291">
        <v>500</v>
      </c>
      <c r="F1291" t="s">
        <v>589</v>
      </c>
      <c r="G1291" t="s">
        <v>3928</v>
      </c>
      <c r="H1291" s="38">
        <v>46283</v>
      </c>
      <c r="I1291" cm="1">
        <f t="array" ref="I1291">IFERROR(INDEX('ALL STUDENTS'!$A:$A, MATCH(1, ('ALL STUDENTS'!$B:$B = B1291) * ('ALL STUDENTS'!$C:$C = C1291), 0)), "NOT FOUND")</f>
        <v>2661</v>
      </c>
      <c r="J1291" t="str">
        <f>IF(Table26[[#This Row],[Fee]]&gt;500,Table26[[#This Row],[Fee]],"")</f>
        <v/>
      </c>
    </row>
    <row r="1292" spans="1:10" hidden="1">
      <c r="A1292">
        <v>1291</v>
      </c>
      <c r="B1292" t="s">
        <v>3006</v>
      </c>
      <c r="C1292" t="s">
        <v>149</v>
      </c>
      <c r="D1292" t="str">
        <f t="array" ref="D1292">TEXT(Table26[[#This Row],[Date]],"MMMM")</f>
        <v>September</v>
      </c>
      <c r="E1292">
        <v>500</v>
      </c>
      <c r="F1292" t="s">
        <v>589</v>
      </c>
      <c r="G1292" t="s">
        <v>3929</v>
      </c>
      <c r="H1292" s="38">
        <v>46286</v>
      </c>
      <c r="I1292" cm="1">
        <f t="array" ref="I1292">IFERROR(INDEX('ALL STUDENTS'!$A:$A, MATCH(1, ('ALL STUDENTS'!$B:$B = B1292) * ('ALL STUDENTS'!$C:$C = C1292), 0)), "NOT FOUND")</f>
        <v>1785</v>
      </c>
      <c r="J1292" t="str">
        <f>IF(Table26[[#This Row],[Fee]]&gt;500,Table26[[#This Row],[Fee]],"")</f>
        <v/>
      </c>
    </row>
    <row r="1293" spans="1:10" hidden="1">
      <c r="A1293">
        <v>1292</v>
      </c>
      <c r="B1293" t="s">
        <v>3785</v>
      </c>
      <c r="C1293" t="s">
        <v>51</v>
      </c>
      <c r="D1293" t="str">
        <f t="array" ref="D1293">TEXT(Table26[[#This Row],[Date]],"MMMM")</f>
        <v>September</v>
      </c>
      <c r="E1293">
        <v>500</v>
      </c>
      <c r="F1293" t="s">
        <v>589</v>
      </c>
      <c r="G1293" t="s">
        <v>3930</v>
      </c>
      <c r="H1293" s="38">
        <v>46286</v>
      </c>
      <c r="I1293" cm="1">
        <f t="array" ref="I1293">IFERROR(INDEX('ALL STUDENTS'!$A:$A, MATCH(1, ('ALL STUDENTS'!$B:$B = B1293) * ('ALL STUDENTS'!$C:$C = C1293), 0)), "NOT FOUND")</f>
        <v>3128</v>
      </c>
      <c r="J1293" t="str">
        <f>IF(Table26[[#This Row],[Fee]]&gt;500,Table26[[#This Row],[Fee]],"")</f>
        <v/>
      </c>
    </row>
    <row r="1294" spans="1:10" hidden="1">
      <c r="A1294">
        <v>1293</v>
      </c>
      <c r="B1294" t="s">
        <v>127</v>
      </c>
      <c r="C1294" t="s">
        <v>119</v>
      </c>
      <c r="D1294" t="str">
        <f t="array" ref="D1294">TEXT(Table26[[#This Row],[Date]],"MMMM")</f>
        <v>September</v>
      </c>
      <c r="E1294">
        <v>500</v>
      </c>
      <c r="F1294" t="s">
        <v>589</v>
      </c>
      <c r="G1294" t="s">
        <v>3931</v>
      </c>
      <c r="H1294" s="38">
        <v>46286</v>
      </c>
      <c r="I1294" cm="1">
        <f t="array" ref="I1294">IFERROR(INDEX('ALL STUDENTS'!$A:$A, MATCH(1, ('ALL STUDENTS'!$B:$B = B1294) * ('ALL STUDENTS'!$C:$C = C1294), 0)), "NOT FOUND")</f>
        <v>1672</v>
      </c>
      <c r="J1294" t="str">
        <f>IF(Table26[[#This Row],[Fee]]&gt;500,Table26[[#This Row],[Fee]],"")</f>
        <v/>
      </c>
    </row>
    <row r="1295" spans="1:10" hidden="1">
      <c r="A1295">
        <v>1294</v>
      </c>
      <c r="B1295" t="s">
        <v>3748</v>
      </c>
      <c r="C1295" t="s">
        <v>20</v>
      </c>
      <c r="D1295" t="str">
        <f t="array" ref="D1295">TEXT(Table26[[#This Row],[Date]],"MMMM")</f>
        <v>September</v>
      </c>
      <c r="E1295">
        <v>500</v>
      </c>
      <c r="F1295" t="s">
        <v>589</v>
      </c>
      <c r="G1295" t="s">
        <v>3932</v>
      </c>
      <c r="H1295" s="38">
        <v>46286</v>
      </c>
      <c r="I1295" cm="1">
        <f t="array" ref="I1295">IFERROR(INDEX('ALL STUDENTS'!$A:$A, MATCH(1, ('ALL STUDENTS'!$B:$B = B1295) * ('ALL STUDENTS'!$C:$C = C1295), 0)), "NOT FOUND")</f>
        <v>3058</v>
      </c>
      <c r="J1295" t="str">
        <f>IF(Table26[[#This Row],[Fee]]&gt;500,Table26[[#This Row],[Fee]],"")</f>
        <v/>
      </c>
    </row>
    <row r="1296" spans="1:10" hidden="1">
      <c r="A1296">
        <v>1295</v>
      </c>
      <c r="B1296" t="s">
        <v>2913</v>
      </c>
      <c r="C1296" t="s">
        <v>113</v>
      </c>
      <c r="D1296" t="str">
        <f t="array" ref="D1296">TEXT(Table26[[#This Row],[Date]],"MMMM")</f>
        <v>September</v>
      </c>
      <c r="E1296">
        <v>500</v>
      </c>
      <c r="F1296" t="s">
        <v>589</v>
      </c>
      <c r="G1296" t="s">
        <v>3861</v>
      </c>
      <c r="H1296" s="38">
        <v>46277</v>
      </c>
      <c r="I1296" cm="1">
        <f t="array" ref="I1296">IFERROR(INDEX('ALL STUDENTS'!$A:$A, MATCH(1, ('ALL STUDENTS'!$B:$B = B1296) * ('ALL STUDENTS'!$C:$C = C1296), 0)), "NOT FOUND")</f>
        <v>1642</v>
      </c>
      <c r="J1296" t="str">
        <f>IF(Table26[[#This Row],[Fee]]&gt;500,Table26[[#This Row],[Fee]],"")</f>
        <v/>
      </c>
    </row>
    <row r="1297" spans="1:10" hidden="1">
      <c r="A1297">
        <v>1296</v>
      </c>
      <c r="B1297" t="s">
        <v>3215</v>
      </c>
      <c r="C1297" t="s">
        <v>227</v>
      </c>
      <c r="D1297" t="str">
        <f t="array" ref="D1297">TEXT(Table26[[#This Row],[Date]],"MMMM")</f>
        <v>September</v>
      </c>
      <c r="E1297">
        <v>500</v>
      </c>
      <c r="F1297" t="s">
        <v>589</v>
      </c>
      <c r="G1297" t="s">
        <v>3933</v>
      </c>
      <c r="H1297" s="38">
        <v>46286</v>
      </c>
      <c r="I1297" cm="1">
        <f t="array" ref="I1297">IFERROR(INDEX('ALL STUDENTS'!$A:$A, MATCH(1, ('ALL STUDENTS'!$B:$B = B1297) * ('ALL STUDENTS'!$C:$C = C1297), 0)), "NOT FOUND")</f>
        <v>2063</v>
      </c>
      <c r="J1297" t="str">
        <f>IF(Table26[[#This Row],[Fee]]&gt;500,Table26[[#This Row],[Fee]],"")</f>
        <v/>
      </c>
    </row>
    <row r="1298" spans="1:10" hidden="1">
      <c r="A1298">
        <v>1297</v>
      </c>
      <c r="B1298" t="s">
        <v>3833</v>
      </c>
      <c r="C1298" t="s">
        <v>62</v>
      </c>
      <c r="D1298" t="str">
        <f t="array" ref="D1298">TEXT(Table26[[#This Row],[Date]],"MMMM")</f>
        <v>September</v>
      </c>
      <c r="E1298">
        <v>500</v>
      </c>
      <c r="F1298" t="s">
        <v>589</v>
      </c>
      <c r="G1298" t="s">
        <v>3860</v>
      </c>
      <c r="H1298" s="38">
        <v>46276</v>
      </c>
      <c r="I1298" cm="1">
        <f t="array" ref="I1298">IFERROR(INDEX('ALL STUDENTS'!$A:$A, MATCH(1, ('ALL STUDENTS'!$B:$B = B1298) * ('ALL STUDENTS'!$C:$C = C1298), 0)), "NOT FOUND")</f>
        <v>3190</v>
      </c>
      <c r="J1298" t="str">
        <f>IF(Table26[[#This Row],[Fee]]&gt;500,Table26[[#This Row],[Fee]],"")</f>
        <v/>
      </c>
    </row>
    <row r="1299" spans="1:10" hidden="1">
      <c r="A1299">
        <v>1298</v>
      </c>
      <c r="B1299" t="s">
        <v>3735</v>
      </c>
      <c r="C1299" t="s">
        <v>4</v>
      </c>
      <c r="D1299" t="str">
        <f t="array" ref="D1299">TEXT(Table26[[#This Row],[Date]],"MMMM")</f>
        <v>September</v>
      </c>
      <c r="E1299">
        <v>500</v>
      </c>
      <c r="F1299" t="s">
        <v>589</v>
      </c>
      <c r="G1299" t="s">
        <v>3934</v>
      </c>
      <c r="H1299" s="38">
        <v>46286</v>
      </c>
      <c r="I1299" cm="1">
        <f t="array" ref="I1299">IFERROR(INDEX('ALL STUDENTS'!$A:$A, MATCH(1, ('ALL STUDENTS'!$B:$B = B1299) * ('ALL STUDENTS'!$C:$C = C1299), 0)), "NOT FOUND")</f>
        <v>3032</v>
      </c>
      <c r="J1299" t="str">
        <f>IF(Table26[[#This Row],[Fee]]&gt;500,Table26[[#This Row],[Fee]],"")</f>
        <v/>
      </c>
    </row>
    <row r="1300" spans="1:10" hidden="1">
      <c r="A1300">
        <v>1299</v>
      </c>
      <c r="B1300" t="s">
        <v>3735</v>
      </c>
      <c r="C1300" t="s">
        <v>4</v>
      </c>
      <c r="D1300" t="str">
        <f t="array" ref="D1300">TEXT(Table26[[#This Row],[Date]],"MMMM")</f>
        <v>September</v>
      </c>
      <c r="E1300">
        <v>500</v>
      </c>
      <c r="F1300" t="s">
        <v>589</v>
      </c>
      <c r="G1300" t="s">
        <v>3935</v>
      </c>
      <c r="H1300" s="38">
        <v>46286</v>
      </c>
      <c r="I1300" cm="1">
        <f t="array" ref="I1300">IFERROR(INDEX('ALL STUDENTS'!$A:$A, MATCH(1, ('ALL STUDENTS'!$B:$B = B1300) * ('ALL STUDENTS'!$C:$C = C1300), 0)), "NOT FOUND")</f>
        <v>3032</v>
      </c>
      <c r="J1300" t="str">
        <f>IF(Table26[[#This Row],[Fee]]&gt;500,Table26[[#This Row],[Fee]],"")</f>
        <v/>
      </c>
    </row>
    <row r="1301" spans="1:10" hidden="1">
      <c r="A1301">
        <v>1300</v>
      </c>
      <c r="B1301" t="s">
        <v>3735</v>
      </c>
      <c r="C1301" t="s">
        <v>4</v>
      </c>
      <c r="D1301" t="str">
        <f t="array" ref="D1301">TEXT(Table26[[#This Row],[Date]],"MMMM")</f>
        <v>September</v>
      </c>
      <c r="E1301">
        <v>500</v>
      </c>
      <c r="F1301" t="s">
        <v>589</v>
      </c>
      <c r="G1301" t="s">
        <v>3936</v>
      </c>
      <c r="H1301" s="38">
        <v>46286</v>
      </c>
      <c r="I1301" cm="1">
        <f t="array" ref="I1301">IFERROR(INDEX('ALL STUDENTS'!$A:$A, MATCH(1, ('ALL STUDENTS'!$B:$B = B1301) * ('ALL STUDENTS'!$C:$C = C1301), 0)), "NOT FOUND")</f>
        <v>3032</v>
      </c>
      <c r="J1301" t="str">
        <f>IF(Table26[[#This Row],[Fee]]&gt;500,Table26[[#This Row],[Fee]],"")</f>
        <v/>
      </c>
    </row>
    <row r="1302" spans="1:10" hidden="1">
      <c r="A1302">
        <v>1301</v>
      </c>
      <c r="B1302" t="s">
        <v>341</v>
      </c>
      <c r="C1302" t="s">
        <v>340</v>
      </c>
      <c r="D1302" t="s">
        <v>590</v>
      </c>
      <c r="E1302">
        <v>500</v>
      </c>
      <c r="F1302" t="s">
        <v>589</v>
      </c>
      <c r="G1302" t="s">
        <v>3979</v>
      </c>
      <c r="H1302" s="38" t="s">
        <v>3980</v>
      </c>
      <c r="I1302" cm="1">
        <f t="array" ref="I1302">IFERROR(INDEX('ALL STUDENTS'!$A:$A, MATCH(1, ('ALL STUDENTS'!$B:$B = B1302) * ('ALL STUDENTS'!$C:$C = C1302), 0)), "NOT FOUND")</f>
        <v>2515</v>
      </c>
      <c r="J1302" t="str">
        <f>IF(Table26[[#This Row],[Fee]]&gt;500,Table26[[#This Row],[Fee]],"")</f>
        <v/>
      </c>
    </row>
    <row r="1303" spans="1:10" hidden="1">
      <c r="A1303">
        <v>1302</v>
      </c>
      <c r="B1303" t="s">
        <v>3799</v>
      </c>
      <c r="C1303" t="s">
        <v>58</v>
      </c>
      <c r="D1303" t="s">
        <v>3981</v>
      </c>
      <c r="E1303">
        <v>500</v>
      </c>
      <c r="F1303" t="s">
        <v>589</v>
      </c>
      <c r="G1303" t="s">
        <v>3982</v>
      </c>
      <c r="H1303" s="38" t="s">
        <v>3983</v>
      </c>
      <c r="I1303" cm="1">
        <f t="array" ref="I1303">IFERROR(INDEX('ALL STUDENTS'!$A:$A, MATCH(1, ('ALL STUDENTS'!$B:$B = B1303) * ('ALL STUDENTS'!$C:$C = C1303), 0)), "NOT FOUND")</f>
        <v>3147</v>
      </c>
      <c r="J1303" t="str">
        <f>IF(Table26[[#This Row],[Fee]]&gt;500,Table26[[#This Row],[Fee]],"")</f>
        <v/>
      </c>
    </row>
    <row r="1304" spans="1:10" hidden="1">
      <c r="A1304">
        <v>1303</v>
      </c>
      <c r="B1304" t="s">
        <v>3799</v>
      </c>
      <c r="C1304" t="s">
        <v>58</v>
      </c>
      <c r="D1304" t="s">
        <v>590</v>
      </c>
      <c r="E1304">
        <v>500</v>
      </c>
      <c r="F1304" t="s">
        <v>589</v>
      </c>
      <c r="G1304" t="s">
        <v>3984</v>
      </c>
      <c r="H1304" s="38" t="s">
        <v>3983</v>
      </c>
      <c r="I1304" cm="1">
        <f t="array" ref="I1304">IFERROR(INDEX('ALL STUDENTS'!$A:$A, MATCH(1, ('ALL STUDENTS'!$B:$B = B1304) * ('ALL STUDENTS'!$C:$C = C1304), 0)), "NOT FOUND")</f>
        <v>3147</v>
      </c>
      <c r="J1304" t="str">
        <f>IF(Table26[[#This Row],[Fee]]&gt;500,Table26[[#This Row],[Fee]],"")</f>
        <v/>
      </c>
    </row>
    <row r="1305" spans="1:10" hidden="1">
      <c r="A1305">
        <v>1304</v>
      </c>
      <c r="B1305" t="s">
        <v>3799</v>
      </c>
      <c r="C1305" t="s">
        <v>58</v>
      </c>
      <c r="D1305" t="s">
        <v>3985</v>
      </c>
      <c r="E1305">
        <v>500</v>
      </c>
      <c r="F1305" t="s">
        <v>589</v>
      </c>
      <c r="G1305" t="s">
        <v>3986</v>
      </c>
      <c r="H1305" s="38" t="s">
        <v>3983</v>
      </c>
      <c r="I1305" cm="1">
        <f t="array" ref="I1305">IFERROR(INDEX('ALL STUDENTS'!$A:$A, MATCH(1, ('ALL STUDENTS'!$B:$B = B1305) * ('ALL STUDENTS'!$C:$C = C1305), 0)), "NOT FOUND")</f>
        <v>3147</v>
      </c>
      <c r="J1305" t="str">
        <f>IF(Table26[[#This Row],[Fee]]&gt;500,Table26[[#This Row],[Fee]],"")</f>
        <v/>
      </c>
    </row>
    <row r="1306" spans="1:10" hidden="1">
      <c r="A1306">
        <v>1305</v>
      </c>
      <c r="B1306" t="s">
        <v>2499</v>
      </c>
      <c r="C1306" t="s">
        <v>356</v>
      </c>
      <c r="D1306" t="s">
        <v>3981</v>
      </c>
      <c r="E1306">
        <v>500</v>
      </c>
      <c r="F1306" t="s">
        <v>589</v>
      </c>
      <c r="G1306" t="s">
        <v>3987</v>
      </c>
      <c r="H1306" s="38" t="s">
        <v>3983</v>
      </c>
      <c r="I1306" cm="1">
        <f t="array" ref="I1306">IFERROR(INDEX('ALL STUDENTS'!$A:$A, MATCH(1, ('ALL STUDENTS'!$B:$B = B1306) * ('ALL STUDENTS'!$C:$C = C1306), 0)), "NOT FOUND")</f>
        <v>772</v>
      </c>
      <c r="J1306" t="str">
        <f>IF(Table26[[#This Row],[Fee]]&gt;500,Table26[[#This Row],[Fee]],"")</f>
        <v/>
      </c>
    </row>
    <row r="1307" spans="1:10" hidden="1">
      <c r="A1307">
        <v>1306</v>
      </c>
      <c r="B1307" t="s">
        <v>2499</v>
      </c>
      <c r="C1307" t="s">
        <v>356</v>
      </c>
      <c r="D1307" t="s">
        <v>590</v>
      </c>
      <c r="E1307">
        <v>500</v>
      </c>
      <c r="F1307" t="s">
        <v>589</v>
      </c>
      <c r="G1307" t="s">
        <v>3988</v>
      </c>
      <c r="H1307" s="38" t="s">
        <v>3983</v>
      </c>
      <c r="I1307" cm="1">
        <f t="array" ref="I1307">IFERROR(INDEX('ALL STUDENTS'!$A:$A, MATCH(1, ('ALL STUDENTS'!$B:$B = B1307) * ('ALL STUDENTS'!$C:$C = C1307), 0)), "NOT FOUND")</f>
        <v>772</v>
      </c>
      <c r="J1307" t="str">
        <f>IF(Table26[[#This Row],[Fee]]&gt;500,Table26[[#This Row],[Fee]],"")</f>
        <v/>
      </c>
    </row>
    <row r="1308" spans="1:10" hidden="1">
      <c r="A1308">
        <v>1307</v>
      </c>
      <c r="B1308" t="s">
        <v>2499</v>
      </c>
      <c r="C1308" t="s">
        <v>356</v>
      </c>
      <c r="D1308" t="s">
        <v>3985</v>
      </c>
      <c r="E1308">
        <v>500</v>
      </c>
      <c r="F1308" t="s">
        <v>589</v>
      </c>
      <c r="G1308" t="s">
        <v>3989</v>
      </c>
      <c r="H1308" s="38" t="s">
        <v>3983</v>
      </c>
      <c r="I1308" cm="1">
        <f t="array" ref="I1308">IFERROR(INDEX('ALL STUDENTS'!$A:$A, MATCH(1, ('ALL STUDENTS'!$B:$B = B1308) * ('ALL STUDENTS'!$C:$C = C1308), 0)), "NOT FOUND")</f>
        <v>772</v>
      </c>
      <c r="J1308" t="str">
        <f>IF(Table26[[#This Row],[Fee]]&gt;500,Table26[[#This Row],[Fee]],"")</f>
        <v/>
      </c>
    </row>
    <row r="1309" spans="1:10" hidden="1">
      <c r="A1309">
        <v>1308</v>
      </c>
      <c r="B1309" t="s">
        <v>2947</v>
      </c>
      <c r="C1309" t="s">
        <v>119</v>
      </c>
      <c r="D1309" t="s">
        <v>3981</v>
      </c>
      <c r="E1309">
        <v>500</v>
      </c>
      <c r="F1309" t="s">
        <v>589</v>
      </c>
      <c r="G1309" t="s">
        <v>3990</v>
      </c>
      <c r="H1309" s="38" t="s">
        <v>3983</v>
      </c>
      <c r="I1309" cm="1">
        <f t="array" ref="I1309">IFERROR(INDEX('ALL STUDENTS'!$A:$A, MATCH(1, ('ALL STUDENTS'!$B:$B = B1309) * ('ALL STUDENTS'!$C:$C = C1309), 0)), "NOT FOUND")</f>
        <v>1694</v>
      </c>
      <c r="J1309" t="str">
        <f>IF(Table26[[#This Row],[Fee]]&gt;500,Table26[[#This Row],[Fee]],"")</f>
        <v/>
      </c>
    </row>
    <row r="1310" spans="1:10" hidden="1">
      <c r="A1310">
        <v>1309</v>
      </c>
      <c r="B1310" t="s">
        <v>2947</v>
      </c>
      <c r="C1310" t="s">
        <v>119</v>
      </c>
      <c r="D1310" t="s">
        <v>590</v>
      </c>
      <c r="E1310">
        <v>500</v>
      </c>
      <c r="F1310" t="s">
        <v>589</v>
      </c>
      <c r="G1310" t="s">
        <v>3991</v>
      </c>
      <c r="H1310" s="38" t="s">
        <v>3983</v>
      </c>
      <c r="I1310" cm="1">
        <f t="array" ref="I1310">IFERROR(INDEX('ALL STUDENTS'!$A:$A, MATCH(1, ('ALL STUDENTS'!$B:$B = B1310) * ('ALL STUDENTS'!$C:$C = C1310), 0)), "NOT FOUND")</f>
        <v>1694</v>
      </c>
      <c r="J1310" t="str">
        <f>IF(Table26[[#This Row],[Fee]]&gt;500,Table26[[#This Row],[Fee]],"")</f>
        <v/>
      </c>
    </row>
    <row r="1311" spans="1:10" hidden="1">
      <c r="A1311">
        <v>1310</v>
      </c>
      <c r="B1311" t="s">
        <v>2947</v>
      </c>
      <c r="C1311" t="s">
        <v>119</v>
      </c>
      <c r="D1311" t="s">
        <v>3985</v>
      </c>
      <c r="E1311">
        <v>500</v>
      </c>
      <c r="F1311" t="s">
        <v>589</v>
      </c>
      <c r="G1311" t="s">
        <v>3992</v>
      </c>
      <c r="H1311" s="38" t="s">
        <v>3983</v>
      </c>
      <c r="I1311" cm="1">
        <f t="array" ref="I1311">IFERROR(INDEX('ALL STUDENTS'!$A:$A, MATCH(1, ('ALL STUDENTS'!$B:$B = B1311) * ('ALL STUDENTS'!$C:$C = C1311), 0)), "NOT FOUND")</f>
        <v>1694</v>
      </c>
      <c r="J1311" t="str">
        <f>IF(Table26[[#This Row],[Fee]]&gt;500,Table26[[#This Row],[Fee]],"")</f>
        <v/>
      </c>
    </row>
    <row r="1312" spans="1:10" hidden="1">
      <c r="A1312">
        <v>1311</v>
      </c>
      <c r="B1312" t="s">
        <v>3510</v>
      </c>
      <c r="C1312" t="s">
        <v>334</v>
      </c>
      <c r="D1312" t="s">
        <v>3981</v>
      </c>
      <c r="E1312">
        <v>500</v>
      </c>
      <c r="F1312" t="s">
        <v>589</v>
      </c>
      <c r="G1312" t="s">
        <v>3993</v>
      </c>
      <c r="H1312" s="38" t="s">
        <v>3980</v>
      </c>
      <c r="I1312" cm="1">
        <f t="array" ref="I1312">IFERROR(INDEX('ALL STUDENTS'!$A:$A, MATCH(1, ('ALL STUDENTS'!$B:$B = B1312) * ('ALL STUDENTS'!$C:$C = C1312), 0)), "NOT FOUND")</f>
        <v>2482</v>
      </c>
      <c r="J1312" t="str">
        <f>IF(Table26[[#This Row],[Fee]]&gt;500,Table26[[#This Row],[Fee]],"")</f>
        <v/>
      </c>
    </row>
    <row r="1313" spans="1:10" hidden="1">
      <c r="A1313">
        <v>1312</v>
      </c>
      <c r="B1313" t="s">
        <v>2438</v>
      </c>
      <c r="C1313" t="s">
        <v>447</v>
      </c>
      <c r="D1313" t="s">
        <v>3981</v>
      </c>
      <c r="E1313">
        <v>500</v>
      </c>
      <c r="F1313" t="s">
        <v>589</v>
      </c>
      <c r="G1313" t="s">
        <v>3994</v>
      </c>
      <c r="H1313" s="38" t="s">
        <v>3980</v>
      </c>
      <c r="I1313" cm="1">
        <f t="array" ref="I1313">IFERROR(INDEX('ALL STUDENTS'!$A:$A, MATCH(1, ('ALL STUDENTS'!$B:$B = B1313) * ('ALL STUDENTS'!$C:$C = C1313), 0)), "NOT FOUND")</f>
        <v>680</v>
      </c>
      <c r="J1313" t="str">
        <f>IF(Table26[[#This Row],[Fee]]&gt;500,Table26[[#This Row],[Fee]],"")</f>
        <v/>
      </c>
    </row>
    <row r="1314" spans="1:10" hidden="1">
      <c r="A1314">
        <v>1313</v>
      </c>
      <c r="B1314" t="s">
        <v>83</v>
      </c>
      <c r="C1314" t="s">
        <v>80</v>
      </c>
      <c r="D1314" t="s">
        <v>590</v>
      </c>
      <c r="E1314">
        <v>500</v>
      </c>
      <c r="F1314" t="s">
        <v>589</v>
      </c>
      <c r="G1314" t="s">
        <v>3995</v>
      </c>
      <c r="H1314" s="38" t="s">
        <v>3983</v>
      </c>
      <c r="I1314" cm="1">
        <f t="array" ref="I1314">IFERROR(INDEX('ALL STUDENTS'!$A:$A, MATCH(1, ('ALL STUDENTS'!$B:$B = B1314) * ('ALL STUDENTS'!$C:$C = C1314), 0)), "NOT FOUND")</f>
        <v>1545</v>
      </c>
      <c r="J1314" t="str">
        <f>IF(Table26[[#This Row],[Fee]]&gt;500,Table26[[#This Row],[Fee]],"")</f>
        <v/>
      </c>
    </row>
    <row r="1315" spans="1:10" hidden="1">
      <c r="A1315">
        <v>1314</v>
      </c>
      <c r="B1315" t="s">
        <v>359</v>
      </c>
      <c r="C1315" t="s">
        <v>356</v>
      </c>
      <c r="D1315" t="s">
        <v>590</v>
      </c>
      <c r="E1315">
        <v>500</v>
      </c>
      <c r="F1315" t="s">
        <v>589</v>
      </c>
      <c r="G1315" t="s">
        <v>3996</v>
      </c>
      <c r="H1315" s="38" t="s">
        <v>3997</v>
      </c>
      <c r="I1315" cm="1">
        <f t="array" ref="I1315">IFERROR(INDEX('ALL STUDENTS'!$A:$A, MATCH(1, ('ALL STUDENTS'!$B:$B = B1315) * ('ALL STUDENTS'!$C:$C = C1315), 0)), "NOT FOUND")</f>
        <v>757</v>
      </c>
      <c r="J1315" t="str">
        <f>IF(Table26[[#This Row],[Fee]]&gt;500,Table26[[#This Row],[Fee]],"")</f>
        <v/>
      </c>
    </row>
    <row r="1316" spans="1:10" hidden="1">
      <c r="A1316">
        <v>1315</v>
      </c>
      <c r="B1316" t="s">
        <v>3351</v>
      </c>
      <c r="C1316" t="s">
        <v>294</v>
      </c>
      <c r="D1316" t="s">
        <v>3981</v>
      </c>
      <c r="E1316">
        <v>500</v>
      </c>
      <c r="F1316" t="s">
        <v>589</v>
      </c>
      <c r="G1316" t="s">
        <v>3998</v>
      </c>
      <c r="H1316" s="38" t="s">
        <v>3999</v>
      </c>
      <c r="I1316" cm="1">
        <f t="array" ref="I1316">IFERROR(INDEX('ALL STUDENTS'!$A:$A, MATCH(1, ('ALL STUDENTS'!$B:$B = B1316) * ('ALL STUDENTS'!$C:$C = C1316), 0)), "NOT FOUND")</f>
        <v>2265</v>
      </c>
      <c r="J1316" t="str">
        <f>IF(Table26[[#This Row],[Fee]]&gt;500,Table26[[#This Row],[Fee]],"")</f>
        <v/>
      </c>
    </row>
    <row r="1317" spans="1:10" hidden="1">
      <c r="A1317">
        <v>1316</v>
      </c>
      <c r="B1317" t="s">
        <v>2020</v>
      </c>
      <c r="C1317" t="s">
        <v>520</v>
      </c>
      <c r="D1317" t="s">
        <v>3981</v>
      </c>
      <c r="E1317">
        <v>500</v>
      </c>
      <c r="F1317" t="s">
        <v>589</v>
      </c>
      <c r="G1317" t="s">
        <v>4000</v>
      </c>
      <c r="H1317" s="38" t="s">
        <v>3999</v>
      </c>
      <c r="I1317" cm="1">
        <f t="array" ref="I1317">IFERROR(INDEX('ALL STUDENTS'!$A:$A, MATCH(1, ('ALL STUDENTS'!$B:$B = B1317) * ('ALL STUDENTS'!$C:$C = C1317), 0)), "NOT FOUND")</f>
        <v>84</v>
      </c>
      <c r="J1317" t="str">
        <f>IF(Table26[[#This Row],[Fee]]&gt;500,Table26[[#This Row],[Fee]],"")</f>
        <v/>
      </c>
    </row>
    <row r="1318" spans="1:10" hidden="1">
      <c r="A1318">
        <v>1317</v>
      </c>
      <c r="B1318" t="s">
        <v>3774</v>
      </c>
      <c r="C1318" t="s">
        <v>51</v>
      </c>
      <c r="D1318" t="s">
        <v>3981</v>
      </c>
      <c r="E1318">
        <v>500</v>
      </c>
      <c r="F1318" t="s">
        <v>589</v>
      </c>
      <c r="G1318" t="s">
        <v>4001</v>
      </c>
      <c r="H1318" s="38" t="s">
        <v>3983</v>
      </c>
      <c r="I1318" cm="1">
        <f t="array" ref="I1318">IFERROR(INDEX('ALL STUDENTS'!$A:$A, MATCH(1, ('ALL STUDENTS'!$B:$B = B1318) * ('ALL STUDENTS'!$C:$C = C1318), 0)), "NOT FOUND")</f>
        <v>3114</v>
      </c>
      <c r="J1318" t="str">
        <f>IF(Table26[[#This Row],[Fee]]&gt;500,Table26[[#This Row],[Fee]],"")</f>
        <v/>
      </c>
    </row>
    <row r="1319" spans="1:10" hidden="1">
      <c r="A1319">
        <v>1318</v>
      </c>
      <c r="B1319" t="s">
        <v>50</v>
      </c>
      <c r="C1319" t="s">
        <v>20</v>
      </c>
      <c r="D1319" t="s">
        <v>3981</v>
      </c>
      <c r="E1319">
        <v>500</v>
      </c>
      <c r="F1319" t="s">
        <v>589</v>
      </c>
      <c r="G1319" t="s">
        <v>4002</v>
      </c>
      <c r="H1319" s="38" t="s">
        <v>3983</v>
      </c>
      <c r="I1319" cm="1">
        <f t="array" ref="I1319">IFERROR(INDEX('ALL STUDENTS'!$A:$A, MATCH(1, ('ALL STUDENTS'!$B:$B = B1319) * ('ALL STUDENTS'!$C:$C = C1319), 0)), "NOT FOUND")</f>
        <v>3048</v>
      </c>
      <c r="J1319" t="str">
        <f>IF(Table26[[#This Row],[Fee]]&gt;500,Table26[[#This Row],[Fee]],"")</f>
        <v/>
      </c>
    </row>
    <row r="1320" spans="1:10">
      <c r="A1320">
        <v>1319</v>
      </c>
      <c r="B1320" t="s">
        <v>4003</v>
      </c>
      <c r="C1320" t="s">
        <v>3846</v>
      </c>
      <c r="D1320" t="s">
        <v>3981</v>
      </c>
      <c r="E1320">
        <v>500</v>
      </c>
      <c r="F1320" t="s">
        <v>589</v>
      </c>
      <c r="G1320" t="s">
        <v>4004</v>
      </c>
      <c r="H1320" s="38" t="s">
        <v>3983</v>
      </c>
      <c r="I1320" t="str" cm="1">
        <f t="array" ref="I1320">IFERROR(INDEX('ALL STUDENTS'!$A:$A, MATCH(1, ('ALL STUDENTS'!$B:$B = B1320) * ('ALL STUDENTS'!$C:$C = C1320), 0)), "NOT FOUND")</f>
        <v>NOT FOUND</v>
      </c>
      <c r="J1320" t="str">
        <f>IF(Table26[[#This Row],[Fee]]&gt;500,Table26[[#This Row],[Fee]],"")</f>
        <v/>
      </c>
    </row>
    <row r="1321" spans="1:10" hidden="1">
      <c r="A1321">
        <v>1320</v>
      </c>
      <c r="B1321" t="s">
        <v>2478</v>
      </c>
      <c r="C1321" t="s">
        <v>463</v>
      </c>
      <c r="D1321" t="s">
        <v>3981</v>
      </c>
      <c r="E1321">
        <v>500</v>
      </c>
      <c r="F1321" t="s">
        <v>589</v>
      </c>
      <c r="G1321" t="s">
        <v>4005</v>
      </c>
      <c r="H1321" s="38" t="s">
        <v>3983</v>
      </c>
      <c r="I1321" cm="1">
        <f t="array" ref="I1321">IFERROR(INDEX('ALL STUDENTS'!$A:$A, MATCH(1, ('ALL STUDENTS'!$B:$B = B1321) * ('ALL STUDENTS'!$C:$C = C1321), 0)), "NOT FOUND")</f>
        <v>740</v>
      </c>
      <c r="J1321" t="str">
        <f>IF(Table26[[#This Row],[Fee]]&gt;500,Table26[[#This Row],[Fee]],"")</f>
        <v/>
      </c>
    </row>
    <row r="1322" spans="1:10" hidden="1">
      <c r="A1322">
        <v>1321</v>
      </c>
      <c r="B1322" t="s">
        <v>2478</v>
      </c>
      <c r="C1322" t="s">
        <v>463</v>
      </c>
      <c r="D1322" t="s">
        <v>590</v>
      </c>
      <c r="E1322">
        <v>500</v>
      </c>
      <c r="F1322" t="s">
        <v>589</v>
      </c>
      <c r="G1322" t="s">
        <v>4006</v>
      </c>
      <c r="H1322" s="38" t="s">
        <v>3983</v>
      </c>
      <c r="I1322" cm="1">
        <f t="array" ref="I1322">IFERROR(INDEX('ALL STUDENTS'!$A:$A, MATCH(1, ('ALL STUDENTS'!$B:$B = B1322) * ('ALL STUDENTS'!$C:$C = C1322), 0)), "NOT FOUND")</f>
        <v>740</v>
      </c>
      <c r="J1322" t="str">
        <f>IF(Table26[[#This Row],[Fee]]&gt;500,Table26[[#This Row],[Fee]],"")</f>
        <v/>
      </c>
    </row>
    <row r="1323" spans="1:10" hidden="1">
      <c r="A1323">
        <v>1322</v>
      </c>
      <c r="B1323" t="s">
        <v>2478</v>
      </c>
      <c r="C1323" t="s">
        <v>463</v>
      </c>
      <c r="D1323" t="s">
        <v>3985</v>
      </c>
      <c r="E1323">
        <v>500</v>
      </c>
      <c r="F1323" t="s">
        <v>589</v>
      </c>
      <c r="G1323" t="s">
        <v>4007</v>
      </c>
      <c r="H1323" s="38" t="s">
        <v>3983</v>
      </c>
      <c r="I1323" cm="1">
        <f t="array" ref="I1323">IFERROR(INDEX('ALL STUDENTS'!$A:$A, MATCH(1, ('ALL STUDENTS'!$B:$B = B1323) * ('ALL STUDENTS'!$C:$C = C1323), 0)), "NOT FOUND")</f>
        <v>740</v>
      </c>
      <c r="J1323" t="str">
        <f>IF(Table26[[#This Row],[Fee]]&gt;500,Table26[[#This Row],[Fee]],"")</f>
        <v/>
      </c>
    </row>
    <row r="1324" spans="1:10" hidden="1">
      <c r="A1324">
        <v>1323</v>
      </c>
      <c r="B1324" t="s">
        <v>3466</v>
      </c>
      <c r="C1324" t="s">
        <v>320</v>
      </c>
      <c r="D1324" t="s">
        <v>3981</v>
      </c>
      <c r="E1324">
        <v>500</v>
      </c>
      <c r="F1324" t="s">
        <v>589</v>
      </c>
      <c r="G1324" t="s">
        <v>4008</v>
      </c>
      <c r="H1324" s="38" t="s">
        <v>3983</v>
      </c>
      <c r="I1324" cm="1">
        <f t="array" ref="I1324">IFERROR(INDEX('ALL STUDENTS'!$A:$A, MATCH(1, ('ALL STUDENTS'!$B:$B = B1324) * ('ALL STUDENTS'!$C:$C = C1324), 0)), "NOT FOUND")</f>
        <v>2421</v>
      </c>
      <c r="J1324" t="str">
        <f>IF(Table26[[#This Row],[Fee]]&gt;500,Table26[[#This Row],[Fee]],"")</f>
        <v/>
      </c>
    </row>
    <row r="1325" spans="1:10" hidden="1">
      <c r="A1325">
        <v>1324</v>
      </c>
      <c r="B1325" t="s">
        <v>3466</v>
      </c>
      <c r="C1325" t="s">
        <v>320</v>
      </c>
      <c r="D1325" t="s">
        <v>590</v>
      </c>
      <c r="E1325">
        <v>500</v>
      </c>
      <c r="F1325" t="s">
        <v>589</v>
      </c>
      <c r="G1325" t="s">
        <v>4009</v>
      </c>
      <c r="H1325" s="38" t="s">
        <v>3983</v>
      </c>
      <c r="I1325" cm="1">
        <f t="array" ref="I1325">IFERROR(INDEX('ALL STUDENTS'!$A:$A, MATCH(1, ('ALL STUDENTS'!$B:$B = B1325) * ('ALL STUDENTS'!$C:$C = C1325), 0)), "NOT FOUND")</f>
        <v>2421</v>
      </c>
      <c r="J1325" t="str">
        <f>IF(Table26[[#This Row],[Fee]]&gt;500,Table26[[#This Row],[Fee]],"")</f>
        <v/>
      </c>
    </row>
    <row r="1326" spans="1:10" hidden="1">
      <c r="A1326">
        <v>1325</v>
      </c>
      <c r="B1326" t="s">
        <v>3466</v>
      </c>
      <c r="C1326" t="s">
        <v>320</v>
      </c>
      <c r="D1326" t="s">
        <v>3985</v>
      </c>
      <c r="E1326">
        <v>500</v>
      </c>
      <c r="F1326" t="s">
        <v>589</v>
      </c>
      <c r="G1326" t="s">
        <v>4010</v>
      </c>
      <c r="H1326" s="38" t="s">
        <v>3983</v>
      </c>
      <c r="I1326" cm="1">
        <f t="array" ref="I1326">IFERROR(INDEX('ALL STUDENTS'!$A:$A, MATCH(1, ('ALL STUDENTS'!$B:$B = B1326) * ('ALL STUDENTS'!$C:$C = C1326), 0)), "NOT FOUND")</f>
        <v>2421</v>
      </c>
      <c r="J1326" t="str">
        <f>IF(Table26[[#This Row],[Fee]]&gt;500,Table26[[#This Row],[Fee]],"")</f>
        <v/>
      </c>
    </row>
    <row r="1327" spans="1:10" hidden="1">
      <c r="A1327">
        <v>1326</v>
      </c>
      <c r="B1327" t="s">
        <v>3342</v>
      </c>
      <c r="C1327" t="s">
        <v>286</v>
      </c>
      <c r="D1327" t="s">
        <v>3981</v>
      </c>
      <c r="E1327">
        <v>500</v>
      </c>
      <c r="F1327" t="s">
        <v>589</v>
      </c>
      <c r="G1327" t="s">
        <v>4011</v>
      </c>
      <c r="H1327" s="38" t="s">
        <v>3983</v>
      </c>
      <c r="I1327" cm="1">
        <f t="array" ref="I1327">IFERROR(INDEX('ALL STUDENTS'!$A:$A, MATCH(1, ('ALL STUDENTS'!$B:$B = B1327) * ('ALL STUDENTS'!$C:$C = C1327), 0)), "NOT FOUND")</f>
        <v>2252</v>
      </c>
      <c r="J1327" t="str">
        <f>IF(Table26[[#This Row],[Fee]]&gt;500,Table26[[#This Row],[Fee]],"")</f>
        <v/>
      </c>
    </row>
    <row r="1328" spans="1:10" hidden="1">
      <c r="A1328">
        <v>1327</v>
      </c>
      <c r="B1328" t="s">
        <v>3342</v>
      </c>
      <c r="C1328" t="s">
        <v>286</v>
      </c>
      <c r="D1328" t="s">
        <v>590</v>
      </c>
      <c r="E1328">
        <v>500</v>
      </c>
      <c r="F1328" t="s">
        <v>589</v>
      </c>
      <c r="G1328" t="s">
        <v>4012</v>
      </c>
      <c r="H1328" s="38" t="s">
        <v>3983</v>
      </c>
      <c r="I1328" cm="1">
        <f t="array" ref="I1328">IFERROR(INDEX('ALL STUDENTS'!$A:$A, MATCH(1, ('ALL STUDENTS'!$B:$B = B1328) * ('ALL STUDENTS'!$C:$C = C1328), 0)), "NOT FOUND")</f>
        <v>2252</v>
      </c>
      <c r="J1328" t="str">
        <f>IF(Table26[[#This Row],[Fee]]&gt;500,Table26[[#This Row],[Fee]],"")</f>
        <v/>
      </c>
    </row>
    <row r="1329" spans="1:10" hidden="1">
      <c r="A1329">
        <v>1328</v>
      </c>
      <c r="B1329" t="s">
        <v>3342</v>
      </c>
      <c r="C1329" t="s">
        <v>286</v>
      </c>
      <c r="D1329" t="s">
        <v>3985</v>
      </c>
      <c r="E1329">
        <v>500</v>
      </c>
      <c r="F1329" t="s">
        <v>589</v>
      </c>
      <c r="G1329" t="s">
        <v>4013</v>
      </c>
      <c r="H1329" s="38" t="s">
        <v>3983</v>
      </c>
      <c r="I1329" cm="1">
        <f t="array" ref="I1329">IFERROR(INDEX('ALL STUDENTS'!$A:$A, MATCH(1, ('ALL STUDENTS'!$B:$B = B1329) * ('ALL STUDENTS'!$C:$C = C1329), 0)), "NOT FOUND")</f>
        <v>2252</v>
      </c>
      <c r="J1329" t="str">
        <f>IF(Table26[[#This Row],[Fee]]&gt;500,Table26[[#This Row],[Fee]],"")</f>
        <v/>
      </c>
    </row>
    <row r="1330" spans="1:10" hidden="1">
      <c r="A1330">
        <v>1329</v>
      </c>
      <c r="B1330" t="s">
        <v>3482</v>
      </c>
      <c r="C1330" t="s">
        <v>324</v>
      </c>
      <c r="D1330" t="s">
        <v>3981</v>
      </c>
      <c r="E1330">
        <v>500</v>
      </c>
      <c r="F1330" t="s">
        <v>589</v>
      </c>
      <c r="G1330" t="s">
        <v>4014</v>
      </c>
      <c r="H1330" s="38" t="s">
        <v>4015</v>
      </c>
      <c r="I1330" cm="1">
        <f t="array" ref="I1330">IFERROR(INDEX('ALL STUDENTS'!$A:$A, MATCH(1, ('ALL STUDENTS'!$B:$B = B1330) * ('ALL STUDENTS'!$C:$C = C1330), 0)), "NOT FOUND")</f>
        <v>2443</v>
      </c>
      <c r="J1330" t="str">
        <f>IF(Table26[[#This Row],[Fee]]&gt;500,Table26[[#This Row],[Fee]],"")</f>
        <v/>
      </c>
    </row>
    <row r="1331" spans="1:10" hidden="1">
      <c r="A1331">
        <v>1330</v>
      </c>
      <c r="B1331" t="s">
        <v>3482</v>
      </c>
      <c r="C1331" t="s">
        <v>324</v>
      </c>
      <c r="D1331" t="s">
        <v>590</v>
      </c>
      <c r="E1331">
        <v>500</v>
      </c>
      <c r="F1331" t="s">
        <v>589</v>
      </c>
      <c r="G1331" t="s">
        <v>4016</v>
      </c>
      <c r="H1331" s="38" t="s">
        <v>4015</v>
      </c>
      <c r="I1331" cm="1">
        <f t="array" ref="I1331">IFERROR(INDEX('ALL STUDENTS'!$A:$A, MATCH(1, ('ALL STUDENTS'!$B:$B = B1331) * ('ALL STUDENTS'!$C:$C = C1331), 0)), "NOT FOUND")</f>
        <v>2443</v>
      </c>
      <c r="J1331" t="str">
        <f>IF(Table26[[#This Row],[Fee]]&gt;500,Table26[[#This Row],[Fee]],"")</f>
        <v/>
      </c>
    </row>
    <row r="1332" spans="1:10" hidden="1">
      <c r="A1332">
        <v>1331</v>
      </c>
      <c r="B1332" t="s">
        <v>3482</v>
      </c>
      <c r="C1332" t="s">
        <v>324</v>
      </c>
      <c r="D1332" t="s">
        <v>3985</v>
      </c>
      <c r="E1332">
        <v>500</v>
      </c>
      <c r="F1332" t="s">
        <v>589</v>
      </c>
      <c r="G1332" t="s">
        <v>4017</v>
      </c>
      <c r="H1332" s="38" t="s">
        <v>4015</v>
      </c>
      <c r="I1332" cm="1">
        <f t="array" ref="I1332">IFERROR(INDEX('ALL STUDENTS'!$A:$A, MATCH(1, ('ALL STUDENTS'!$B:$B = B1332) * ('ALL STUDENTS'!$C:$C = C1332), 0)), "NOT FOUND")</f>
        <v>2443</v>
      </c>
      <c r="J1332" t="str">
        <f>IF(Table26[[#This Row],[Fee]]&gt;500,Table26[[#This Row],[Fee]],"")</f>
        <v/>
      </c>
    </row>
    <row r="1333" spans="1:10" hidden="1">
      <c r="A1333">
        <v>1332</v>
      </c>
      <c r="B1333" t="s">
        <v>108</v>
      </c>
      <c r="C1333" t="s">
        <v>102</v>
      </c>
      <c r="D1333" t="s">
        <v>590</v>
      </c>
      <c r="E1333">
        <v>500</v>
      </c>
      <c r="F1333" t="s">
        <v>589</v>
      </c>
      <c r="G1333" t="s">
        <v>4018</v>
      </c>
      <c r="H1333" s="38" t="s">
        <v>3983</v>
      </c>
      <c r="I1333" cm="1">
        <f t="array" ref="I1333">IFERROR(INDEX('ALL STUDENTS'!$A:$A, MATCH(1, ('ALL STUDENTS'!$B:$B = B1333) * ('ALL STUDENTS'!$C:$C = C1333), 0)), "NOT FOUND")</f>
        <v>1600</v>
      </c>
      <c r="J1333" t="str">
        <f>IF(Table26[[#This Row],[Fee]]&gt;500,Table26[[#This Row],[Fee]],"")</f>
        <v/>
      </c>
    </row>
    <row r="1334" spans="1:10" hidden="1">
      <c r="A1334">
        <v>1333</v>
      </c>
      <c r="B1334" t="s">
        <v>3189</v>
      </c>
      <c r="C1334" t="s">
        <v>221</v>
      </c>
      <c r="D1334" t="s">
        <v>3981</v>
      </c>
      <c r="E1334">
        <v>500</v>
      </c>
      <c r="F1334" t="s">
        <v>589</v>
      </c>
      <c r="G1334" t="s">
        <v>4019</v>
      </c>
      <c r="H1334" s="38" t="s">
        <v>4020</v>
      </c>
      <c r="I1334" cm="1">
        <f t="array" ref="I1334">IFERROR(INDEX('ALL STUDENTS'!$A:$A, MATCH(1, ('ALL STUDENTS'!$B:$B = B1334) * ('ALL STUDENTS'!$C:$C = C1334), 0)), "NOT FOUND")</f>
        <v>2031</v>
      </c>
      <c r="J1334" t="str">
        <f>IF(Table26[[#This Row],[Fee]]&gt;500,Table26[[#This Row],[Fee]],"")</f>
        <v/>
      </c>
    </row>
    <row r="1335" spans="1:10" hidden="1">
      <c r="A1335">
        <v>1334</v>
      </c>
      <c r="B1335" t="s">
        <v>3189</v>
      </c>
      <c r="C1335" t="s">
        <v>221</v>
      </c>
      <c r="D1335" t="s">
        <v>590</v>
      </c>
      <c r="E1335">
        <v>500</v>
      </c>
      <c r="F1335" t="s">
        <v>589</v>
      </c>
      <c r="G1335" t="s">
        <v>4021</v>
      </c>
      <c r="H1335" s="38" t="s">
        <v>4020</v>
      </c>
      <c r="I1335" cm="1">
        <f t="array" ref="I1335">IFERROR(INDEX('ALL STUDENTS'!$A:$A, MATCH(1, ('ALL STUDENTS'!$B:$B = B1335) * ('ALL STUDENTS'!$C:$C = C1335), 0)), "NOT FOUND")</f>
        <v>2031</v>
      </c>
      <c r="J1335" t="str">
        <f>IF(Table26[[#This Row],[Fee]]&gt;500,Table26[[#This Row],[Fee]],"")</f>
        <v/>
      </c>
    </row>
    <row r="1336" spans="1:10" hidden="1">
      <c r="A1336">
        <v>1335</v>
      </c>
      <c r="B1336" t="s">
        <v>3189</v>
      </c>
      <c r="C1336" t="s">
        <v>221</v>
      </c>
      <c r="D1336" t="s">
        <v>3985</v>
      </c>
      <c r="E1336">
        <v>500</v>
      </c>
      <c r="F1336" t="s">
        <v>589</v>
      </c>
      <c r="G1336" t="s">
        <v>4022</v>
      </c>
      <c r="H1336" s="38" t="s">
        <v>4020</v>
      </c>
      <c r="I1336" cm="1">
        <f t="array" ref="I1336">IFERROR(INDEX('ALL STUDENTS'!$A:$A, MATCH(1, ('ALL STUDENTS'!$B:$B = B1336) * ('ALL STUDENTS'!$C:$C = C1336), 0)), "NOT FOUND")</f>
        <v>2031</v>
      </c>
      <c r="J1336" t="str">
        <f>IF(Table26[[#This Row],[Fee]]&gt;500,Table26[[#This Row],[Fee]],"")</f>
        <v/>
      </c>
    </row>
    <row r="1337" spans="1:10" hidden="1">
      <c r="A1337">
        <v>1336</v>
      </c>
      <c r="B1337" t="s">
        <v>3636</v>
      </c>
      <c r="C1337" t="s">
        <v>159</v>
      </c>
      <c r="D1337" t="s">
        <v>3981</v>
      </c>
      <c r="E1337">
        <v>500</v>
      </c>
      <c r="F1337" t="s">
        <v>589</v>
      </c>
      <c r="G1337" t="s">
        <v>4023</v>
      </c>
      <c r="H1337" s="38" t="s">
        <v>4024</v>
      </c>
      <c r="I1337" cm="1">
        <f t="array" ref="I1337">IFERROR(INDEX('ALL STUDENTS'!$A:$A, MATCH(1, ('ALL STUDENTS'!$B:$B = B1337) * ('ALL STUDENTS'!$C:$C = C1337), 0)), "NOT FOUND")</f>
        <v>2649</v>
      </c>
      <c r="J1337" t="str">
        <f>IF(Table26[[#This Row],[Fee]]&gt;500,Table26[[#This Row],[Fee]],"")</f>
        <v/>
      </c>
    </row>
    <row r="1338" spans="1:10" hidden="1">
      <c r="A1338">
        <v>1337</v>
      </c>
      <c r="B1338" t="s">
        <v>3636</v>
      </c>
      <c r="C1338" t="s">
        <v>159</v>
      </c>
      <c r="D1338" t="s">
        <v>590</v>
      </c>
      <c r="E1338">
        <v>500</v>
      </c>
      <c r="F1338" t="s">
        <v>589</v>
      </c>
      <c r="G1338" t="s">
        <v>4025</v>
      </c>
      <c r="H1338" s="38" t="s">
        <v>4024</v>
      </c>
      <c r="I1338" cm="1">
        <f t="array" ref="I1338">IFERROR(INDEX('ALL STUDENTS'!$A:$A, MATCH(1, ('ALL STUDENTS'!$B:$B = B1338) * ('ALL STUDENTS'!$C:$C = C1338), 0)), "NOT FOUND")</f>
        <v>2649</v>
      </c>
      <c r="J1338" t="str">
        <f>IF(Table26[[#This Row],[Fee]]&gt;500,Table26[[#This Row],[Fee]],"")</f>
        <v/>
      </c>
    </row>
    <row r="1339" spans="1:10" hidden="1">
      <c r="A1339">
        <v>1338</v>
      </c>
      <c r="B1339" t="s">
        <v>3636</v>
      </c>
      <c r="C1339" t="s">
        <v>159</v>
      </c>
      <c r="D1339" t="s">
        <v>3985</v>
      </c>
      <c r="E1339">
        <v>500</v>
      </c>
      <c r="F1339" t="s">
        <v>589</v>
      </c>
      <c r="G1339" t="s">
        <v>4026</v>
      </c>
      <c r="H1339" s="38" t="s">
        <v>4024</v>
      </c>
      <c r="I1339" cm="1">
        <f t="array" ref="I1339">IFERROR(INDEX('ALL STUDENTS'!$A:$A, MATCH(1, ('ALL STUDENTS'!$B:$B = B1339) * ('ALL STUDENTS'!$C:$C = C1339), 0)), "NOT FOUND")</f>
        <v>2649</v>
      </c>
      <c r="J1339" t="str">
        <f>IF(Table26[[#This Row],[Fee]]&gt;500,Table26[[#This Row],[Fee]],"")</f>
        <v/>
      </c>
    </row>
    <row r="1340" spans="1:10" hidden="1">
      <c r="A1340">
        <v>1339</v>
      </c>
      <c r="B1340" t="s">
        <v>3491</v>
      </c>
      <c r="C1340" t="s">
        <v>324</v>
      </c>
      <c r="D1340" t="s">
        <v>3981</v>
      </c>
      <c r="E1340">
        <v>500</v>
      </c>
      <c r="F1340" t="s">
        <v>591</v>
      </c>
      <c r="G1340" t="s">
        <v>4027</v>
      </c>
      <c r="H1340" s="38" t="s">
        <v>3983</v>
      </c>
      <c r="I1340" cm="1">
        <f t="array" ref="I1340">IFERROR(INDEX('ALL STUDENTS'!$A:$A, MATCH(1, ('ALL STUDENTS'!$B:$B = B1340) * ('ALL STUDENTS'!$C:$C = C1340), 0)), "NOT FOUND")</f>
        <v>2457</v>
      </c>
      <c r="J1340" t="str">
        <f>IF(Table26[[#This Row],[Fee]]&gt;500,Table26[[#This Row],[Fee]],"")</f>
        <v/>
      </c>
    </row>
    <row r="1341" spans="1:10" hidden="1">
      <c r="A1341">
        <v>1340</v>
      </c>
      <c r="B1341" t="s">
        <v>3491</v>
      </c>
      <c r="C1341" t="s">
        <v>324</v>
      </c>
      <c r="D1341" t="s">
        <v>590</v>
      </c>
      <c r="E1341">
        <v>500</v>
      </c>
      <c r="F1341" t="s">
        <v>591</v>
      </c>
      <c r="G1341" t="s">
        <v>4028</v>
      </c>
      <c r="H1341" s="38" t="s">
        <v>3983</v>
      </c>
      <c r="I1341" cm="1">
        <f t="array" ref="I1341">IFERROR(INDEX('ALL STUDENTS'!$A:$A, MATCH(1, ('ALL STUDENTS'!$B:$B = B1341) * ('ALL STUDENTS'!$C:$C = C1341), 0)), "NOT FOUND")</f>
        <v>2457</v>
      </c>
      <c r="J1341" t="str">
        <f>IF(Table26[[#This Row],[Fee]]&gt;500,Table26[[#This Row],[Fee]],"")</f>
        <v/>
      </c>
    </row>
    <row r="1342" spans="1:10" hidden="1">
      <c r="A1342">
        <v>1341</v>
      </c>
      <c r="B1342" t="s">
        <v>3491</v>
      </c>
      <c r="C1342" t="s">
        <v>324</v>
      </c>
      <c r="D1342" t="s">
        <v>3985</v>
      </c>
      <c r="E1342">
        <v>500</v>
      </c>
      <c r="F1342" t="s">
        <v>591</v>
      </c>
      <c r="G1342" t="s">
        <v>4029</v>
      </c>
      <c r="H1342" s="38" t="s">
        <v>3983</v>
      </c>
      <c r="I1342" cm="1">
        <f t="array" ref="I1342">IFERROR(INDEX('ALL STUDENTS'!$A:$A, MATCH(1, ('ALL STUDENTS'!$B:$B = B1342) * ('ALL STUDENTS'!$C:$C = C1342), 0)), "NOT FOUND")</f>
        <v>2457</v>
      </c>
      <c r="J1342" t="str">
        <f>IF(Table26[[#This Row],[Fee]]&gt;500,Table26[[#This Row],[Fee]],"")</f>
        <v/>
      </c>
    </row>
    <row r="1343" spans="1:10" hidden="1">
      <c r="A1343">
        <v>1342</v>
      </c>
      <c r="B1343" t="s">
        <v>2120</v>
      </c>
      <c r="C1343" t="s">
        <v>556</v>
      </c>
      <c r="D1343" t="s">
        <v>3981</v>
      </c>
      <c r="E1343">
        <v>500</v>
      </c>
      <c r="F1343" t="s">
        <v>591</v>
      </c>
      <c r="G1343" t="s">
        <v>4030</v>
      </c>
      <c r="H1343" s="38" t="s">
        <v>3983</v>
      </c>
      <c r="I1343" cm="1">
        <f t="array" ref="I1343">IFERROR(INDEX('ALL STUDENTS'!$A:$A, MATCH(1, ('ALL STUDENTS'!$B:$B = B1343) * ('ALL STUDENTS'!$C:$C = C1343), 0)), "NOT FOUND")</f>
        <v>217</v>
      </c>
      <c r="J1343" t="str">
        <f>IF(Table26[[#This Row],[Fee]]&gt;500,Table26[[#This Row],[Fee]],"")</f>
        <v/>
      </c>
    </row>
    <row r="1344" spans="1:10" hidden="1">
      <c r="A1344">
        <v>1343</v>
      </c>
      <c r="B1344" t="s">
        <v>1977</v>
      </c>
      <c r="C1344" t="s">
        <v>515</v>
      </c>
      <c r="D1344" t="s">
        <v>3981</v>
      </c>
      <c r="E1344">
        <v>500</v>
      </c>
      <c r="F1344" t="s">
        <v>591</v>
      </c>
      <c r="G1344" t="s">
        <v>4031</v>
      </c>
      <c r="H1344" s="38" t="s">
        <v>3999</v>
      </c>
      <c r="I1344" cm="1">
        <f t="array" ref="I1344">IFERROR(INDEX('ALL STUDENTS'!$A:$A, MATCH(1, ('ALL STUDENTS'!$B:$B = B1344) * ('ALL STUDENTS'!$C:$C = C1344), 0)), "NOT FOUND")</f>
        <v>32</v>
      </c>
      <c r="J1344" t="str">
        <f>IF(Table26[[#This Row],[Fee]]&gt;500,Table26[[#This Row],[Fee]],"")</f>
        <v/>
      </c>
    </row>
    <row r="1345" spans="1:10" hidden="1">
      <c r="A1345">
        <v>1344</v>
      </c>
      <c r="B1345" t="s">
        <v>1977</v>
      </c>
      <c r="C1345" t="s">
        <v>515</v>
      </c>
      <c r="D1345" t="s">
        <v>590</v>
      </c>
      <c r="E1345">
        <v>500</v>
      </c>
      <c r="F1345" t="s">
        <v>591</v>
      </c>
      <c r="G1345" t="s">
        <v>4032</v>
      </c>
      <c r="H1345" s="38" t="s">
        <v>3999</v>
      </c>
      <c r="I1345" cm="1">
        <f t="array" ref="I1345">IFERROR(INDEX('ALL STUDENTS'!$A:$A, MATCH(1, ('ALL STUDENTS'!$B:$B = B1345) * ('ALL STUDENTS'!$C:$C = C1345), 0)), "NOT FOUND")</f>
        <v>32</v>
      </c>
      <c r="J1345" t="str">
        <f>IF(Table26[[#This Row],[Fee]]&gt;500,Table26[[#This Row],[Fee]],"")</f>
        <v/>
      </c>
    </row>
    <row r="1346" spans="1:10" hidden="1">
      <c r="A1346">
        <v>1345</v>
      </c>
      <c r="B1346" t="s">
        <v>1977</v>
      </c>
      <c r="C1346" t="s">
        <v>515</v>
      </c>
      <c r="D1346" t="s">
        <v>3985</v>
      </c>
      <c r="E1346">
        <v>500</v>
      </c>
      <c r="F1346" t="s">
        <v>591</v>
      </c>
      <c r="G1346" t="s">
        <v>4033</v>
      </c>
      <c r="H1346" s="38" t="s">
        <v>3999</v>
      </c>
      <c r="I1346" cm="1">
        <f t="array" ref="I1346">IFERROR(INDEX('ALL STUDENTS'!$A:$A, MATCH(1, ('ALL STUDENTS'!$B:$B = B1346) * ('ALL STUDENTS'!$C:$C = C1346), 0)), "NOT FOUND")</f>
        <v>32</v>
      </c>
      <c r="J1346" t="str">
        <f>IF(Table26[[#This Row],[Fee]]&gt;500,Table26[[#This Row],[Fee]],"")</f>
        <v/>
      </c>
    </row>
    <row r="1347" spans="1:10" hidden="1">
      <c r="A1347">
        <v>1346</v>
      </c>
      <c r="B1347" t="s">
        <v>2484</v>
      </c>
      <c r="C1347" t="s">
        <v>356</v>
      </c>
      <c r="D1347" t="s">
        <v>3981</v>
      </c>
      <c r="E1347">
        <v>500</v>
      </c>
      <c r="F1347" t="s">
        <v>591</v>
      </c>
      <c r="G1347" t="s">
        <v>4034</v>
      </c>
      <c r="H1347" s="38" t="s">
        <v>3999</v>
      </c>
      <c r="I1347" cm="1">
        <f t="array" ref="I1347">IFERROR(INDEX('ALL STUDENTS'!$A:$A, MATCH(1, ('ALL STUDENTS'!$B:$B = B1347) * ('ALL STUDENTS'!$C:$C = C1347), 0)), "NOT FOUND")</f>
        <v>751</v>
      </c>
      <c r="J1347" t="str">
        <f>IF(Table26[[#This Row],[Fee]]&gt;500,Table26[[#This Row],[Fee]],"")</f>
        <v/>
      </c>
    </row>
    <row r="1348" spans="1:10" hidden="1">
      <c r="A1348">
        <v>1347</v>
      </c>
      <c r="B1348" t="s">
        <v>2484</v>
      </c>
      <c r="C1348" t="s">
        <v>356</v>
      </c>
      <c r="D1348" t="s">
        <v>590</v>
      </c>
      <c r="E1348">
        <v>500</v>
      </c>
      <c r="F1348" t="s">
        <v>591</v>
      </c>
      <c r="G1348" t="s">
        <v>4035</v>
      </c>
      <c r="H1348" s="38" t="s">
        <v>3999</v>
      </c>
      <c r="I1348" cm="1">
        <f t="array" ref="I1348">IFERROR(INDEX('ALL STUDENTS'!$A:$A, MATCH(1, ('ALL STUDENTS'!$B:$B = B1348) * ('ALL STUDENTS'!$C:$C = C1348), 0)), "NOT FOUND")</f>
        <v>751</v>
      </c>
      <c r="J1348" t="str">
        <f>IF(Table26[[#This Row],[Fee]]&gt;500,Table26[[#This Row],[Fee]],"")</f>
        <v/>
      </c>
    </row>
    <row r="1349" spans="1:10" hidden="1">
      <c r="A1349">
        <v>1348</v>
      </c>
      <c r="B1349" t="s">
        <v>2484</v>
      </c>
      <c r="C1349" t="s">
        <v>356</v>
      </c>
      <c r="D1349" t="s">
        <v>3985</v>
      </c>
      <c r="E1349">
        <v>500</v>
      </c>
      <c r="F1349" t="s">
        <v>591</v>
      </c>
      <c r="G1349" t="s">
        <v>4036</v>
      </c>
      <c r="H1349" s="38" t="s">
        <v>3999</v>
      </c>
      <c r="I1349" cm="1">
        <f t="array" ref="I1349">IFERROR(INDEX('ALL STUDENTS'!$A:$A, MATCH(1, ('ALL STUDENTS'!$B:$B = B1349) * ('ALL STUDENTS'!$C:$C = C1349), 0)), "NOT FOUND")</f>
        <v>751</v>
      </c>
      <c r="J1349" t="str">
        <f>IF(Table26[[#This Row],[Fee]]&gt;500,Table26[[#This Row],[Fee]],"")</f>
        <v/>
      </c>
    </row>
    <row r="1350" spans="1:10" hidden="1">
      <c r="A1350">
        <v>1349</v>
      </c>
      <c r="B1350" t="s">
        <v>394</v>
      </c>
      <c r="C1350" t="s">
        <v>386</v>
      </c>
      <c r="D1350" t="s">
        <v>590</v>
      </c>
      <c r="E1350">
        <v>500</v>
      </c>
      <c r="F1350" t="s">
        <v>589</v>
      </c>
      <c r="G1350" t="s">
        <v>4037</v>
      </c>
      <c r="H1350" s="38" t="s">
        <v>4038</v>
      </c>
      <c r="I1350" cm="1">
        <f t="array" ref="I1350">IFERROR(INDEX('ALL STUDENTS'!$A:$A, MATCH(1, ('ALL STUDENTS'!$B:$B = B1350) * ('ALL STUDENTS'!$C:$C = C1350), 0)), "NOT FOUND")</f>
        <v>909</v>
      </c>
      <c r="J1350" t="str">
        <f>IF(Table26[[#This Row],[Fee]]&gt;500,Table26[[#This Row],[Fee]],"")</f>
        <v/>
      </c>
    </row>
    <row r="1351" spans="1:10" hidden="1">
      <c r="A1351">
        <v>1350</v>
      </c>
      <c r="B1351" t="s">
        <v>3810</v>
      </c>
      <c r="C1351" t="s">
        <v>58</v>
      </c>
      <c r="D1351" t="s">
        <v>3981</v>
      </c>
      <c r="E1351">
        <v>500</v>
      </c>
      <c r="F1351" t="s">
        <v>589</v>
      </c>
      <c r="G1351" t="s">
        <v>4039</v>
      </c>
      <c r="H1351" s="38" t="s">
        <v>4038</v>
      </c>
      <c r="I1351" cm="1">
        <f t="array" ref="I1351">IFERROR(INDEX('ALL STUDENTS'!$A:$A, MATCH(1, ('ALL STUDENTS'!$B:$B = B1351) * ('ALL STUDENTS'!$C:$C = C1351), 0)), "NOT FOUND")</f>
        <v>3158</v>
      </c>
      <c r="J1351" t="str">
        <f>IF(Table26[[#This Row],[Fee]]&gt;500,Table26[[#This Row],[Fee]],"")</f>
        <v/>
      </c>
    </row>
    <row r="1352" spans="1:10" hidden="1">
      <c r="A1352">
        <v>1351</v>
      </c>
      <c r="B1352" t="s">
        <v>2826</v>
      </c>
      <c r="C1352" t="s">
        <v>68</v>
      </c>
      <c r="D1352" t="s">
        <v>3981</v>
      </c>
      <c r="E1352">
        <v>500</v>
      </c>
      <c r="F1352" t="s">
        <v>591</v>
      </c>
      <c r="G1352" t="s">
        <v>4040</v>
      </c>
      <c r="H1352" s="38" t="s">
        <v>3980</v>
      </c>
      <c r="I1352" cm="1">
        <f t="array" ref="I1352">IFERROR(INDEX('ALL STUDENTS'!$A:$A, MATCH(1, ('ALL STUDENTS'!$B:$B = B1352) * ('ALL STUDENTS'!$C:$C = C1352), 0)), "NOT FOUND")</f>
        <v>1517</v>
      </c>
      <c r="J1352" t="str">
        <f>IF(Table26[[#This Row],[Fee]]&gt;500,Table26[[#This Row],[Fee]],"")</f>
        <v/>
      </c>
    </row>
    <row r="1353" spans="1:10" hidden="1">
      <c r="A1353">
        <v>1352</v>
      </c>
      <c r="B1353" t="s">
        <v>2826</v>
      </c>
      <c r="C1353" t="s">
        <v>68</v>
      </c>
      <c r="D1353" t="s">
        <v>590</v>
      </c>
      <c r="E1353">
        <v>500</v>
      </c>
      <c r="F1353" t="s">
        <v>591</v>
      </c>
      <c r="G1353" t="s">
        <v>4041</v>
      </c>
      <c r="H1353" s="38" t="s">
        <v>3980</v>
      </c>
      <c r="I1353" cm="1">
        <f t="array" ref="I1353">IFERROR(INDEX('ALL STUDENTS'!$A:$A, MATCH(1, ('ALL STUDENTS'!$B:$B = B1353) * ('ALL STUDENTS'!$C:$C = C1353), 0)), "NOT FOUND")</f>
        <v>1517</v>
      </c>
      <c r="J1353" t="str">
        <f>IF(Table26[[#This Row],[Fee]]&gt;500,Table26[[#This Row],[Fee]],"")</f>
        <v/>
      </c>
    </row>
    <row r="1354" spans="1:10" hidden="1">
      <c r="A1354">
        <v>1353</v>
      </c>
      <c r="B1354" t="s">
        <v>2826</v>
      </c>
      <c r="C1354" t="s">
        <v>68</v>
      </c>
      <c r="D1354" t="s">
        <v>3985</v>
      </c>
      <c r="E1354">
        <v>500</v>
      </c>
      <c r="F1354" t="s">
        <v>591</v>
      </c>
      <c r="G1354" t="s">
        <v>4042</v>
      </c>
      <c r="H1354" s="38" t="s">
        <v>3980</v>
      </c>
      <c r="I1354" cm="1">
        <f t="array" ref="I1354">IFERROR(INDEX('ALL STUDENTS'!$A:$A, MATCH(1, ('ALL STUDENTS'!$B:$B = B1354) * ('ALL STUDENTS'!$C:$C = C1354), 0)), "NOT FOUND")</f>
        <v>1517</v>
      </c>
      <c r="J1354" t="str">
        <f>IF(Table26[[#This Row],[Fee]]&gt;500,Table26[[#This Row],[Fee]],"")</f>
        <v/>
      </c>
    </row>
    <row r="1355" spans="1:10" hidden="1">
      <c r="A1355">
        <v>1354</v>
      </c>
      <c r="B1355" t="s">
        <v>2607</v>
      </c>
      <c r="C1355" t="s">
        <v>397</v>
      </c>
      <c r="D1355" t="s">
        <v>3981</v>
      </c>
      <c r="E1355">
        <v>500</v>
      </c>
      <c r="F1355" t="s">
        <v>591</v>
      </c>
      <c r="G1355" t="s">
        <v>4043</v>
      </c>
      <c r="H1355" s="38" t="s">
        <v>3980</v>
      </c>
      <c r="I1355" cm="1">
        <f t="array" ref="I1355">IFERROR(INDEX('ALL STUDENTS'!$A:$A, MATCH(1, ('ALL STUDENTS'!$B:$B = B1355) * ('ALL STUDENTS'!$C:$C = C1355), 0)), "NOT FOUND")</f>
        <v>936</v>
      </c>
      <c r="J1355" t="str">
        <f>IF(Table26[[#This Row],[Fee]]&gt;500,Table26[[#This Row],[Fee]],"")</f>
        <v/>
      </c>
    </row>
    <row r="1356" spans="1:10" hidden="1">
      <c r="A1356">
        <v>1355</v>
      </c>
      <c r="B1356" t="s">
        <v>2607</v>
      </c>
      <c r="C1356" t="s">
        <v>397</v>
      </c>
      <c r="D1356" t="s">
        <v>590</v>
      </c>
      <c r="E1356">
        <v>500</v>
      </c>
      <c r="F1356" t="s">
        <v>591</v>
      </c>
      <c r="G1356" t="s">
        <v>4044</v>
      </c>
      <c r="H1356" s="38" t="s">
        <v>3980</v>
      </c>
      <c r="I1356" cm="1">
        <f t="array" ref="I1356">IFERROR(INDEX('ALL STUDENTS'!$A:$A, MATCH(1, ('ALL STUDENTS'!$B:$B = B1356) * ('ALL STUDENTS'!$C:$C = C1356), 0)), "NOT FOUND")</f>
        <v>936</v>
      </c>
      <c r="J1356" t="str">
        <f>IF(Table26[[#This Row],[Fee]]&gt;500,Table26[[#This Row],[Fee]],"")</f>
        <v/>
      </c>
    </row>
    <row r="1357" spans="1:10" hidden="1">
      <c r="A1357">
        <v>1356</v>
      </c>
      <c r="B1357" t="s">
        <v>2607</v>
      </c>
      <c r="C1357" t="s">
        <v>397</v>
      </c>
      <c r="D1357" t="s">
        <v>3985</v>
      </c>
      <c r="E1357">
        <v>500</v>
      </c>
      <c r="F1357" t="s">
        <v>591</v>
      </c>
      <c r="G1357" t="s">
        <v>4045</v>
      </c>
      <c r="H1357" s="38" t="s">
        <v>3980</v>
      </c>
      <c r="I1357" cm="1">
        <f t="array" ref="I1357">IFERROR(INDEX('ALL STUDENTS'!$A:$A, MATCH(1, ('ALL STUDENTS'!$B:$B = B1357) * ('ALL STUDENTS'!$C:$C = C1357), 0)), "NOT FOUND")</f>
        <v>936</v>
      </c>
      <c r="J1357" t="str">
        <f>IF(Table26[[#This Row],[Fee]]&gt;500,Table26[[#This Row],[Fee]],"")</f>
        <v/>
      </c>
    </row>
    <row r="1358" spans="1:10" hidden="1">
      <c r="A1358">
        <v>1357</v>
      </c>
      <c r="B1358" t="s">
        <v>3792</v>
      </c>
      <c r="C1358" t="s">
        <v>58</v>
      </c>
      <c r="D1358" t="s">
        <v>3981</v>
      </c>
      <c r="E1358">
        <v>500</v>
      </c>
      <c r="F1358" t="s">
        <v>589</v>
      </c>
      <c r="G1358" t="s">
        <v>4046</v>
      </c>
      <c r="H1358" s="38" t="s">
        <v>3983</v>
      </c>
      <c r="I1358" cm="1">
        <f t="array" ref="I1358">IFERROR(INDEX('ALL STUDENTS'!$A:$A, MATCH(1, ('ALL STUDENTS'!$B:$B = B1358) * ('ALL STUDENTS'!$C:$C = C1358), 0)), "NOT FOUND")</f>
        <v>3138</v>
      </c>
      <c r="J1358" t="str">
        <f>IF(Table26[[#This Row],[Fee]]&gt;500,Table26[[#This Row],[Fee]],"")</f>
        <v/>
      </c>
    </row>
    <row r="1359" spans="1:10" hidden="1">
      <c r="A1359">
        <v>1358</v>
      </c>
      <c r="B1359" t="s">
        <v>2045</v>
      </c>
      <c r="C1359" t="s">
        <v>526</v>
      </c>
      <c r="D1359" t="s">
        <v>3981</v>
      </c>
      <c r="E1359">
        <v>500</v>
      </c>
      <c r="F1359" t="s">
        <v>589</v>
      </c>
      <c r="G1359" t="s">
        <v>4047</v>
      </c>
      <c r="H1359" s="38" t="s">
        <v>3983</v>
      </c>
      <c r="I1359" cm="1">
        <f t="array" ref="I1359">IFERROR(INDEX('ALL STUDENTS'!$A:$A, MATCH(1, ('ALL STUDENTS'!$B:$B = B1359) * ('ALL STUDENTS'!$C:$C = C1359), 0)), "NOT FOUND")</f>
        <v>123</v>
      </c>
      <c r="J1359" t="str">
        <f>IF(Table26[[#This Row],[Fee]]&gt;500,Table26[[#This Row],[Fee]],"")</f>
        <v/>
      </c>
    </row>
    <row r="1360" spans="1:10" hidden="1">
      <c r="A1360">
        <v>1359</v>
      </c>
      <c r="B1360" t="s">
        <v>2511</v>
      </c>
      <c r="C1360" t="s">
        <v>356</v>
      </c>
      <c r="D1360" t="s">
        <v>3981</v>
      </c>
      <c r="E1360">
        <v>500</v>
      </c>
      <c r="F1360" t="s">
        <v>589</v>
      </c>
      <c r="G1360" t="s">
        <v>4048</v>
      </c>
      <c r="H1360" s="38" t="s">
        <v>3999</v>
      </c>
      <c r="I1360" cm="1">
        <f t="array" ref="I1360">IFERROR(INDEX('ALL STUDENTS'!$A:$A, MATCH(1, ('ALL STUDENTS'!$B:$B = B1360) * ('ALL STUDENTS'!$C:$C = C1360), 0)), "NOT FOUND")</f>
        <v>791</v>
      </c>
      <c r="J1360" t="str">
        <f>IF(Table26[[#This Row],[Fee]]&gt;500,Table26[[#This Row],[Fee]],"")</f>
        <v/>
      </c>
    </row>
    <row r="1361" spans="1:10" hidden="1">
      <c r="A1361">
        <v>1360</v>
      </c>
      <c r="B1361" t="s">
        <v>2632</v>
      </c>
      <c r="C1361" t="s">
        <v>409</v>
      </c>
      <c r="D1361" t="s">
        <v>3981</v>
      </c>
      <c r="E1361">
        <v>500</v>
      </c>
      <c r="F1361" t="s">
        <v>589</v>
      </c>
      <c r="G1361" t="s">
        <v>4049</v>
      </c>
      <c r="H1361" s="38" t="s">
        <v>4020</v>
      </c>
      <c r="I1361" cm="1">
        <f t="array" ref="I1361">IFERROR(INDEX('ALL STUDENTS'!$A:$A, MATCH(1, ('ALL STUDENTS'!$B:$B = B1361) * ('ALL STUDENTS'!$C:$C = C1361), 0)), "NOT FOUND")</f>
        <v>976</v>
      </c>
      <c r="J1361" t="str">
        <f>IF(Table26[[#This Row],[Fee]]&gt;500,Table26[[#This Row],[Fee]],"")</f>
        <v/>
      </c>
    </row>
    <row r="1362" spans="1:10" hidden="1">
      <c r="A1362">
        <v>1361</v>
      </c>
      <c r="B1362" t="s">
        <v>2632</v>
      </c>
      <c r="C1362" t="s">
        <v>409</v>
      </c>
      <c r="D1362" t="s">
        <v>590</v>
      </c>
      <c r="E1362">
        <v>500</v>
      </c>
      <c r="F1362" t="s">
        <v>589</v>
      </c>
      <c r="G1362" t="s">
        <v>4050</v>
      </c>
      <c r="H1362" s="38" t="s">
        <v>4020</v>
      </c>
      <c r="I1362" cm="1">
        <f t="array" ref="I1362">IFERROR(INDEX('ALL STUDENTS'!$A:$A, MATCH(1, ('ALL STUDENTS'!$B:$B = B1362) * ('ALL STUDENTS'!$C:$C = C1362), 0)), "NOT FOUND")</f>
        <v>976</v>
      </c>
      <c r="J1362" t="str">
        <f>IF(Table26[[#This Row],[Fee]]&gt;500,Table26[[#This Row],[Fee]],"")</f>
        <v/>
      </c>
    </row>
    <row r="1363" spans="1:10" hidden="1">
      <c r="A1363">
        <v>1362</v>
      </c>
      <c r="B1363" t="s">
        <v>2632</v>
      </c>
      <c r="C1363" t="s">
        <v>409</v>
      </c>
      <c r="D1363" t="s">
        <v>3985</v>
      </c>
      <c r="E1363">
        <v>500</v>
      </c>
      <c r="F1363" t="s">
        <v>589</v>
      </c>
      <c r="G1363" t="s">
        <v>4051</v>
      </c>
      <c r="H1363" s="38" t="s">
        <v>4020</v>
      </c>
      <c r="I1363" cm="1">
        <f t="array" ref="I1363">IFERROR(INDEX('ALL STUDENTS'!$A:$A, MATCH(1, ('ALL STUDENTS'!$B:$B = B1363) * ('ALL STUDENTS'!$C:$C = C1363), 0)), "NOT FOUND")</f>
        <v>976</v>
      </c>
      <c r="J1363" t="str">
        <f>IF(Table26[[#This Row],[Fee]]&gt;500,Table26[[#This Row],[Fee]],"")</f>
        <v/>
      </c>
    </row>
    <row r="1364" spans="1:10" hidden="1">
      <c r="A1364">
        <v>1363</v>
      </c>
      <c r="B1364" t="s">
        <v>3814</v>
      </c>
      <c r="C1364" t="s">
        <v>58</v>
      </c>
      <c r="D1364" t="s">
        <v>3981</v>
      </c>
      <c r="E1364">
        <v>500</v>
      </c>
      <c r="F1364" t="s">
        <v>589</v>
      </c>
      <c r="G1364" t="s">
        <v>4052</v>
      </c>
      <c r="H1364" s="38" t="s">
        <v>4038</v>
      </c>
      <c r="I1364" cm="1">
        <f t="array" ref="I1364">IFERROR(INDEX('ALL STUDENTS'!$A:$A, MATCH(1, ('ALL STUDENTS'!$B:$B = B1364) * ('ALL STUDENTS'!$C:$C = C1364), 0)), "NOT FOUND")</f>
        <v>3161</v>
      </c>
      <c r="J1364" t="str">
        <f>IF(Table26[[#This Row],[Fee]]&gt;500,Table26[[#This Row],[Fee]],"")</f>
        <v/>
      </c>
    </row>
    <row r="1365" spans="1:10" hidden="1">
      <c r="A1365">
        <v>1364</v>
      </c>
      <c r="B1365" t="s">
        <v>78</v>
      </c>
      <c r="C1365" t="s">
        <v>68</v>
      </c>
      <c r="D1365" t="s">
        <v>590</v>
      </c>
      <c r="E1365">
        <v>500</v>
      </c>
      <c r="F1365" t="s">
        <v>589</v>
      </c>
      <c r="G1365" t="s">
        <v>4053</v>
      </c>
      <c r="H1365" s="38" t="s">
        <v>4038</v>
      </c>
      <c r="I1365" cm="1">
        <f t="array" ref="I1365">IFERROR(INDEX('ALL STUDENTS'!$A:$A, MATCH(1, ('ALL STUDENTS'!$B:$B = B1365) * ('ALL STUDENTS'!$C:$C = C1365), 0)), "NOT FOUND")</f>
        <v>1514</v>
      </c>
      <c r="J1365" t="str">
        <f>IF(Table26[[#This Row],[Fee]]&gt;500,Table26[[#This Row],[Fee]],"")</f>
        <v/>
      </c>
    </row>
    <row r="1366" spans="1:10" hidden="1">
      <c r="A1366">
        <v>1365</v>
      </c>
      <c r="B1366" t="s">
        <v>262</v>
      </c>
      <c r="C1366" t="s">
        <v>252</v>
      </c>
      <c r="D1366" t="s">
        <v>590</v>
      </c>
      <c r="E1366">
        <v>500</v>
      </c>
      <c r="F1366" t="s">
        <v>589</v>
      </c>
      <c r="G1366" t="s">
        <v>4054</v>
      </c>
      <c r="H1366" s="38" t="s">
        <v>4038</v>
      </c>
      <c r="I1366" cm="1">
        <f t="array" ref="I1366">IFERROR(INDEX('ALL STUDENTS'!$A:$A, MATCH(1, ('ALL STUDENTS'!$B:$B = B1366) * ('ALL STUDENTS'!$C:$C = C1366), 0)), "NOT FOUND")</f>
        <v>2126</v>
      </c>
      <c r="J1366" t="str">
        <f>IF(Table26[[#This Row],[Fee]]&gt;500,Table26[[#This Row],[Fee]],"")</f>
        <v/>
      </c>
    </row>
    <row r="1367" spans="1:10" hidden="1">
      <c r="A1367">
        <v>1366</v>
      </c>
      <c r="B1367" t="s">
        <v>3529</v>
      </c>
      <c r="C1367" t="s">
        <v>340</v>
      </c>
      <c r="D1367" t="s">
        <v>3981</v>
      </c>
      <c r="E1367">
        <v>500</v>
      </c>
      <c r="F1367" t="s">
        <v>589</v>
      </c>
      <c r="G1367" t="s">
        <v>4055</v>
      </c>
      <c r="H1367" s="38" t="s">
        <v>4056</v>
      </c>
      <c r="I1367" cm="1">
        <f t="array" ref="I1367">IFERROR(INDEX('ALL STUDENTS'!$A:$A, MATCH(1, ('ALL STUDENTS'!$B:$B = B1367) * ('ALL STUDENTS'!$C:$C = C1367), 0)), "NOT FOUND")</f>
        <v>2512</v>
      </c>
      <c r="J1367" t="str">
        <f>IF(Table26[[#This Row],[Fee]]&gt;500,Table26[[#This Row],[Fee]],"")</f>
        <v/>
      </c>
    </row>
    <row r="1368" spans="1:10" hidden="1">
      <c r="A1368">
        <v>1367</v>
      </c>
      <c r="B1368" t="s">
        <v>3043</v>
      </c>
      <c r="C1368" t="s">
        <v>171</v>
      </c>
      <c r="D1368" t="s">
        <v>3981</v>
      </c>
      <c r="E1368">
        <v>500</v>
      </c>
      <c r="F1368" t="s">
        <v>589</v>
      </c>
      <c r="G1368" t="s">
        <v>4057</v>
      </c>
      <c r="H1368" s="38" t="s">
        <v>4058</v>
      </c>
      <c r="I1368" cm="1">
        <f t="array" ref="I1368">IFERROR(INDEX('ALL STUDENTS'!$A:$A, MATCH(1, ('ALL STUDENTS'!$B:$B = B1368) * ('ALL STUDENTS'!$C:$C = C1368), 0)), "NOT FOUND")</f>
        <v>1838</v>
      </c>
      <c r="J1368" t="str">
        <f>IF(Table26[[#This Row],[Fee]]&gt;500,Table26[[#This Row],[Fee]],"")</f>
        <v/>
      </c>
    </row>
    <row r="1369" spans="1:10" hidden="1">
      <c r="A1369">
        <v>1368</v>
      </c>
      <c r="B1369" t="s">
        <v>3043</v>
      </c>
      <c r="C1369" t="s">
        <v>171</v>
      </c>
      <c r="D1369" t="s">
        <v>590</v>
      </c>
      <c r="E1369">
        <v>500</v>
      </c>
      <c r="F1369" t="s">
        <v>589</v>
      </c>
      <c r="G1369" t="s">
        <v>4059</v>
      </c>
      <c r="H1369" s="38" t="s">
        <v>4058</v>
      </c>
      <c r="I1369" cm="1">
        <f t="array" ref="I1369">IFERROR(INDEX('ALL STUDENTS'!$A:$A, MATCH(1, ('ALL STUDENTS'!$B:$B = B1369) * ('ALL STUDENTS'!$C:$C = C1369), 0)), "NOT FOUND")</f>
        <v>1838</v>
      </c>
      <c r="J1369" t="str">
        <f>IF(Table26[[#This Row],[Fee]]&gt;500,Table26[[#This Row],[Fee]],"")</f>
        <v/>
      </c>
    </row>
    <row r="1370" spans="1:10" hidden="1">
      <c r="A1370">
        <v>1369</v>
      </c>
      <c r="B1370" t="s">
        <v>3043</v>
      </c>
      <c r="C1370" t="s">
        <v>171</v>
      </c>
      <c r="D1370" t="s">
        <v>3985</v>
      </c>
      <c r="E1370">
        <v>500</v>
      </c>
      <c r="F1370" t="s">
        <v>589</v>
      </c>
      <c r="G1370" t="s">
        <v>4060</v>
      </c>
      <c r="H1370" s="38" t="s">
        <v>4058</v>
      </c>
      <c r="I1370" cm="1">
        <f t="array" ref="I1370">IFERROR(INDEX('ALL STUDENTS'!$A:$A, MATCH(1, ('ALL STUDENTS'!$B:$B = B1370) * ('ALL STUDENTS'!$C:$C = C1370), 0)), "NOT FOUND")</f>
        <v>1838</v>
      </c>
      <c r="J1370" t="str">
        <f>IF(Table26[[#This Row],[Fee]]&gt;500,Table26[[#This Row],[Fee]],"")</f>
        <v/>
      </c>
    </row>
    <row r="1371" spans="1:10" hidden="1">
      <c r="A1371">
        <v>1370</v>
      </c>
      <c r="B1371" t="s">
        <v>2259</v>
      </c>
      <c r="C1371" t="s">
        <v>499</v>
      </c>
      <c r="D1371" t="s">
        <v>3981</v>
      </c>
      <c r="E1371">
        <v>500</v>
      </c>
      <c r="F1371" t="s">
        <v>589</v>
      </c>
      <c r="G1371" t="s">
        <v>4061</v>
      </c>
      <c r="H1371" s="38" t="s">
        <v>4058</v>
      </c>
      <c r="I1371" cm="1">
        <f t="array" ref="I1371">IFERROR(INDEX('ALL STUDENTS'!$A:$A, MATCH(1, ('ALL STUDENTS'!$B:$B = B1371) * ('ALL STUDENTS'!$C:$C = C1371), 0)), "NOT FOUND")</f>
        <v>402</v>
      </c>
      <c r="J1371" t="str">
        <f>IF(Table26[[#This Row],[Fee]]&gt;500,Table26[[#This Row],[Fee]],"")</f>
        <v/>
      </c>
    </row>
    <row r="1372" spans="1:10" hidden="1">
      <c r="A1372">
        <v>1371</v>
      </c>
      <c r="B1372" t="s">
        <v>2259</v>
      </c>
      <c r="C1372" t="s">
        <v>499</v>
      </c>
      <c r="D1372" t="s">
        <v>590</v>
      </c>
      <c r="E1372">
        <v>500</v>
      </c>
      <c r="F1372" t="s">
        <v>589</v>
      </c>
      <c r="G1372" t="s">
        <v>4062</v>
      </c>
      <c r="H1372" s="38" t="s">
        <v>4058</v>
      </c>
      <c r="I1372" cm="1">
        <f t="array" ref="I1372">IFERROR(INDEX('ALL STUDENTS'!$A:$A, MATCH(1, ('ALL STUDENTS'!$B:$B = B1372) * ('ALL STUDENTS'!$C:$C = C1372), 0)), "NOT FOUND")</f>
        <v>402</v>
      </c>
      <c r="J1372" t="str">
        <f>IF(Table26[[#This Row],[Fee]]&gt;500,Table26[[#This Row],[Fee]],"")</f>
        <v/>
      </c>
    </row>
    <row r="1373" spans="1:10" hidden="1">
      <c r="A1373">
        <v>1372</v>
      </c>
      <c r="B1373" t="s">
        <v>2259</v>
      </c>
      <c r="C1373" t="s">
        <v>499</v>
      </c>
      <c r="D1373" t="s">
        <v>3985</v>
      </c>
      <c r="E1373">
        <v>500</v>
      </c>
      <c r="F1373" t="s">
        <v>589</v>
      </c>
      <c r="G1373" t="s">
        <v>4063</v>
      </c>
      <c r="H1373" s="38" t="s">
        <v>4058</v>
      </c>
      <c r="I1373" cm="1">
        <f t="array" ref="I1373">IFERROR(INDEX('ALL STUDENTS'!$A:$A, MATCH(1, ('ALL STUDENTS'!$B:$B = B1373) * ('ALL STUDENTS'!$C:$C = C1373), 0)), "NOT FOUND")</f>
        <v>402</v>
      </c>
      <c r="J1373" t="str">
        <f>IF(Table26[[#This Row],[Fee]]&gt;500,Table26[[#This Row],[Fee]],"")</f>
        <v/>
      </c>
    </row>
    <row r="1374" spans="1:10" hidden="1">
      <c r="A1374">
        <v>1373</v>
      </c>
      <c r="B1374" t="s">
        <v>512</v>
      </c>
      <c r="C1374" t="s">
        <v>509</v>
      </c>
      <c r="D1374" t="s">
        <v>590</v>
      </c>
      <c r="E1374">
        <v>500</v>
      </c>
      <c r="F1374" t="s">
        <v>589</v>
      </c>
      <c r="G1374" t="s">
        <v>4064</v>
      </c>
      <c r="H1374" s="38" t="s">
        <v>4065</v>
      </c>
      <c r="I1374" cm="1">
        <f t="array" ref="I1374">IFERROR(INDEX('ALL STUDENTS'!$A:$A, MATCH(1, ('ALL STUDENTS'!$B:$B = B1374) * ('ALL STUDENTS'!$C:$C = C1374), 0)), "NOT FOUND")</f>
        <v>473</v>
      </c>
      <c r="J1374" t="str">
        <f>IF(Table26[[#This Row],[Fee]]&gt;500,Table26[[#This Row],[Fee]],"")</f>
        <v/>
      </c>
    </row>
    <row r="1375" spans="1:10" hidden="1">
      <c r="A1375">
        <v>1374</v>
      </c>
      <c r="B1375" t="s">
        <v>478</v>
      </c>
      <c r="C1375" t="s">
        <v>467</v>
      </c>
      <c r="D1375" t="s">
        <v>590</v>
      </c>
      <c r="E1375">
        <v>500</v>
      </c>
      <c r="F1375" t="s">
        <v>589</v>
      </c>
      <c r="G1375" t="s">
        <v>4066</v>
      </c>
      <c r="H1375" s="38" t="s">
        <v>4065</v>
      </c>
      <c r="I1375" cm="1">
        <f t="array" ref="I1375">IFERROR(INDEX('ALL STUDENTS'!$A:$A, MATCH(1, ('ALL STUDENTS'!$B:$B = B1375) * ('ALL STUDENTS'!$C:$C = C1375), 0)), "NOT FOUND")</f>
        <v>241</v>
      </c>
      <c r="J1375" t="str">
        <f>IF(Table26[[#This Row],[Fee]]&gt;500,Table26[[#This Row],[Fee]],"")</f>
        <v/>
      </c>
    </row>
    <row r="1376" spans="1:10" hidden="1">
      <c r="A1376">
        <v>1375</v>
      </c>
      <c r="B1376" t="s">
        <v>243</v>
      </c>
      <c r="C1376" t="s">
        <v>299</v>
      </c>
      <c r="D1376" t="s">
        <v>3981</v>
      </c>
      <c r="E1376">
        <v>500</v>
      </c>
      <c r="F1376" t="s">
        <v>589</v>
      </c>
      <c r="G1376" t="s">
        <v>4067</v>
      </c>
      <c r="H1376" s="38" t="s">
        <v>4068</v>
      </c>
      <c r="I1376" cm="1">
        <f t="array" ref="I1376">IFERROR(INDEX('ALL STUDENTS'!$A:$A, MATCH(1, ('ALL STUDENTS'!$B:$B = B1376) * ('ALL STUDENTS'!$C:$C = C1376), 0)), "NOT FOUND")</f>
        <v>2301</v>
      </c>
      <c r="J1376" t="str">
        <f>IF(Table26[[#This Row],[Fee]]&gt;500,Table26[[#This Row],[Fee]],"")</f>
        <v/>
      </c>
    </row>
    <row r="1377" spans="1:10" hidden="1">
      <c r="A1377">
        <v>1376</v>
      </c>
      <c r="B1377" t="s">
        <v>243</v>
      </c>
      <c r="C1377" t="s">
        <v>299</v>
      </c>
      <c r="D1377" t="s">
        <v>590</v>
      </c>
      <c r="E1377">
        <v>500</v>
      </c>
      <c r="F1377" t="s">
        <v>589</v>
      </c>
      <c r="G1377" t="s">
        <v>4069</v>
      </c>
      <c r="H1377" s="38" t="s">
        <v>4065</v>
      </c>
      <c r="I1377" cm="1">
        <f t="array" ref="I1377">IFERROR(INDEX('ALL STUDENTS'!$A:$A, MATCH(1, ('ALL STUDENTS'!$B:$B = B1377) * ('ALL STUDENTS'!$C:$C = C1377), 0)), "NOT FOUND")</f>
        <v>2301</v>
      </c>
      <c r="J1377" t="str">
        <f>IF(Table26[[#This Row],[Fee]]&gt;500,Table26[[#This Row],[Fee]],"")</f>
        <v/>
      </c>
    </row>
    <row r="1378" spans="1:10" hidden="1">
      <c r="A1378">
        <v>1377</v>
      </c>
      <c r="B1378" t="s">
        <v>1967</v>
      </c>
      <c r="C1378" t="s">
        <v>538</v>
      </c>
      <c r="D1378" t="s">
        <v>3981</v>
      </c>
      <c r="E1378">
        <v>500</v>
      </c>
      <c r="F1378" t="s">
        <v>589</v>
      </c>
      <c r="G1378" t="s">
        <v>4070</v>
      </c>
      <c r="H1378" s="38" t="s">
        <v>4065</v>
      </c>
      <c r="I1378" cm="1">
        <f t="array" ref="I1378">IFERROR(INDEX('ALL STUDENTS'!$A:$A, MATCH(1, ('ALL STUDENTS'!$B:$B = B1378) * ('ALL STUDENTS'!$C:$C = C1378), 0)), "NOT FOUND")</f>
        <v>20</v>
      </c>
      <c r="J1378" t="str">
        <f>IF(Table26[[#This Row],[Fee]]&gt;500,Table26[[#This Row],[Fee]],"")</f>
        <v/>
      </c>
    </row>
    <row r="1379" spans="1:10" hidden="1">
      <c r="A1379">
        <v>1378</v>
      </c>
      <c r="B1379" t="s">
        <v>3086</v>
      </c>
      <c r="C1379" t="s">
        <v>175</v>
      </c>
      <c r="D1379" t="s">
        <v>3981</v>
      </c>
      <c r="E1379">
        <v>500</v>
      </c>
      <c r="F1379" t="s">
        <v>589</v>
      </c>
      <c r="G1379" t="s">
        <v>4071</v>
      </c>
      <c r="H1379" s="38" t="s">
        <v>4065</v>
      </c>
      <c r="I1379" cm="1">
        <f t="array" ref="I1379">IFERROR(INDEX('ALL STUDENTS'!$A:$A, MATCH(1, ('ALL STUDENTS'!$B:$B = B1379) * ('ALL STUDENTS'!$C:$C = C1379), 0)), "NOT FOUND")</f>
        <v>1893</v>
      </c>
      <c r="J1379" t="str">
        <f>IF(Table26[[#This Row],[Fee]]&gt;500,Table26[[#This Row],[Fee]],"")</f>
        <v/>
      </c>
    </row>
    <row r="1380" spans="1:10" hidden="1">
      <c r="A1380">
        <v>1379</v>
      </c>
      <c r="B1380" t="s">
        <v>3946</v>
      </c>
      <c r="C1380" t="s">
        <v>1884</v>
      </c>
      <c r="D1380" t="s">
        <v>3981</v>
      </c>
      <c r="E1380">
        <v>500</v>
      </c>
      <c r="F1380" t="s">
        <v>589</v>
      </c>
      <c r="G1380" t="s">
        <v>4072</v>
      </c>
      <c r="H1380" s="38" t="s">
        <v>4073</v>
      </c>
      <c r="I1380" cm="1">
        <f t="array" ref="I1380">IFERROR(INDEX('ALL STUDENTS'!$A:$A, MATCH(1, ('ALL STUDENTS'!$B:$B = B1380) * ('ALL STUDENTS'!$C:$C = C1380), 0)), "NOT FOUND")</f>
        <v>1334</v>
      </c>
      <c r="J1380" t="str">
        <f>IF(Table26[[#This Row],[Fee]]&gt;500,Table26[[#This Row],[Fee]],"")</f>
        <v/>
      </c>
    </row>
    <row r="1381" spans="1:10" hidden="1">
      <c r="A1381">
        <v>1380</v>
      </c>
      <c r="B1381" t="s">
        <v>3946</v>
      </c>
      <c r="C1381" t="s">
        <v>1884</v>
      </c>
      <c r="D1381" t="s">
        <v>590</v>
      </c>
      <c r="E1381">
        <v>500</v>
      </c>
      <c r="F1381" t="s">
        <v>589</v>
      </c>
      <c r="G1381" t="s">
        <v>4074</v>
      </c>
      <c r="H1381" s="38" t="s">
        <v>4073</v>
      </c>
      <c r="I1381" cm="1">
        <f t="array" ref="I1381">IFERROR(INDEX('ALL STUDENTS'!$A:$A, MATCH(1, ('ALL STUDENTS'!$B:$B = B1381) * ('ALL STUDENTS'!$C:$C = C1381), 0)), "NOT FOUND")</f>
        <v>1334</v>
      </c>
      <c r="J1381" t="str">
        <f>IF(Table26[[#This Row],[Fee]]&gt;500,Table26[[#This Row],[Fee]],"")</f>
        <v/>
      </c>
    </row>
    <row r="1382" spans="1:10" hidden="1">
      <c r="A1382">
        <v>1381</v>
      </c>
      <c r="B1382" t="s">
        <v>271</v>
      </c>
      <c r="C1382" t="s">
        <v>119</v>
      </c>
      <c r="D1382" t="s">
        <v>3981</v>
      </c>
      <c r="E1382">
        <v>500</v>
      </c>
      <c r="F1382" t="s">
        <v>589</v>
      </c>
      <c r="G1382" t="s">
        <v>4075</v>
      </c>
      <c r="H1382" s="38" t="s">
        <v>4073</v>
      </c>
      <c r="I1382" cm="1">
        <f t="array" ref="I1382">IFERROR(INDEX('ALL STUDENTS'!$A:$A, MATCH(1, ('ALL STUDENTS'!$B:$B = B1382) * ('ALL STUDENTS'!$C:$C = C1382), 0)), "NOT FOUND")</f>
        <v>1666</v>
      </c>
      <c r="J1382" t="str">
        <f>IF(Table26[[#This Row],[Fee]]&gt;500,Table26[[#This Row],[Fee]],"")</f>
        <v/>
      </c>
    </row>
    <row r="1383" spans="1:10" hidden="1">
      <c r="A1383">
        <v>1382</v>
      </c>
      <c r="B1383" t="s">
        <v>271</v>
      </c>
      <c r="C1383" t="s">
        <v>119</v>
      </c>
      <c r="D1383" t="s">
        <v>590</v>
      </c>
      <c r="E1383">
        <v>500</v>
      </c>
      <c r="F1383" t="s">
        <v>589</v>
      </c>
      <c r="G1383" t="s">
        <v>4076</v>
      </c>
      <c r="H1383" s="38" t="s">
        <v>4073</v>
      </c>
      <c r="I1383" cm="1">
        <f t="array" ref="I1383">IFERROR(INDEX('ALL STUDENTS'!$A:$A, MATCH(1, ('ALL STUDENTS'!$B:$B = B1383) * ('ALL STUDENTS'!$C:$C = C1383), 0)), "NOT FOUND")</f>
        <v>1666</v>
      </c>
      <c r="J1383" t="str">
        <f>IF(Table26[[#This Row],[Fee]]&gt;500,Table26[[#This Row],[Fee]],"")</f>
        <v/>
      </c>
    </row>
    <row r="1384" spans="1:10" hidden="1">
      <c r="A1384">
        <v>1383</v>
      </c>
      <c r="B1384" t="s">
        <v>271</v>
      </c>
      <c r="C1384" t="s">
        <v>119</v>
      </c>
      <c r="D1384" t="s">
        <v>3985</v>
      </c>
      <c r="E1384">
        <v>500</v>
      </c>
      <c r="F1384" t="s">
        <v>589</v>
      </c>
      <c r="G1384" t="s">
        <v>4077</v>
      </c>
      <c r="H1384" s="38" t="s">
        <v>4073</v>
      </c>
      <c r="I1384" cm="1">
        <f t="array" ref="I1384">IFERROR(INDEX('ALL STUDENTS'!$A:$A, MATCH(1, ('ALL STUDENTS'!$B:$B = B1384) * ('ALL STUDENTS'!$C:$C = C1384), 0)), "NOT FOUND")</f>
        <v>1666</v>
      </c>
      <c r="J1384" t="str">
        <f>IF(Table26[[#This Row],[Fee]]&gt;500,Table26[[#This Row],[Fee]],"")</f>
        <v/>
      </c>
    </row>
    <row r="1385" spans="1:10" hidden="1">
      <c r="A1385">
        <v>1384</v>
      </c>
      <c r="B1385" t="s">
        <v>2520</v>
      </c>
      <c r="C1385" t="s">
        <v>366</v>
      </c>
      <c r="D1385" t="s">
        <v>3981</v>
      </c>
      <c r="E1385">
        <v>500</v>
      </c>
      <c r="F1385" t="s">
        <v>589</v>
      </c>
      <c r="G1385" t="s">
        <v>4078</v>
      </c>
      <c r="H1385" s="38" t="s">
        <v>4073</v>
      </c>
      <c r="I1385" cm="1">
        <f t="array" ref="I1385">IFERROR(INDEX('ALL STUDENTS'!$A:$A, MATCH(1, ('ALL STUDENTS'!$B:$B = B1385) * ('ALL STUDENTS'!$C:$C = C1385), 0)), "NOT FOUND")</f>
        <v>805</v>
      </c>
      <c r="J1385" t="str">
        <f>IF(Table26[[#This Row],[Fee]]&gt;500,Table26[[#This Row],[Fee]],"")</f>
        <v/>
      </c>
    </row>
    <row r="1386" spans="1:10" hidden="1">
      <c r="A1386">
        <v>1385</v>
      </c>
      <c r="B1386" t="s">
        <v>2520</v>
      </c>
      <c r="C1386" t="s">
        <v>366</v>
      </c>
      <c r="D1386" t="s">
        <v>590</v>
      </c>
      <c r="E1386">
        <v>500</v>
      </c>
      <c r="F1386" t="s">
        <v>589</v>
      </c>
      <c r="G1386" t="s">
        <v>4079</v>
      </c>
      <c r="H1386" s="38" t="s">
        <v>4073</v>
      </c>
      <c r="I1386" cm="1">
        <f t="array" ref="I1386">IFERROR(INDEX('ALL STUDENTS'!$A:$A, MATCH(1, ('ALL STUDENTS'!$B:$B = B1386) * ('ALL STUDENTS'!$C:$C = C1386), 0)), "NOT FOUND")</f>
        <v>805</v>
      </c>
      <c r="J1386" t="str">
        <f>IF(Table26[[#This Row],[Fee]]&gt;500,Table26[[#This Row],[Fee]],"")</f>
        <v/>
      </c>
    </row>
    <row r="1387" spans="1:10" hidden="1">
      <c r="A1387">
        <v>1386</v>
      </c>
      <c r="B1387" t="s">
        <v>2520</v>
      </c>
      <c r="C1387" t="s">
        <v>366</v>
      </c>
      <c r="D1387" t="s">
        <v>3985</v>
      </c>
      <c r="E1387">
        <v>500</v>
      </c>
      <c r="F1387" t="s">
        <v>589</v>
      </c>
      <c r="G1387" t="s">
        <v>4080</v>
      </c>
      <c r="H1387" s="38" t="s">
        <v>4073</v>
      </c>
      <c r="I1387" cm="1">
        <f t="array" ref="I1387">IFERROR(INDEX('ALL STUDENTS'!$A:$A, MATCH(1, ('ALL STUDENTS'!$B:$B = B1387) * ('ALL STUDENTS'!$C:$C = C1387), 0)), "NOT FOUND")</f>
        <v>805</v>
      </c>
      <c r="J1387" t="str">
        <f>IF(Table26[[#This Row],[Fee]]&gt;500,Table26[[#This Row],[Fee]],"")</f>
        <v/>
      </c>
    </row>
    <row r="1388" spans="1:10" hidden="1">
      <c r="A1388">
        <v>1387</v>
      </c>
      <c r="B1388" t="s">
        <v>2483</v>
      </c>
      <c r="C1388" t="s">
        <v>356</v>
      </c>
      <c r="D1388" t="s">
        <v>3981</v>
      </c>
      <c r="E1388">
        <v>500</v>
      </c>
      <c r="F1388" t="s">
        <v>589</v>
      </c>
      <c r="G1388" t="s">
        <v>4081</v>
      </c>
      <c r="H1388" s="38" t="s">
        <v>4073</v>
      </c>
      <c r="I1388" cm="1">
        <f t="array" ref="I1388">IFERROR(INDEX('ALL STUDENTS'!$A:$A, MATCH(1, ('ALL STUDENTS'!$B:$B = B1388) * ('ALL STUDENTS'!$C:$C = C1388), 0)), "NOT FOUND")</f>
        <v>750</v>
      </c>
      <c r="J1388" t="str">
        <f>IF(Table26[[#This Row],[Fee]]&gt;500,Table26[[#This Row],[Fee]],"")</f>
        <v/>
      </c>
    </row>
    <row r="1389" spans="1:10" hidden="1">
      <c r="A1389">
        <v>1388</v>
      </c>
      <c r="B1389" t="s">
        <v>2483</v>
      </c>
      <c r="C1389" t="s">
        <v>356</v>
      </c>
      <c r="D1389" t="s">
        <v>590</v>
      </c>
      <c r="E1389">
        <v>500</v>
      </c>
      <c r="F1389" t="s">
        <v>589</v>
      </c>
      <c r="G1389" t="s">
        <v>4082</v>
      </c>
      <c r="H1389" s="38" t="s">
        <v>4073</v>
      </c>
      <c r="I1389" cm="1">
        <f t="array" ref="I1389">IFERROR(INDEX('ALL STUDENTS'!$A:$A, MATCH(1, ('ALL STUDENTS'!$B:$B = B1389) * ('ALL STUDENTS'!$C:$C = C1389), 0)), "NOT FOUND")</f>
        <v>750</v>
      </c>
      <c r="J1389" t="str">
        <f>IF(Table26[[#This Row],[Fee]]&gt;500,Table26[[#This Row],[Fee]],"")</f>
        <v/>
      </c>
    </row>
    <row r="1390" spans="1:10" hidden="1">
      <c r="A1390">
        <v>1389</v>
      </c>
      <c r="B1390" t="s">
        <v>2483</v>
      </c>
      <c r="C1390" t="s">
        <v>356</v>
      </c>
      <c r="D1390" t="s">
        <v>3985</v>
      </c>
      <c r="E1390">
        <v>500</v>
      </c>
      <c r="F1390" t="s">
        <v>589</v>
      </c>
      <c r="G1390" t="s">
        <v>4083</v>
      </c>
      <c r="H1390" s="38" t="s">
        <v>4073</v>
      </c>
      <c r="I1390" cm="1">
        <f t="array" ref="I1390">IFERROR(INDEX('ALL STUDENTS'!$A:$A, MATCH(1, ('ALL STUDENTS'!$B:$B = B1390) * ('ALL STUDENTS'!$C:$C = C1390), 0)), "NOT FOUND")</f>
        <v>750</v>
      </c>
      <c r="J1390" t="str">
        <f>IF(Table26[[#This Row],[Fee]]&gt;500,Table26[[#This Row],[Fee]],"")</f>
        <v/>
      </c>
    </row>
    <row r="1391" spans="1:10" hidden="1">
      <c r="A1391">
        <v>1390</v>
      </c>
      <c r="B1391" t="s">
        <v>400</v>
      </c>
      <c r="C1391" t="s">
        <v>415</v>
      </c>
      <c r="D1391" t="s">
        <v>3981</v>
      </c>
      <c r="E1391">
        <v>500</v>
      </c>
      <c r="F1391" t="s">
        <v>589</v>
      </c>
      <c r="G1391" t="s">
        <v>4084</v>
      </c>
      <c r="H1391" s="38" t="s">
        <v>4085</v>
      </c>
      <c r="I1391" cm="1">
        <f t="array" ref="I1391">IFERROR(INDEX('ALL STUDENTS'!$A:$A, MATCH(1, ('ALL STUDENTS'!$B:$B = B1391) * ('ALL STUDENTS'!$C:$C = C1391), 0)), "NOT FOUND")</f>
        <v>979</v>
      </c>
      <c r="J1391" t="str">
        <f>IF(Table26[[#This Row],[Fee]]&gt;500,Table26[[#This Row],[Fee]],"")</f>
        <v/>
      </c>
    </row>
    <row r="1392" spans="1:10" hidden="1">
      <c r="A1392">
        <v>1391</v>
      </c>
      <c r="B1392" t="s">
        <v>100</v>
      </c>
      <c r="C1392" t="s">
        <v>87</v>
      </c>
      <c r="D1392" t="s">
        <v>590</v>
      </c>
      <c r="E1392">
        <v>500</v>
      </c>
      <c r="F1392" t="s">
        <v>589</v>
      </c>
      <c r="G1392" t="s">
        <v>4086</v>
      </c>
      <c r="H1392" s="38" t="s">
        <v>4073</v>
      </c>
      <c r="I1392" cm="1">
        <f t="array" ref="I1392">IFERROR(INDEX('ALL STUDENTS'!$A:$A, MATCH(1, ('ALL STUDENTS'!$B:$B = B1392) * ('ALL STUDENTS'!$C:$C = C1392), 0)), "NOT FOUND")</f>
        <v>1559</v>
      </c>
      <c r="J1392" t="str">
        <f>IF(Table26[[#This Row],[Fee]]&gt;500,Table26[[#This Row],[Fee]],"")</f>
        <v/>
      </c>
    </row>
    <row r="1393" spans="1:10" hidden="1">
      <c r="A1393">
        <v>1392</v>
      </c>
      <c r="B1393" t="s">
        <v>400</v>
      </c>
      <c r="C1393" t="s">
        <v>415</v>
      </c>
      <c r="D1393" t="s">
        <v>590</v>
      </c>
      <c r="E1393">
        <v>500</v>
      </c>
      <c r="F1393" t="s">
        <v>589</v>
      </c>
      <c r="G1393" t="s">
        <v>4087</v>
      </c>
      <c r="H1393" s="38" t="s">
        <v>4073</v>
      </c>
      <c r="I1393" cm="1">
        <f t="array" ref="I1393">IFERROR(INDEX('ALL STUDENTS'!$A:$A, MATCH(1, ('ALL STUDENTS'!$B:$B = B1393) * ('ALL STUDENTS'!$C:$C = C1393), 0)), "NOT FOUND")</f>
        <v>979</v>
      </c>
      <c r="J1393" t="str">
        <f>IF(Table26[[#This Row],[Fee]]&gt;500,Table26[[#This Row],[Fee]],"")</f>
        <v/>
      </c>
    </row>
    <row r="1394" spans="1:10" hidden="1">
      <c r="A1394">
        <v>1393</v>
      </c>
      <c r="B1394" t="s">
        <v>3802</v>
      </c>
      <c r="C1394" t="s">
        <v>58</v>
      </c>
      <c r="D1394" t="s">
        <v>3981</v>
      </c>
      <c r="E1394">
        <v>500</v>
      </c>
      <c r="F1394" t="s">
        <v>589</v>
      </c>
      <c r="G1394" t="s">
        <v>4088</v>
      </c>
      <c r="H1394" s="38" t="s">
        <v>4073</v>
      </c>
      <c r="I1394" cm="1">
        <f t="array" ref="I1394">IFERROR(INDEX('ALL STUDENTS'!$A:$A, MATCH(1, ('ALL STUDENTS'!$B:$B = B1394) * ('ALL STUDENTS'!$C:$C = C1394), 0)), "NOT FOUND")</f>
        <v>3150</v>
      </c>
      <c r="J1394" t="str">
        <f>IF(Table26[[#This Row],[Fee]]&gt;500,Table26[[#This Row],[Fee]],"")</f>
        <v/>
      </c>
    </row>
    <row r="1395" spans="1:10" hidden="1">
      <c r="A1395">
        <v>1394</v>
      </c>
      <c r="B1395" t="s">
        <v>2834</v>
      </c>
      <c r="C1395" t="s">
        <v>68</v>
      </c>
      <c r="D1395" t="s">
        <v>3981</v>
      </c>
      <c r="E1395">
        <v>500</v>
      </c>
      <c r="F1395" t="s">
        <v>591</v>
      </c>
      <c r="G1395" t="s">
        <v>4089</v>
      </c>
      <c r="H1395" s="38" t="s">
        <v>4090</v>
      </c>
      <c r="I1395" cm="1">
        <f t="array" ref="I1395">IFERROR(INDEX('ALL STUDENTS'!$A:$A, MATCH(1, ('ALL STUDENTS'!$B:$B = B1395) * ('ALL STUDENTS'!$C:$C = C1395), 0)), "NOT FOUND")</f>
        <v>1526</v>
      </c>
      <c r="J1395" t="str">
        <f>IF(Table26[[#This Row],[Fee]]&gt;500,Table26[[#This Row],[Fee]],"")</f>
        <v/>
      </c>
    </row>
    <row r="1396" spans="1:10" hidden="1">
      <c r="A1396">
        <v>1395</v>
      </c>
      <c r="B1396" t="s">
        <v>2834</v>
      </c>
      <c r="C1396" t="s">
        <v>68</v>
      </c>
      <c r="D1396" t="s">
        <v>590</v>
      </c>
      <c r="E1396">
        <v>500</v>
      </c>
      <c r="F1396" t="s">
        <v>591</v>
      </c>
      <c r="G1396" t="s">
        <v>4091</v>
      </c>
      <c r="H1396" s="38" t="s">
        <v>4090</v>
      </c>
      <c r="I1396" cm="1">
        <f t="array" ref="I1396">IFERROR(INDEX('ALL STUDENTS'!$A:$A, MATCH(1, ('ALL STUDENTS'!$B:$B = B1396) * ('ALL STUDENTS'!$C:$C = C1396), 0)), "NOT FOUND")</f>
        <v>1526</v>
      </c>
      <c r="J1396" t="str">
        <f>IF(Table26[[#This Row],[Fee]]&gt;500,Table26[[#This Row],[Fee]],"")</f>
        <v/>
      </c>
    </row>
    <row r="1397" spans="1:10" hidden="1">
      <c r="A1397">
        <v>1396</v>
      </c>
      <c r="B1397" t="s">
        <v>2833</v>
      </c>
      <c r="C1397" t="s">
        <v>68</v>
      </c>
      <c r="D1397" t="s">
        <v>3981</v>
      </c>
      <c r="E1397">
        <v>500</v>
      </c>
      <c r="F1397" t="s">
        <v>591</v>
      </c>
      <c r="G1397" t="s">
        <v>4092</v>
      </c>
      <c r="H1397" s="38" t="s">
        <v>4090</v>
      </c>
      <c r="I1397" cm="1">
        <f t="array" ref="I1397">IFERROR(INDEX('ALL STUDENTS'!$A:$A, MATCH(1, ('ALL STUDENTS'!$B:$B = B1397) * ('ALL STUDENTS'!$C:$C = C1397), 0)), "NOT FOUND")</f>
        <v>1525</v>
      </c>
      <c r="J1397" t="str">
        <f>IF(Table26[[#This Row],[Fee]]&gt;500,Table26[[#This Row],[Fee]],"")</f>
        <v/>
      </c>
    </row>
    <row r="1398" spans="1:10" hidden="1">
      <c r="A1398">
        <v>1397</v>
      </c>
      <c r="B1398" t="s">
        <v>2833</v>
      </c>
      <c r="C1398" t="s">
        <v>68</v>
      </c>
      <c r="D1398" t="s">
        <v>590</v>
      </c>
      <c r="E1398">
        <v>500</v>
      </c>
      <c r="F1398" t="s">
        <v>591</v>
      </c>
      <c r="G1398" t="s">
        <v>4093</v>
      </c>
      <c r="H1398" s="38" t="s">
        <v>4090</v>
      </c>
      <c r="I1398" cm="1">
        <f t="array" ref="I1398">IFERROR(INDEX('ALL STUDENTS'!$A:$A, MATCH(1, ('ALL STUDENTS'!$B:$B = B1398) * ('ALL STUDENTS'!$C:$C = C1398), 0)), "NOT FOUND")</f>
        <v>1525</v>
      </c>
      <c r="J1398" t="str">
        <f>IF(Table26[[#This Row],[Fee]]&gt;500,Table26[[#This Row],[Fee]],"")</f>
        <v/>
      </c>
    </row>
    <row r="1399" spans="1:10" hidden="1">
      <c r="A1399">
        <v>1398</v>
      </c>
      <c r="B1399" t="s">
        <v>291</v>
      </c>
      <c r="C1399" t="s">
        <v>286</v>
      </c>
      <c r="D1399" t="s">
        <v>590</v>
      </c>
      <c r="E1399">
        <v>500</v>
      </c>
      <c r="F1399" t="s">
        <v>589</v>
      </c>
      <c r="G1399" t="s">
        <v>4094</v>
      </c>
      <c r="H1399" s="38" t="s">
        <v>4020</v>
      </c>
      <c r="I1399" cm="1">
        <f t="array" ref="I1399">IFERROR(INDEX('ALL STUDENTS'!$A:$A, MATCH(1, ('ALL STUDENTS'!$B:$B = B1399) * ('ALL STUDENTS'!$C:$C = C1399), 0)), "NOT FOUND")</f>
        <v>2229</v>
      </c>
      <c r="J1399" t="str">
        <f>IF(Table26[[#This Row],[Fee]]&gt;500,Table26[[#This Row],[Fee]],"")</f>
        <v/>
      </c>
    </row>
    <row r="1400" spans="1:10" hidden="1">
      <c r="A1400">
        <v>1399</v>
      </c>
      <c r="B1400" t="s">
        <v>291</v>
      </c>
      <c r="C1400" t="s">
        <v>286</v>
      </c>
      <c r="D1400" t="s">
        <v>3985</v>
      </c>
      <c r="E1400">
        <v>500</v>
      </c>
      <c r="F1400" t="s">
        <v>589</v>
      </c>
      <c r="G1400" t="s">
        <v>4095</v>
      </c>
      <c r="H1400" s="38" t="s">
        <v>4020</v>
      </c>
      <c r="I1400" cm="1">
        <f t="array" ref="I1400">IFERROR(INDEX('ALL STUDENTS'!$A:$A, MATCH(1, ('ALL STUDENTS'!$B:$B = B1400) * ('ALL STUDENTS'!$C:$C = C1400), 0)), "NOT FOUND")</f>
        <v>2229</v>
      </c>
      <c r="J1400" t="str">
        <f>IF(Table26[[#This Row],[Fee]]&gt;500,Table26[[#This Row],[Fee]],"")</f>
        <v/>
      </c>
    </row>
    <row r="1401" spans="1:10" hidden="1">
      <c r="A1401">
        <v>1400</v>
      </c>
      <c r="B1401" t="s">
        <v>3352</v>
      </c>
      <c r="C1401" t="s">
        <v>294</v>
      </c>
      <c r="D1401" t="s">
        <v>3981</v>
      </c>
      <c r="E1401">
        <v>500</v>
      </c>
      <c r="F1401" t="s">
        <v>589</v>
      </c>
      <c r="G1401" t="s">
        <v>4096</v>
      </c>
      <c r="H1401" s="38" t="s">
        <v>4090</v>
      </c>
      <c r="I1401" cm="1">
        <f t="array" ref="I1401">IFERROR(INDEX('ALL STUDENTS'!$A:$A, MATCH(1, ('ALL STUDENTS'!$B:$B = B1401) * ('ALL STUDENTS'!$C:$C = C1401), 0)), "NOT FOUND")</f>
        <v>2267</v>
      </c>
      <c r="J1401" t="str">
        <f>IF(Table26[[#This Row],[Fee]]&gt;500,Table26[[#This Row],[Fee]],"")</f>
        <v/>
      </c>
    </row>
    <row r="1402" spans="1:10" hidden="1">
      <c r="A1402">
        <v>1401</v>
      </c>
      <c r="B1402" t="s">
        <v>3379</v>
      </c>
      <c r="C1402" t="s">
        <v>299</v>
      </c>
      <c r="D1402" t="s">
        <v>3981</v>
      </c>
      <c r="E1402">
        <v>500</v>
      </c>
      <c r="F1402" t="s">
        <v>589</v>
      </c>
      <c r="G1402" t="s">
        <v>4097</v>
      </c>
      <c r="H1402" s="38" t="s">
        <v>4098</v>
      </c>
      <c r="I1402" cm="1">
        <f t="array" ref="I1402">IFERROR(INDEX('ALL STUDENTS'!$A:$A, MATCH(1, ('ALL STUDENTS'!$B:$B = B1402) * ('ALL STUDENTS'!$C:$C = C1402), 0)), "NOT FOUND")</f>
        <v>2308</v>
      </c>
      <c r="J1402" t="str">
        <f>IF(Table26[[#This Row],[Fee]]&gt;500,Table26[[#This Row],[Fee]],"")</f>
        <v/>
      </c>
    </row>
    <row r="1403" spans="1:10" hidden="1">
      <c r="A1403">
        <v>1402</v>
      </c>
      <c r="B1403" t="s">
        <v>3824</v>
      </c>
      <c r="C1403" t="s">
        <v>62</v>
      </c>
      <c r="D1403" t="s">
        <v>3981</v>
      </c>
      <c r="E1403">
        <v>500</v>
      </c>
      <c r="F1403" t="s">
        <v>589</v>
      </c>
      <c r="G1403" t="s">
        <v>4099</v>
      </c>
      <c r="H1403" s="38" t="s">
        <v>4098</v>
      </c>
      <c r="I1403" cm="1">
        <f t="array" ref="I1403">IFERROR(INDEX('ALL STUDENTS'!$A:$A, MATCH(1, ('ALL STUDENTS'!$B:$B = B1403) * ('ALL STUDENTS'!$C:$C = C1403), 0)), "NOT FOUND")</f>
        <v>3174</v>
      </c>
      <c r="J1403" t="str">
        <f>IF(Table26[[#This Row],[Fee]]&gt;500,Table26[[#This Row],[Fee]],"")</f>
        <v/>
      </c>
    </row>
    <row r="1404" spans="1:10" hidden="1">
      <c r="A1404">
        <v>1403</v>
      </c>
      <c r="B1404" t="s">
        <v>3824</v>
      </c>
      <c r="C1404" t="s">
        <v>62</v>
      </c>
      <c r="D1404" t="s">
        <v>590</v>
      </c>
      <c r="E1404">
        <v>500</v>
      </c>
      <c r="F1404" t="s">
        <v>589</v>
      </c>
      <c r="G1404" t="s">
        <v>4100</v>
      </c>
      <c r="H1404" s="38" t="s">
        <v>4098</v>
      </c>
      <c r="I1404" cm="1">
        <f t="array" ref="I1404">IFERROR(INDEX('ALL STUDENTS'!$A:$A, MATCH(1, ('ALL STUDENTS'!$B:$B = B1404) * ('ALL STUDENTS'!$C:$C = C1404), 0)), "NOT FOUND")</f>
        <v>3174</v>
      </c>
      <c r="J1404" t="str">
        <f>IF(Table26[[#This Row],[Fee]]&gt;500,Table26[[#This Row],[Fee]],"")</f>
        <v/>
      </c>
    </row>
    <row r="1405" spans="1:10" hidden="1">
      <c r="A1405">
        <v>1404</v>
      </c>
      <c r="B1405" t="s">
        <v>3824</v>
      </c>
      <c r="C1405" t="s">
        <v>62</v>
      </c>
      <c r="D1405" t="s">
        <v>3985</v>
      </c>
      <c r="E1405">
        <v>500</v>
      </c>
      <c r="F1405" t="s">
        <v>589</v>
      </c>
      <c r="G1405" t="s">
        <v>4101</v>
      </c>
      <c r="H1405" s="38" t="s">
        <v>4098</v>
      </c>
      <c r="I1405" cm="1">
        <f t="array" ref="I1405">IFERROR(INDEX('ALL STUDENTS'!$A:$A, MATCH(1, ('ALL STUDENTS'!$B:$B = B1405) * ('ALL STUDENTS'!$C:$C = C1405), 0)), "NOT FOUND")</f>
        <v>3174</v>
      </c>
      <c r="J1405" t="str">
        <f>IF(Table26[[#This Row],[Fee]]&gt;500,Table26[[#This Row],[Fee]],"")</f>
        <v/>
      </c>
    </row>
    <row r="1406" spans="1:10" hidden="1">
      <c r="A1406">
        <v>1405</v>
      </c>
      <c r="B1406" t="s">
        <v>3625</v>
      </c>
      <c r="C1406" t="s">
        <v>159</v>
      </c>
      <c r="D1406" t="s">
        <v>3981</v>
      </c>
      <c r="E1406">
        <v>500</v>
      </c>
      <c r="F1406" t="s">
        <v>589</v>
      </c>
      <c r="G1406" t="s">
        <v>4102</v>
      </c>
      <c r="H1406" s="38" t="s">
        <v>4103</v>
      </c>
      <c r="I1406" cm="1">
        <f t="array" ref="I1406">IFERROR(INDEX('ALL STUDENTS'!$A:$A, MATCH(1, ('ALL STUDENTS'!$B:$B = B1406) * ('ALL STUDENTS'!$C:$C = C1406), 0)), "NOT FOUND")</f>
        <v>2632</v>
      </c>
      <c r="J1406" t="str">
        <f>IF(Table26[[#This Row],[Fee]]&gt;500,Table26[[#This Row],[Fee]],"")</f>
        <v/>
      </c>
    </row>
    <row r="1407" spans="1:10" hidden="1">
      <c r="A1407">
        <v>1406</v>
      </c>
      <c r="B1407" t="s">
        <v>3136</v>
      </c>
      <c r="C1407" t="s">
        <v>205</v>
      </c>
      <c r="D1407" t="s">
        <v>3981</v>
      </c>
      <c r="E1407">
        <v>500</v>
      </c>
      <c r="F1407" t="s">
        <v>589</v>
      </c>
      <c r="G1407" t="s">
        <v>4104</v>
      </c>
      <c r="H1407" s="38" t="s">
        <v>4098</v>
      </c>
      <c r="I1407" cm="1">
        <f t="array" ref="I1407">IFERROR(INDEX('ALL STUDENTS'!$A:$A, MATCH(1, ('ALL STUDENTS'!$B:$B = B1407) * ('ALL STUDENTS'!$C:$C = C1407), 0)), "NOT FOUND")</f>
        <v>1960</v>
      </c>
      <c r="J1407" t="str">
        <f>IF(Table26[[#This Row],[Fee]]&gt;500,Table26[[#This Row],[Fee]],"")</f>
        <v/>
      </c>
    </row>
    <row r="1408" spans="1:10" hidden="1">
      <c r="A1408">
        <v>1407</v>
      </c>
      <c r="B1408" t="s">
        <v>3819</v>
      </c>
      <c r="C1408" t="s">
        <v>62</v>
      </c>
      <c r="D1408" t="s">
        <v>3981</v>
      </c>
      <c r="E1408">
        <v>500</v>
      </c>
      <c r="F1408" t="s">
        <v>589</v>
      </c>
      <c r="G1408" t="s">
        <v>4105</v>
      </c>
      <c r="H1408" s="38" t="s">
        <v>4098</v>
      </c>
      <c r="I1408" cm="1">
        <f t="array" ref="I1408">IFERROR(INDEX('ALL STUDENTS'!$A:$A, MATCH(1, ('ALL STUDENTS'!$B:$B = B1408) * ('ALL STUDENTS'!$C:$C = C1408), 0)), "NOT FOUND")</f>
        <v>3169</v>
      </c>
      <c r="J1408" t="str">
        <f>IF(Table26[[#This Row],[Fee]]&gt;500,Table26[[#This Row],[Fee]],"")</f>
        <v/>
      </c>
    </row>
    <row r="1409" spans="1:10" hidden="1">
      <c r="A1409">
        <v>1408</v>
      </c>
      <c r="B1409" t="s">
        <v>3349</v>
      </c>
      <c r="C1409" t="s">
        <v>294</v>
      </c>
      <c r="D1409" t="s">
        <v>3981</v>
      </c>
      <c r="E1409">
        <v>500</v>
      </c>
      <c r="F1409" t="s">
        <v>589</v>
      </c>
      <c r="G1409" t="s">
        <v>4106</v>
      </c>
      <c r="H1409" s="38" t="s">
        <v>4098</v>
      </c>
      <c r="I1409" cm="1">
        <f t="array" ref="I1409">IFERROR(INDEX('ALL STUDENTS'!$A:$A, MATCH(1, ('ALL STUDENTS'!$B:$B = B1409) * ('ALL STUDENTS'!$C:$C = C1409), 0)), "NOT FOUND")</f>
        <v>2262</v>
      </c>
      <c r="J1409" t="str">
        <f>IF(Table26[[#This Row],[Fee]]&gt;500,Table26[[#This Row],[Fee]],"")</f>
        <v/>
      </c>
    </row>
    <row r="1410" spans="1:10" hidden="1">
      <c r="A1410">
        <v>1409</v>
      </c>
      <c r="B1410" t="s">
        <v>245</v>
      </c>
      <c r="C1410" t="s">
        <v>299</v>
      </c>
      <c r="D1410" t="s">
        <v>3981</v>
      </c>
      <c r="E1410">
        <v>500</v>
      </c>
      <c r="F1410" t="s">
        <v>589</v>
      </c>
      <c r="G1410" t="s">
        <v>4107</v>
      </c>
      <c r="H1410" s="38" t="s">
        <v>4098</v>
      </c>
      <c r="I1410" cm="1">
        <f t="array" ref="I1410">IFERROR(INDEX('ALL STUDENTS'!$A:$A, MATCH(1, ('ALL STUDENTS'!$B:$B = B1410) * ('ALL STUDENTS'!$C:$C = C1410), 0)), "NOT FOUND")</f>
        <v>2315</v>
      </c>
      <c r="J1410" t="str">
        <f>IF(Table26[[#This Row],[Fee]]&gt;500,Table26[[#This Row],[Fee]],"")</f>
        <v/>
      </c>
    </row>
    <row r="1411" spans="1:10" hidden="1">
      <c r="A1411">
        <v>1410</v>
      </c>
      <c r="B1411" t="s">
        <v>3833</v>
      </c>
      <c r="C1411" t="s">
        <v>62</v>
      </c>
      <c r="D1411" t="s">
        <v>590</v>
      </c>
      <c r="E1411">
        <v>500</v>
      </c>
      <c r="F1411" t="s">
        <v>589</v>
      </c>
      <c r="G1411" t="s">
        <v>4108</v>
      </c>
      <c r="H1411" s="38" t="s">
        <v>4109</v>
      </c>
      <c r="I1411" cm="1">
        <f t="array" ref="I1411">IFERROR(INDEX('ALL STUDENTS'!$A:$A, MATCH(1, ('ALL STUDENTS'!$B:$B = B1411) * ('ALL STUDENTS'!$C:$C = C1411), 0)), "NOT FOUND")</f>
        <v>3190</v>
      </c>
      <c r="J1411" t="str">
        <f>IF(Table26[[#This Row],[Fee]]&gt;500,Table26[[#This Row],[Fee]],"")</f>
        <v/>
      </c>
    </row>
    <row r="1412" spans="1:10" hidden="1">
      <c r="A1412">
        <v>1411</v>
      </c>
      <c r="B1412" t="s">
        <v>3833</v>
      </c>
      <c r="C1412" t="s">
        <v>62</v>
      </c>
      <c r="D1412" t="s">
        <v>3985</v>
      </c>
      <c r="E1412">
        <v>500</v>
      </c>
      <c r="F1412" t="s">
        <v>589</v>
      </c>
      <c r="G1412" t="s">
        <v>4110</v>
      </c>
      <c r="H1412" s="38" t="s">
        <v>4109</v>
      </c>
      <c r="I1412" cm="1">
        <f t="array" ref="I1412">IFERROR(INDEX('ALL STUDENTS'!$A:$A, MATCH(1, ('ALL STUDENTS'!$B:$B = B1412) * ('ALL STUDENTS'!$C:$C = C1412), 0)), "NOT FOUND")</f>
        <v>3190</v>
      </c>
      <c r="J1412" t="str">
        <f>IF(Table26[[#This Row],[Fee]]&gt;500,Table26[[#This Row],[Fee]],"")</f>
        <v/>
      </c>
    </row>
    <row r="1413" spans="1:10" hidden="1">
      <c r="A1413">
        <v>1412</v>
      </c>
      <c r="B1413" t="s">
        <v>329</v>
      </c>
      <c r="C1413" t="s">
        <v>171</v>
      </c>
      <c r="D1413" t="s">
        <v>3981</v>
      </c>
      <c r="E1413">
        <v>500</v>
      </c>
      <c r="F1413" t="s">
        <v>589</v>
      </c>
      <c r="G1413" t="s">
        <v>4111</v>
      </c>
      <c r="H1413" s="38" t="s">
        <v>4098</v>
      </c>
      <c r="I1413" cm="1">
        <f t="array" ref="I1413">IFERROR(INDEX('ALL STUDENTS'!$A:$A, MATCH(1, ('ALL STUDENTS'!$B:$B = B1413) * ('ALL STUDENTS'!$C:$C = C1413), 0)), "NOT FOUND")</f>
        <v>1835</v>
      </c>
      <c r="J1413" t="str">
        <f>IF(Table26[[#This Row],[Fee]]&gt;500,Table26[[#This Row],[Fee]],"")</f>
        <v/>
      </c>
    </row>
    <row r="1414" spans="1:10" hidden="1">
      <c r="A1414">
        <v>1413</v>
      </c>
      <c r="B1414" t="s">
        <v>2909</v>
      </c>
      <c r="C1414" t="s">
        <v>113</v>
      </c>
      <c r="D1414" t="s">
        <v>3981</v>
      </c>
      <c r="E1414">
        <v>500</v>
      </c>
      <c r="F1414" t="s">
        <v>589</v>
      </c>
      <c r="G1414" t="s">
        <v>4112</v>
      </c>
      <c r="H1414" s="38" t="s">
        <v>4098</v>
      </c>
      <c r="I1414" cm="1">
        <f t="array" ref="I1414">IFERROR(INDEX('ALL STUDENTS'!$A:$A, MATCH(1, ('ALL STUDENTS'!$B:$B = B1414) * ('ALL STUDENTS'!$C:$C = C1414), 0)), "NOT FOUND")</f>
        <v>1638</v>
      </c>
      <c r="J1414" t="str">
        <f>IF(Table26[[#This Row],[Fee]]&gt;500,Table26[[#This Row],[Fee]],"")</f>
        <v/>
      </c>
    </row>
    <row r="1415" spans="1:10" hidden="1">
      <c r="A1415">
        <v>1414</v>
      </c>
      <c r="B1415" t="s">
        <v>3752</v>
      </c>
      <c r="C1415" t="s">
        <v>20</v>
      </c>
      <c r="D1415" t="s">
        <v>3981</v>
      </c>
      <c r="E1415">
        <v>500</v>
      </c>
      <c r="F1415" t="s">
        <v>591</v>
      </c>
      <c r="G1415" t="s">
        <v>4113</v>
      </c>
      <c r="H1415" s="38" t="s">
        <v>4114</v>
      </c>
      <c r="I1415" cm="1">
        <f t="array" ref="I1415">IFERROR(INDEX('ALL STUDENTS'!$A:$A, MATCH(1, ('ALL STUDENTS'!$B:$B = B1415) * ('ALL STUDENTS'!$C:$C = C1415), 0)), "NOT FOUND")</f>
        <v>3063</v>
      </c>
      <c r="J1415" t="str">
        <f>IF(Table26[[#This Row],[Fee]]&gt;500,Table26[[#This Row],[Fee]],"")</f>
        <v/>
      </c>
    </row>
    <row r="1416" spans="1:10" hidden="1">
      <c r="A1416">
        <v>1415</v>
      </c>
      <c r="B1416" t="s">
        <v>3752</v>
      </c>
      <c r="C1416" t="s">
        <v>20</v>
      </c>
      <c r="D1416" t="s">
        <v>590</v>
      </c>
      <c r="E1416">
        <v>500</v>
      </c>
      <c r="F1416" t="s">
        <v>591</v>
      </c>
      <c r="G1416" t="s">
        <v>4115</v>
      </c>
      <c r="H1416" s="38" t="s">
        <v>4114</v>
      </c>
      <c r="I1416" cm="1">
        <f t="array" ref="I1416">IFERROR(INDEX('ALL STUDENTS'!$A:$A, MATCH(1, ('ALL STUDENTS'!$B:$B = B1416) * ('ALL STUDENTS'!$C:$C = C1416), 0)), "NOT FOUND")</f>
        <v>3063</v>
      </c>
      <c r="J1416" t="str">
        <f>IF(Table26[[#This Row],[Fee]]&gt;500,Table26[[#This Row],[Fee]],"")</f>
        <v/>
      </c>
    </row>
    <row r="1417" spans="1:10" hidden="1">
      <c r="A1417">
        <v>1416</v>
      </c>
      <c r="B1417" t="s">
        <v>3752</v>
      </c>
      <c r="C1417" t="s">
        <v>20</v>
      </c>
      <c r="D1417" t="s">
        <v>3985</v>
      </c>
      <c r="E1417">
        <v>500</v>
      </c>
      <c r="F1417" t="s">
        <v>591</v>
      </c>
      <c r="G1417" t="s">
        <v>4116</v>
      </c>
      <c r="H1417" s="38" t="s">
        <v>4114</v>
      </c>
      <c r="I1417" cm="1">
        <f t="array" ref="I1417">IFERROR(INDEX('ALL STUDENTS'!$A:$A, MATCH(1, ('ALL STUDENTS'!$B:$B = B1417) * ('ALL STUDENTS'!$C:$C = C1417), 0)), "NOT FOUND")</f>
        <v>3063</v>
      </c>
      <c r="J1417" t="str">
        <f>IF(Table26[[#This Row],[Fee]]&gt;500,Table26[[#This Row],[Fee]],"")</f>
        <v/>
      </c>
    </row>
    <row r="1418" spans="1:10" hidden="1">
      <c r="A1418">
        <v>1417</v>
      </c>
      <c r="B1418" t="s">
        <v>3776</v>
      </c>
      <c r="C1418" t="s">
        <v>51</v>
      </c>
      <c r="D1418" t="s">
        <v>3981</v>
      </c>
      <c r="E1418">
        <v>500</v>
      </c>
      <c r="F1418" t="s">
        <v>591</v>
      </c>
      <c r="G1418" t="s">
        <v>4117</v>
      </c>
      <c r="H1418" s="38" t="s">
        <v>4114</v>
      </c>
      <c r="I1418" cm="1">
        <f t="array" ref="I1418">IFERROR(INDEX('ALL STUDENTS'!$A:$A, MATCH(1, ('ALL STUDENTS'!$B:$B = B1418) * ('ALL STUDENTS'!$C:$C = C1418), 0)), "NOT FOUND")</f>
        <v>3116</v>
      </c>
      <c r="J1418" t="str">
        <f>IF(Table26[[#This Row],[Fee]]&gt;500,Table26[[#This Row],[Fee]],"")</f>
        <v/>
      </c>
    </row>
    <row r="1419" spans="1:10" hidden="1">
      <c r="A1419">
        <v>1418</v>
      </c>
      <c r="B1419" t="s">
        <v>3319</v>
      </c>
      <c r="C1419" t="s">
        <v>273</v>
      </c>
      <c r="D1419" t="s">
        <v>3981</v>
      </c>
      <c r="E1419">
        <v>500</v>
      </c>
      <c r="F1419" t="s">
        <v>591</v>
      </c>
      <c r="G1419" t="s">
        <v>4118</v>
      </c>
      <c r="H1419" s="38" t="s">
        <v>4038</v>
      </c>
      <c r="I1419" cm="1">
        <f t="array" ref="I1419">IFERROR(INDEX('ALL STUDENTS'!$A:$A, MATCH(1, ('ALL STUDENTS'!$B:$B = B1419) * ('ALL STUDENTS'!$C:$C = C1419), 0)), "NOT FOUND")</f>
        <v>2221</v>
      </c>
      <c r="J1419" t="str">
        <f>IF(Table26[[#This Row],[Fee]]&gt;500,Table26[[#This Row],[Fee]],"")</f>
        <v/>
      </c>
    </row>
    <row r="1420" spans="1:10" hidden="1">
      <c r="A1420">
        <v>1419</v>
      </c>
      <c r="B1420" t="s">
        <v>2622</v>
      </c>
      <c r="C1420" t="s">
        <v>409</v>
      </c>
      <c r="D1420" t="s">
        <v>3981</v>
      </c>
      <c r="E1420">
        <v>500</v>
      </c>
      <c r="F1420" t="s">
        <v>589</v>
      </c>
      <c r="G1420" t="s">
        <v>4119</v>
      </c>
      <c r="H1420" s="38" t="s">
        <v>4120</v>
      </c>
      <c r="I1420" cm="1">
        <f t="array" ref="I1420">IFERROR(INDEX('ALL STUDENTS'!$A:$A, MATCH(1, ('ALL STUDENTS'!$B:$B = B1420) * ('ALL STUDENTS'!$C:$C = C1420), 0)), "NOT FOUND")</f>
        <v>962</v>
      </c>
      <c r="J1420" t="str">
        <f>IF(Table26[[#This Row],[Fee]]&gt;500,Table26[[#This Row],[Fee]],"")</f>
        <v/>
      </c>
    </row>
    <row r="1421" spans="1:10" hidden="1">
      <c r="A1421">
        <v>1420</v>
      </c>
      <c r="B1421" t="s">
        <v>2622</v>
      </c>
      <c r="C1421" t="s">
        <v>409</v>
      </c>
      <c r="D1421" t="s">
        <v>590</v>
      </c>
      <c r="E1421">
        <v>500</v>
      </c>
      <c r="F1421" t="s">
        <v>589</v>
      </c>
      <c r="G1421" t="s">
        <v>4121</v>
      </c>
      <c r="H1421" s="38" t="s">
        <v>4120</v>
      </c>
      <c r="I1421" cm="1">
        <f t="array" ref="I1421">IFERROR(INDEX('ALL STUDENTS'!$A:$A, MATCH(1, ('ALL STUDENTS'!$B:$B = B1421) * ('ALL STUDENTS'!$C:$C = C1421), 0)), "NOT FOUND")</f>
        <v>962</v>
      </c>
      <c r="J1421" t="str">
        <f>IF(Table26[[#This Row],[Fee]]&gt;500,Table26[[#This Row],[Fee]],"")</f>
        <v/>
      </c>
    </row>
    <row r="1422" spans="1:10" hidden="1">
      <c r="A1422">
        <v>1421</v>
      </c>
      <c r="B1422" t="s">
        <v>2622</v>
      </c>
      <c r="C1422" t="s">
        <v>409</v>
      </c>
      <c r="D1422" t="s">
        <v>3985</v>
      </c>
      <c r="E1422">
        <v>500</v>
      </c>
      <c r="F1422" t="s">
        <v>589</v>
      </c>
      <c r="G1422" t="s">
        <v>4122</v>
      </c>
      <c r="H1422" s="38" t="s">
        <v>4120</v>
      </c>
      <c r="I1422" cm="1">
        <f t="array" ref="I1422">IFERROR(INDEX('ALL STUDENTS'!$A:$A, MATCH(1, ('ALL STUDENTS'!$B:$B = B1422) * ('ALL STUDENTS'!$C:$C = C1422), 0)), "NOT FOUND")</f>
        <v>962</v>
      </c>
      <c r="J1422" t="str">
        <f>IF(Table26[[#This Row],[Fee]]&gt;500,Table26[[#This Row],[Fee]],"")</f>
        <v/>
      </c>
    </row>
    <row r="1423" spans="1:10" hidden="1">
      <c r="A1423">
        <v>1422</v>
      </c>
      <c r="B1423" t="s">
        <v>2139</v>
      </c>
      <c r="C1423" t="s">
        <v>467</v>
      </c>
      <c r="D1423" t="s">
        <v>3981</v>
      </c>
      <c r="E1423">
        <v>500</v>
      </c>
      <c r="F1423" t="s">
        <v>589</v>
      </c>
      <c r="G1423" t="s">
        <v>4123</v>
      </c>
      <c r="H1423" s="38" t="s">
        <v>4098</v>
      </c>
      <c r="I1423" cm="1">
        <f t="array" ref="I1423">IFERROR(INDEX('ALL STUDENTS'!$A:$A, MATCH(1, ('ALL STUDENTS'!$B:$B = B1423) * ('ALL STUDENTS'!$C:$C = C1423), 0)), "NOT FOUND")</f>
        <v>240</v>
      </c>
      <c r="J1423" t="str">
        <f>IF(Table26[[#This Row],[Fee]]&gt;500,Table26[[#This Row],[Fee]],"")</f>
        <v/>
      </c>
    </row>
    <row r="1424" spans="1:10" hidden="1">
      <c r="A1424">
        <v>1423</v>
      </c>
      <c r="B1424" t="s">
        <v>2139</v>
      </c>
      <c r="C1424" t="s">
        <v>467</v>
      </c>
      <c r="D1424" t="s">
        <v>590</v>
      </c>
      <c r="E1424">
        <v>500</v>
      </c>
      <c r="F1424" t="s">
        <v>589</v>
      </c>
      <c r="G1424" t="s">
        <v>4124</v>
      </c>
      <c r="H1424" s="38" t="s">
        <v>4098</v>
      </c>
      <c r="I1424" cm="1">
        <f t="array" ref="I1424">IFERROR(INDEX('ALL STUDENTS'!$A:$A, MATCH(1, ('ALL STUDENTS'!$B:$B = B1424) * ('ALL STUDENTS'!$C:$C = C1424), 0)), "NOT FOUND")</f>
        <v>240</v>
      </c>
      <c r="J1424" t="str">
        <f>IF(Table26[[#This Row],[Fee]]&gt;500,Table26[[#This Row],[Fee]],"")</f>
        <v/>
      </c>
    </row>
    <row r="1425" spans="1:10" hidden="1">
      <c r="A1425">
        <v>1424</v>
      </c>
      <c r="B1425" t="s">
        <v>2139</v>
      </c>
      <c r="C1425" t="s">
        <v>467</v>
      </c>
      <c r="D1425" t="s">
        <v>3985</v>
      </c>
      <c r="E1425">
        <v>500</v>
      </c>
      <c r="F1425" t="s">
        <v>589</v>
      </c>
      <c r="G1425" t="s">
        <v>4125</v>
      </c>
      <c r="H1425" s="38" t="s">
        <v>4098</v>
      </c>
      <c r="I1425" cm="1">
        <f t="array" ref="I1425">IFERROR(INDEX('ALL STUDENTS'!$A:$A, MATCH(1, ('ALL STUDENTS'!$B:$B = B1425) * ('ALL STUDENTS'!$C:$C = C1425), 0)), "NOT FOUND")</f>
        <v>240</v>
      </c>
      <c r="J1425" t="str">
        <f>IF(Table26[[#This Row],[Fee]]&gt;500,Table26[[#This Row],[Fee]],"")</f>
        <v/>
      </c>
    </row>
    <row r="1426" spans="1:10" hidden="1">
      <c r="A1426">
        <v>1425</v>
      </c>
      <c r="B1426" t="s">
        <v>3627</v>
      </c>
      <c r="C1426" t="s">
        <v>159</v>
      </c>
      <c r="D1426" t="s">
        <v>3981</v>
      </c>
      <c r="E1426">
        <v>500</v>
      </c>
      <c r="F1426" t="s">
        <v>589</v>
      </c>
      <c r="G1426" t="s">
        <v>4126</v>
      </c>
      <c r="H1426" s="38" t="s">
        <v>4068</v>
      </c>
      <c r="I1426" cm="1">
        <f t="array" ref="I1426">IFERROR(INDEX('ALL STUDENTS'!$A:$A, MATCH(1, ('ALL STUDENTS'!$B:$B = B1426) * ('ALL STUDENTS'!$C:$C = C1426), 0)), "NOT FOUND")</f>
        <v>2637</v>
      </c>
      <c r="J1426" t="str">
        <f>IF(Table26[[#This Row],[Fee]]&gt;500,Table26[[#This Row],[Fee]],"")</f>
        <v/>
      </c>
    </row>
    <row r="1427" spans="1:10" hidden="1">
      <c r="A1427">
        <v>1426</v>
      </c>
      <c r="B1427" t="s">
        <v>3627</v>
      </c>
      <c r="C1427" t="s">
        <v>159</v>
      </c>
      <c r="D1427" t="s">
        <v>590</v>
      </c>
      <c r="E1427">
        <v>500</v>
      </c>
      <c r="F1427" t="s">
        <v>589</v>
      </c>
      <c r="G1427" t="s">
        <v>4127</v>
      </c>
      <c r="H1427" s="38" t="s">
        <v>4128</v>
      </c>
      <c r="I1427" cm="1">
        <f t="array" ref="I1427">IFERROR(INDEX('ALL STUDENTS'!$A:$A, MATCH(1, ('ALL STUDENTS'!$B:$B = B1427) * ('ALL STUDENTS'!$C:$C = C1427), 0)), "NOT FOUND")</f>
        <v>2637</v>
      </c>
      <c r="J1427" t="str">
        <f>IF(Table26[[#This Row],[Fee]]&gt;500,Table26[[#This Row],[Fee]],"")</f>
        <v/>
      </c>
    </row>
    <row r="1428" spans="1:10" hidden="1">
      <c r="A1428">
        <v>1427</v>
      </c>
      <c r="B1428" t="s">
        <v>3435</v>
      </c>
      <c r="C1428" t="s">
        <v>304</v>
      </c>
      <c r="D1428" t="s">
        <v>3981</v>
      </c>
      <c r="E1428">
        <v>500</v>
      </c>
      <c r="F1428" t="s">
        <v>589</v>
      </c>
      <c r="G1428" t="s">
        <v>4129</v>
      </c>
      <c r="H1428" s="38" t="s">
        <v>4068</v>
      </c>
      <c r="I1428" cm="1">
        <f t="array" ref="I1428">IFERROR(INDEX('ALL STUDENTS'!$A:$A, MATCH(1, ('ALL STUDENTS'!$B:$B = B1428) * ('ALL STUDENTS'!$C:$C = C1428), 0)), "NOT FOUND")</f>
        <v>2386</v>
      </c>
      <c r="J1428" t="str">
        <f>IF(Table26[[#This Row],[Fee]]&gt;500,Table26[[#This Row],[Fee]],"")</f>
        <v/>
      </c>
    </row>
    <row r="1429" spans="1:10" hidden="1">
      <c r="A1429">
        <v>1428</v>
      </c>
      <c r="B1429" t="s">
        <v>3435</v>
      </c>
      <c r="C1429" t="s">
        <v>304</v>
      </c>
      <c r="D1429" t="s">
        <v>590</v>
      </c>
      <c r="E1429">
        <v>500</v>
      </c>
      <c r="F1429" t="s">
        <v>589</v>
      </c>
      <c r="G1429" t="s">
        <v>4130</v>
      </c>
      <c r="H1429" s="38" t="s">
        <v>4128</v>
      </c>
      <c r="I1429" cm="1">
        <f t="array" ref="I1429">IFERROR(INDEX('ALL STUDENTS'!$A:$A, MATCH(1, ('ALL STUDENTS'!$B:$B = B1429) * ('ALL STUDENTS'!$C:$C = C1429), 0)), "NOT FOUND")</f>
        <v>2386</v>
      </c>
      <c r="J1429" t="str">
        <f>IF(Table26[[#This Row],[Fee]]&gt;500,Table26[[#This Row],[Fee]],"")</f>
        <v/>
      </c>
    </row>
    <row r="1430" spans="1:10" hidden="1">
      <c r="A1430">
        <v>1429</v>
      </c>
      <c r="B1430" t="s">
        <v>2528</v>
      </c>
      <c r="C1430" t="s">
        <v>366</v>
      </c>
      <c r="D1430" t="s">
        <v>3981</v>
      </c>
      <c r="E1430">
        <v>500</v>
      </c>
      <c r="F1430" t="s">
        <v>589</v>
      </c>
      <c r="G1430" t="s">
        <v>4131</v>
      </c>
      <c r="H1430" s="38" t="s">
        <v>4120</v>
      </c>
      <c r="I1430" cm="1">
        <f t="array" ref="I1430">IFERROR(INDEX('ALL STUDENTS'!$A:$A, MATCH(1, ('ALL STUDENTS'!$B:$B = B1430) * ('ALL STUDENTS'!$C:$C = C1430), 0)), "NOT FOUND")</f>
        <v>817</v>
      </c>
      <c r="J1430" t="str">
        <f>IF(Table26[[#This Row],[Fee]]&gt;500,Table26[[#This Row],[Fee]],"")</f>
        <v/>
      </c>
    </row>
    <row r="1431" spans="1:10" hidden="1">
      <c r="A1431">
        <v>1430</v>
      </c>
      <c r="B1431" t="s">
        <v>2528</v>
      </c>
      <c r="C1431" t="s">
        <v>366</v>
      </c>
      <c r="D1431" t="s">
        <v>590</v>
      </c>
      <c r="E1431">
        <v>500</v>
      </c>
      <c r="F1431" t="s">
        <v>589</v>
      </c>
      <c r="G1431" t="s">
        <v>4132</v>
      </c>
      <c r="H1431" s="38" t="s">
        <v>4120</v>
      </c>
      <c r="I1431" cm="1">
        <f t="array" ref="I1431">IFERROR(INDEX('ALL STUDENTS'!$A:$A, MATCH(1, ('ALL STUDENTS'!$B:$B = B1431) * ('ALL STUDENTS'!$C:$C = C1431), 0)), "NOT FOUND")</f>
        <v>817</v>
      </c>
      <c r="J1431" t="str">
        <f>IF(Table26[[#This Row],[Fee]]&gt;500,Table26[[#This Row],[Fee]],"")</f>
        <v/>
      </c>
    </row>
    <row r="1432" spans="1:10" hidden="1">
      <c r="A1432">
        <v>1431</v>
      </c>
      <c r="B1432" t="s">
        <v>2528</v>
      </c>
      <c r="C1432" t="s">
        <v>366</v>
      </c>
      <c r="D1432" t="s">
        <v>3985</v>
      </c>
      <c r="E1432">
        <v>500</v>
      </c>
      <c r="F1432" t="s">
        <v>589</v>
      </c>
      <c r="G1432" t="s">
        <v>4133</v>
      </c>
      <c r="H1432" s="38" t="s">
        <v>4120</v>
      </c>
      <c r="I1432" cm="1">
        <f t="array" ref="I1432">IFERROR(INDEX('ALL STUDENTS'!$A:$A, MATCH(1, ('ALL STUDENTS'!$B:$B = B1432) * ('ALL STUDENTS'!$C:$C = C1432), 0)), "NOT FOUND")</f>
        <v>817</v>
      </c>
      <c r="J1432" t="str">
        <f>IF(Table26[[#This Row],[Fee]]&gt;500,Table26[[#This Row],[Fee]],"")</f>
        <v/>
      </c>
    </row>
    <row r="1433" spans="1:10" hidden="1">
      <c r="A1433">
        <v>1432</v>
      </c>
      <c r="B1433" t="s">
        <v>2242</v>
      </c>
      <c r="C1433" t="s">
        <v>496</v>
      </c>
      <c r="D1433" t="s">
        <v>3981</v>
      </c>
      <c r="E1433">
        <v>500</v>
      </c>
      <c r="F1433" t="s">
        <v>589</v>
      </c>
      <c r="G1433" t="s">
        <v>4134</v>
      </c>
      <c r="H1433" s="38" t="s">
        <v>4120</v>
      </c>
      <c r="I1433" cm="1">
        <f t="array" ref="I1433">IFERROR(INDEX('ALL STUDENTS'!$A:$A, MATCH(1, ('ALL STUDENTS'!$B:$B = B1433) * ('ALL STUDENTS'!$C:$C = C1433), 0)), "NOT FOUND")</f>
        <v>384</v>
      </c>
      <c r="J1433" t="str">
        <f>IF(Table26[[#This Row],[Fee]]&gt;500,Table26[[#This Row],[Fee]],"")</f>
        <v/>
      </c>
    </row>
    <row r="1434" spans="1:10" hidden="1">
      <c r="A1434">
        <v>1433</v>
      </c>
      <c r="B1434" t="s">
        <v>2242</v>
      </c>
      <c r="C1434" t="s">
        <v>496</v>
      </c>
      <c r="D1434" t="s">
        <v>590</v>
      </c>
      <c r="E1434">
        <v>500</v>
      </c>
      <c r="F1434" t="s">
        <v>589</v>
      </c>
      <c r="G1434" t="s">
        <v>4135</v>
      </c>
      <c r="H1434" s="38" t="s">
        <v>4120</v>
      </c>
      <c r="I1434" cm="1">
        <f t="array" ref="I1434">IFERROR(INDEX('ALL STUDENTS'!$A:$A, MATCH(1, ('ALL STUDENTS'!$B:$B = B1434) * ('ALL STUDENTS'!$C:$C = C1434), 0)), "NOT FOUND")</f>
        <v>384</v>
      </c>
      <c r="J1434" t="str">
        <f>IF(Table26[[#This Row],[Fee]]&gt;500,Table26[[#This Row],[Fee]],"")</f>
        <v/>
      </c>
    </row>
    <row r="1435" spans="1:10" hidden="1">
      <c r="A1435">
        <v>1434</v>
      </c>
      <c r="B1435" t="s">
        <v>2242</v>
      </c>
      <c r="C1435" t="s">
        <v>496</v>
      </c>
      <c r="D1435" t="s">
        <v>3985</v>
      </c>
      <c r="E1435">
        <v>500</v>
      </c>
      <c r="F1435" t="s">
        <v>589</v>
      </c>
      <c r="G1435" t="s">
        <v>4136</v>
      </c>
      <c r="H1435" s="38" t="s">
        <v>4120</v>
      </c>
      <c r="I1435" cm="1">
        <f t="array" ref="I1435">IFERROR(INDEX('ALL STUDENTS'!$A:$A, MATCH(1, ('ALL STUDENTS'!$B:$B = B1435) * ('ALL STUDENTS'!$C:$C = C1435), 0)), "NOT FOUND")</f>
        <v>384</v>
      </c>
      <c r="J1435" t="str">
        <f>IF(Table26[[#This Row],[Fee]]&gt;500,Table26[[#This Row],[Fee]],"")</f>
        <v/>
      </c>
    </row>
    <row r="1436" spans="1:10" hidden="1">
      <c r="A1436">
        <v>1435</v>
      </c>
      <c r="B1436" t="s">
        <v>3938</v>
      </c>
      <c r="C1436" t="s">
        <v>538</v>
      </c>
      <c r="D1436" t="s">
        <v>590</v>
      </c>
      <c r="E1436">
        <v>500</v>
      </c>
      <c r="F1436" t="s">
        <v>589</v>
      </c>
      <c r="G1436" t="s">
        <v>4137</v>
      </c>
      <c r="H1436" s="38" t="s">
        <v>4090</v>
      </c>
      <c r="I1436" cm="1">
        <f t="array" ref="I1436">IFERROR(INDEX('ALL STUDENTS'!$A:$A, MATCH(1, ('ALL STUDENTS'!$B:$B = B1436) * ('ALL STUDENTS'!$C:$C = C1436), 0)), "NOT FOUND")</f>
        <v>16</v>
      </c>
      <c r="J1436" t="str">
        <f>IF(Table26[[#This Row],[Fee]]&gt;500,Table26[[#This Row],[Fee]],"")</f>
        <v/>
      </c>
    </row>
    <row r="1437" spans="1:10" hidden="1">
      <c r="A1437">
        <v>1436</v>
      </c>
      <c r="B1437" t="s">
        <v>3938</v>
      </c>
      <c r="C1437" t="s">
        <v>538</v>
      </c>
      <c r="D1437" t="s">
        <v>3985</v>
      </c>
      <c r="E1437">
        <v>500</v>
      </c>
      <c r="F1437" t="s">
        <v>589</v>
      </c>
      <c r="G1437" t="s">
        <v>4138</v>
      </c>
      <c r="H1437" s="38" t="s">
        <v>4090</v>
      </c>
      <c r="I1437" cm="1">
        <f t="array" ref="I1437">IFERROR(INDEX('ALL STUDENTS'!$A:$A, MATCH(1, ('ALL STUDENTS'!$B:$B = B1437) * ('ALL STUDENTS'!$C:$C = C1437), 0)), "NOT FOUND")</f>
        <v>16</v>
      </c>
      <c r="J1437" t="str">
        <f>IF(Table26[[#This Row],[Fee]]&gt;500,Table26[[#This Row],[Fee]],"")</f>
        <v/>
      </c>
    </row>
    <row r="1438" spans="1:10" hidden="1">
      <c r="A1438">
        <v>1437</v>
      </c>
      <c r="B1438" t="s">
        <v>202</v>
      </c>
      <c r="C1438" t="s">
        <v>195</v>
      </c>
      <c r="D1438" t="s">
        <v>590</v>
      </c>
      <c r="E1438">
        <v>500</v>
      </c>
      <c r="F1438" t="s">
        <v>591</v>
      </c>
      <c r="G1438" t="s">
        <v>4139</v>
      </c>
      <c r="H1438" s="38" t="s">
        <v>4120</v>
      </c>
      <c r="I1438" cm="1">
        <f t="array" ref="I1438">IFERROR(INDEX('ALL STUDENTS'!$A:$A, MATCH(1, ('ALL STUDENTS'!$B:$B = B1438) * ('ALL STUDENTS'!$C:$C = C1438), 0)), "NOT FOUND")</f>
        <v>1917</v>
      </c>
      <c r="J1438" t="str">
        <f>IF(Table26[[#This Row],[Fee]]&gt;500,Table26[[#This Row],[Fee]],"")</f>
        <v/>
      </c>
    </row>
    <row r="1439" spans="1:10" hidden="1">
      <c r="A1439">
        <v>1438</v>
      </c>
      <c r="B1439" t="s">
        <v>2435</v>
      </c>
      <c r="C1439" t="s">
        <v>447</v>
      </c>
      <c r="D1439" t="s">
        <v>3981</v>
      </c>
      <c r="E1439">
        <v>500</v>
      </c>
      <c r="F1439" t="s">
        <v>591</v>
      </c>
      <c r="G1439" t="s">
        <v>4140</v>
      </c>
      <c r="H1439" s="38" t="s">
        <v>4120</v>
      </c>
      <c r="I1439" cm="1">
        <f t="array" ref="I1439">IFERROR(INDEX('ALL STUDENTS'!$A:$A, MATCH(1, ('ALL STUDENTS'!$B:$B = B1439) * ('ALL STUDENTS'!$C:$C = C1439), 0)), "NOT FOUND")</f>
        <v>674</v>
      </c>
      <c r="J1439" t="str">
        <f>IF(Table26[[#This Row],[Fee]]&gt;500,Table26[[#This Row],[Fee]],"")</f>
        <v/>
      </c>
    </row>
    <row r="1440" spans="1:10" hidden="1">
      <c r="A1440">
        <v>1439</v>
      </c>
      <c r="B1440" t="s">
        <v>3009</v>
      </c>
      <c r="C1440" t="s">
        <v>149</v>
      </c>
      <c r="D1440" t="s">
        <v>3981</v>
      </c>
      <c r="E1440">
        <v>500</v>
      </c>
      <c r="F1440" t="s">
        <v>589</v>
      </c>
      <c r="G1440" t="s">
        <v>4141</v>
      </c>
      <c r="H1440" s="38" t="s">
        <v>4120</v>
      </c>
      <c r="I1440" cm="1">
        <f t="array" ref="I1440">IFERROR(INDEX('ALL STUDENTS'!$A:$A, MATCH(1, ('ALL STUDENTS'!$B:$B = B1440) * ('ALL STUDENTS'!$C:$C = C1440), 0)), "NOT FOUND")</f>
        <v>1788</v>
      </c>
      <c r="J1440" t="str">
        <f>IF(Table26[[#This Row],[Fee]]&gt;500,Table26[[#This Row],[Fee]],"")</f>
        <v/>
      </c>
    </row>
    <row r="1441" spans="1:10" hidden="1">
      <c r="A1441">
        <v>1440</v>
      </c>
      <c r="B1441" t="s">
        <v>122</v>
      </c>
      <c r="C1441" t="s">
        <v>119</v>
      </c>
      <c r="D1441" t="s">
        <v>590</v>
      </c>
      <c r="E1441">
        <v>500</v>
      </c>
      <c r="F1441" t="s">
        <v>589</v>
      </c>
      <c r="G1441" t="s">
        <v>4142</v>
      </c>
      <c r="H1441" s="38" t="s">
        <v>4120</v>
      </c>
      <c r="I1441" cm="1">
        <f t="array" ref="I1441">IFERROR(INDEX('ALL STUDENTS'!$A:$A, MATCH(1, ('ALL STUDENTS'!$B:$B = B1441) * ('ALL STUDENTS'!$C:$C = C1441), 0)), "NOT FOUND")</f>
        <v>1691</v>
      </c>
      <c r="J1441" t="str">
        <f>IF(Table26[[#This Row],[Fee]]&gt;500,Table26[[#This Row],[Fee]],"")</f>
        <v/>
      </c>
    </row>
    <row r="1442" spans="1:10" hidden="1">
      <c r="A1442">
        <v>1441</v>
      </c>
      <c r="B1442" t="s">
        <v>377</v>
      </c>
      <c r="C1442" t="s">
        <v>374</v>
      </c>
      <c r="D1442" t="s">
        <v>590</v>
      </c>
      <c r="E1442">
        <v>500</v>
      </c>
      <c r="F1442" t="s">
        <v>589</v>
      </c>
      <c r="G1442" t="s">
        <v>4143</v>
      </c>
      <c r="H1442" s="38" t="s">
        <v>4120</v>
      </c>
      <c r="I1442" cm="1">
        <f t="array" ref="I1442">IFERROR(INDEX('ALL STUDENTS'!$A:$A, MATCH(1, ('ALL STUDENTS'!$B:$B = B1442) * ('ALL STUDENTS'!$C:$C = C1442), 0)), "NOT FOUND")</f>
        <v>856</v>
      </c>
      <c r="J1442" t="str">
        <f>IF(Table26[[#This Row],[Fee]]&gt;500,Table26[[#This Row],[Fee]],"")</f>
        <v/>
      </c>
    </row>
    <row r="1443" spans="1:10" hidden="1">
      <c r="A1443">
        <v>1442</v>
      </c>
      <c r="B1443" t="s">
        <v>2629</v>
      </c>
      <c r="C1443" t="s">
        <v>409</v>
      </c>
      <c r="D1443" t="s">
        <v>3981</v>
      </c>
      <c r="E1443">
        <v>500</v>
      </c>
      <c r="F1443" t="s">
        <v>589</v>
      </c>
      <c r="G1443" t="s">
        <v>4144</v>
      </c>
      <c r="H1443" s="38" t="s">
        <v>4120</v>
      </c>
      <c r="I1443" cm="1">
        <f t="array" ref="I1443">IFERROR(INDEX('ALL STUDENTS'!$A:$A, MATCH(1, ('ALL STUDENTS'!$B:$B = B1443) * ('ALL STUDENTS'!$C:$C = C1443), 0)), "NOT FOUND")</f>
        <v>973</v>
      </c>
      <c r="J1443" t="str">
        <f>IF(Table26[[#This Row],[Fee]]&gt;500,Table26[[#This Row],[Fee]],"")</f>
        <v/>
      </c>
    </row>
    <row r="1444" spans="1:10" hidden="1">
      <c r="A1444">
        <v>1443</v>
      </c>
      <c r="B1444" t="s">
        <v>146</v>
      </c>
      <c r="C1444" t="s">
        <v>138</v>
      </c>
      <c r="D1444" t="s">
        <v>590</v>
      </c>
      <c r="E1444">
        <v>500</v>
      </c>
      <c r="F1444" t="s">
        <v>589</v>
      </c>
      <c r="G1444" t="s">
        <v>4145</v>
      </c>
      <c r="H1444" s="38" t="s">
        <v>4146</v>
      </c>
      <c r="I1444" cm="1">
        <f t="array" ref="I1444">IFERROR(INDEX('ALL STUDENTS'!$A:$A, MATCH(1, ('ALL STUDENTS'!$B:$B = B1444) * ('ALL STUDENTS'!$C:$C = C1444), 0)), "NOT FOUND")</f>
        <v>1737</v>
      </c>
      <c r="J1444" t="str">
        <f>IF(Table26[[#This Row],[Fee]]&gt;500,Table26[[#This Row],[Fee]],"")</f>
        <v/>
      </c>
    </row>
    <row r="1445" spans="1:10" hidden="1">
      <c r="A1445">
        <v>1444</v>
      </c>
      <c r="B1445" t="s">
        <v>271</v>
      </c>
      <c r="C1445" t="s">
        <v>265</v>
      </c>
      <c r="D1445" t="s">
        <v>590</v>
      </c>
      <c r="E1445">
        <v>500</v>
      </c>
      <c r="F1445" t="s">
        <v>589</v>
      </c>
      <c r="G1445" t="s">
        <v>4147</v>
      </c>
      <c r="H1445" s="38" t="s">
        <v>4146</v>
      </c>
      <c r="I1445" cm="1">
        <f t="array" ref="I1445">IFERROR(INDEX('ALL STUDENTS'!$A:$A, MATCH(1, ('ALL STUDENTS'!$B:$B = B1445) * ('ALL STUDENTS'!$C:$C = C1445), 0)), "NOT FOUND")</f>
        <v>2148</v>
      </c>
      <c r="J1445" t="str">
        <f>IF(Table26[[#This Row],[Fee]]&gt;500,Table26[[#This Row],[Fee]],"")</f>
        <v/>
      </c>
    </row>
    <row r="1446" spans="1:10" hidden="1">
      <c r="A1446">
        <v>1445</v>
      </c>
      <c r="B1446" t="s">
        <v>297</v>
      </c>
      <c r="C1446" t="s">
        <v>294</v>
      </c>
      <c r="D1446" t="s">
        <v>590</v>
      </c>
      <c r="E1446">
        <v>500</v>
      </c>
      <c r="F1446" t="s">
        <v>589</v>
      </c>
      <c r="G1446" t="s">
        <v>4148</v>
      </c>
      <c r="H1446" s="38" t="s">
        <v>4146</v>
      </c>
      <c r="I1446" cm="1">
        <f t="array" ref="I1446">IFERROR(INDEX('ALL STUDENTS'!$A:$A, MATCH(1, ('ALL STUDENTS'!$B:$B = B1446) * ('ALL STUDENTS'!$C:$C = C1446), 0)), "NOT FOUND")</f>
        <v>2261</v>
      </c>
      <c r="J1446" t="str">
        <f>IF(Table26[[#This Row],[Fee]]&gt;500,Table26[[#This Row],[Fee]],"")</f>
        <v/>
      </c>
    </row>
  </sheetData>
  <mergeCells count="1">
    <mergeCell ref="L3:O4"/>
  </mergeCells>
  <phoneticPr fontId="7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DD119-0021-44CA-A71C-579A56A7BE4F}">
  <sheetPr codeName="Sheet4"/>
  <dimension ref="A1:G2602"/>
  <sheetViews>
    <sheetView zoomScale="115" zoomScaleNormal="115" workbookViewId="0">
      <selection activeCell="J470" sqref="J470"/>
    </sheetView>
  </sheetViews>
  <sheetFormatPr defaultRowHeight="14.25"/>
  <cols>
    <col min="1" max="1" width="12.125" bestFit="1" customWidth="1"/>
    <col min="2" max="2" width="33.75" style="27" bestFit="1" customWidth="1"/>
    <col min="3" max="3" width="7.625" style="27" customWidth="1"/>
    <col min="4" max="7" width="18.625" style="15" customWidth="1"/>
  </cols>
  <sheetData>
    <row r="1" spans="1:7" ht="15">
      <c r="A1" s="33" t="s">
        <v>3937</v>
      </c>
      <c r="B1" s="34" t="s">
        <v>583</v>
      </c>
      <c r="C1" s="35" t="s">
        <v>1</v>
      </c>
      <c r="D1" s="26" t="s">
        <v>3842</v>
      </c>
      <c r="E1" s="26" t="s">
        <v>3843</v>
      </c>
      <c r="F1" s="26" t="s">
        <v>3844</v>
      </c>
      <c r="G1" s="26" t="s">
        <v>3845</v>
      </c>
    </row>
    <row r="2" spans="1:7">
      <c r="A2" s="1">
        <v>1</v>
      </c>
      <c r="B2" s="1" t="s">
        <v>1953</v>
      </c>
      <c r="C2" s="1" t="s">
        <v>538</v>
      </c>
      <c r="D2" s="1">
        <f>COUNTIFS('Raw Entries'!B:B,Table4[[#This Row],[Name]],'Raw Entries'!I:I,Table4[[#This Row],[BOOK No.]])</f>
        <v>0</v>
      </c>
      <c r="E2" s="1">
        <f t="array" ref="E2">IF(OR(Table4[[#This Row],[INSTALLMENT]]=1,Table4[[#This Row],[INSTALLMENT]]=2,Table4[[#This Row],[INSTALLMENT]]=3),1,0)</f>
        <v>0</v>
      </c>
      <c r="F2" s="1">
        <f>IF(OR(Table4[[#This Row],[INSTALLMENT]]=2,Table4[[#This Row],[INSTALLMENT]]=3),2,0)</f>
        <v>0</v>
      </c>
      <c r="G2" s="1">
        <f>IF(OR(Table4[[#This Row],[INSTALLMENT]]=3),3,0)</f>
        <v>0</v>
      </c>
    </row>
    <row r="3" spans="1:7">
      <c r="A3" s="1">
        <v>2</v>
      </c>
      <c r="B3" s="1" t="s">
        <v>1954</v>
      </c>
      <c r="C3" s="1" t="s">
        <v>538</v>
      </c>
      <c r="D3" s="1">
        <f>COUNTIFS('Raw Entries'!B:B,Table4[[#This Row],[Name]],'Raw Entries'!I:I,Table4[[#This Row],[BOOK No.]])</f>
        <v>0</v>
      </c>
      <c r="E3" s="1">
        <f t="array" ref="E3">IF(OR(Table4[[#This Row],[INSTALLMENT]]=1,Table4[[#This Row],[INSTALLMENT]]=2,Table4[[#This Row],[INSTALLMENT]]=3),1,0)</f>
        <v>0</v>
      </c>
      <c r="F3" s="1">
        <f>IF(OR(Table4[[#This Row],[INSTALLMENT]]=2,Table4[[#This Row],[INSTALLMENT]]=3),2,0)</f>
        <v>0</v>
      </c>
      <c r="G3" s="1">
        <f>IF(OR(Table4[[#This Row],[INSTALLMENT]]=3),3,0)</f>
        <v>0</v>
      </c>
    </row>
    <row r="4" spans="1:7">
      <c r="A4" s="1">
        <v>3</v>
      </c>
      <c r="B4" s="1" t="s">
        <v>1955</v>
      </c>
      <c r="C4" s="1" t="s">
        <v>538</v>
      </c>
      <c r="D4" s="1">
        <f>COUNTIFS('Raw Entries'!B:B,Table4[[#This Row],[Name]],'Raw Entries'!I:I,Table4[[#This Row],[BOOK No.]])</f>
        <v>0</v>
      </c>
      <c r="E4" s="1">
        <f t="array" ref="E4">IF(OR(Table4[[#This Row],[INSTALLMENT]]=1,Table4[[#This Row],[INSTALLMENT]]=2,Table4[[#This Row],[INSTALLMENT]]=3),1,0)</f>
        <v>0</v>
      </c>
      <c r="F4" s="1">
        <f>IF(OR(Table4[[#This Row],[INSTALLMENT]]=2,Table4[[#This Row],[INSTALLMENT]]=3),2,0)</f>
        <v>0</v>
      </c>
      <c r="G4" s="1">
        <f>IF(OR(Table4[[#This Row],[INSTALLMENT]]=3),3,0)</f>
        <v>0</v>
      </c>
    </row>
    <row r="5" spans="1:7">
      <c r="A5" s="1">
        <v>4</v>
      </c>
      <c r="B5" s="1" t="s">
        <v>523</v>
      </c>
      <c r="C5" s="1" t="s">
        <v>538</v>
      </c>
      <c r="D5" s="1">
        <f>COUNTIFS('Raw Entries'!B:B,Table4[[#This Row],[Name]],'Raw Entries'!I:I,Table4[[#This Row],[BOOK No.]])</f>
        <v>0</v>
      </c>
      <c r="E5" s="1">
        <f t="array" ref="E5">IF(OR(Table4[[#This Row],[INSTALLMENT]]=1,Table4[[#This Row],[INSTALLMENT]]=2,Table4[[#This Row],[INSTALLMENT]]=3),1,0)</f>
        <v>0</v>
      </c>
      <c r="F5" s="1">
        <f>IF(OR(Table4[[#This Row],[INSTALLMENT]]=2,Table4[[#This Row],[INSTALLMENT]]=3),2,0)</f>
        <v>0</v>
      </c>
      <c r="G5" s="1">
        <f>IF(OR(Table4[[#This Row],[INSTALLMENT]]=3),3,0)</f>
        <v>0</v>
      </c>
    </row>
    <row r="6" spans="1:7">
      <c r="A6" s="1">
        <v>5</v>
      </c>
      <c r="B6" s="1" t="s">
        <v>1956</v>
      </c>
      <c r="C6" s="1" t="s">
        <v>538</v>
      </c>
      <c r="D6" s="1">
        <f>COUNTIFS('Raw Entries'!B:B,Table4[[#This Row],[Name]],'Raw Entries'!I:I,Table4[[#This Row],[BOOK No.]])</f>
        <v>0</v>
      </c>
      <c r="E6" s="1">
        <f t="array" ref="E6">IF(OR(Table4[[#This Row],[INSTALLMENT]]=1,Table4[[#This Row],[INSTALLMENT]]=2,Table4[[#This Row],[INSTALLMENT]]=3),1,0)</f>
        <v>0</v>
      </c>
      <c r="F6" s="1">
        <f>IF(OR(Table4[[#This Row],[INSTALLMENT]]=2,Table4[[#This Row],[INSTALLMENT]]=3),2,0)</f>
        <v>0</v>
      </c>
      <c r="G6" s="1">
        <f>IF(OR(Table4[[#This Row],[INSTALLMENT]]=3),3,0)</f>
        <v>0</v>
      </c>
    </row>
    <row r="7" spans="1:7">
      <c r="A7" s="1">
        <v>6</v>
      </c>
      <c r="B7" s="1" t="s">
        <v>1957</v>
      </c>
      <c r="C7" s="1" t="s">
        <v>538</v>
      </c>
      <c r="D7" s="1">
        <f>COUNTIFS('Raw Entries'!B:B,Table4[[#This Row],[Name]],'Raw Entries'!I:I,Table4[[#This Row],[BOOK No.]])</f>
        <v>0</v>
      </c>
      <c r="E7" s="1">
        <f t="array" ref="E7">IF(OR(Table4[[#This Row],[INSTALLMENT]]=1,Table4[[#This Row],[INSTALLMENT]]=2,Table4[[#This Row],[INSTALLMENT]]=3),1,0)</f>
        <v>0</v>
      </c>
      <c r="F7" s="1">
        <f>IF(OR(Table4[[#This Row],[INSTALLMENT]]=2,Table4[[#This Row],[INSTALLMENT]]=3),2,0)</f>
        <v>0</v>
      </c>
      <c r="G7" s="1">
        <f>IF(OR(Table4[[#This Row],[INSTALLMENT]]=3),3,0)</f>
        <v>0</v>
      </c>
    </row>
    <row r="8" spans="1:7">
      <c r="A8" s="1">
        <v>7</v>
      </c>
      <c r="B8" s="1" t="s">
        <v>1958</v>
      </c>
      <c r="C8" s="1" t="s">
        <v>538</v>
      </c>
      <c r="D8" s="1">
        <f>COUNTIFS('Raw Entries'!B:B,Table4[[#This Row],[Name]],'Raw Entries'!I:I,Table4[[#This Row],[BOOK No.]])</f>
        <v>0</v>
      </c>
      <c r="E8" s="1">
        <f t="array" ref="E8">IF(OR(Table4[[#This Row],[INSTALLMENT]]=1,Table4[[#This Row],[INSTALLMENT]]=2,Table4[[#This Row],[INSTALLMENT]]=3),1,0)</f>
        <v>0</v>
      </c>
      <c r="F8" s="1">
        <f>IF(OR(Table4[[#This Row],[INSTALLMENT]]=2,Table4[[#This Row],[INSTALLMENT]]=3),2,0)</f>
        <v>0</v>
      </c>
      <c r="G8" s="1">
        <f>IF(OR(Table4[[#This Row],[INSTALLMENT]]=3),3,0)</f>
        <v>0</v>
      </c>
    </row>
    <row r="9" spans="1:7">
      <c r="A9" s="1">
        <v>8</v>
      </c>
      <c r="B9" s="1" t="s">
        <v>539</v>
      </c>
      <c r="C9" s="1" t="s">
        <v>538</v>
      </c>
      <c r="D9" s="1">
        <f>COUNTIFS('Raw Entries'!B:B,Table4[[#This Row],[Name]],'Raw Entries'!I:I,Table4[[#This Row],[BOOK No.]])</f>
        <v>3</v>
      </c>
      <c r="E9" s="1">
        <f t="array" ref="E9">IF(OR(Table4[[#This Row],[INSTALLMENT]]=1,Table4[[#This Row],[INSTALLMENT]]=2,Table4[[#This Row],[INSTALLMENT]]=3),1,0)</f>
        <v>1</v>
      </c>
      <c r="F9" s="1">
        <f>IF(OR(Table4[[#This Row],[INSTALLMENT]]=2,Table4[[#This Row],[INSTALLMENT]]=3),2,0)</f>
        <v>2</v>
      </c>
      <c r="G9" s="1">
        <f>IF(OR(Table4[[#This Row],[INSTALLMENT]]=3),3,0)</f>
        <v>3</v>
      </c>
    </row>
    <row r="10" spans="1:7">
      <c r="A10" s="1">
        <v>9</v>
      </c>
      <c r="B10" s="1" t="s">
        <v>1959</v>
      </c>
      <c r="C10" s="1" t="s">
        <v>538</v>
      </c>
      <c r="D10" s="1">
        <f>COUNTIFS('Raw Entries'!B:B,Table4[[#This Row],[Name]],'Raw Entries'!I:I,Table4[[#This Row],[BOOK No.]])</f>
        <v>0</v>
      </c>
      <c r="E10" s="1">
        <f t="array" ref="E10">IF(OR(Table4[[#This Row],[INSTALLMENT]]=1,Table4[[#This Row],[INSTALLMENT]]=2,Table4[[#This Row],[INSTALLMENT]]=3),1,0)</f>
        <v>0</v>
      </c>
      <c r="F10" s="1">
        <f>IF(OR(Table4[[#This Row],[INSTALLMENT]]=2,Table4[[#This Row],[INSTALLMENT]]=3),2,0)</f>
        <v>0</v>
      </c>
      <c r="G10" s="1">
        <f>IF(OR(Table4[[#This Row],[INSTALLMENT]]=3),3,0)</f>
        <v>0</v>
      </c>
    </row>
    <row r="11" spans="1:7">
      <c r="A11" s="1">
        <v>10</v>
      </c>
      <c r="B11" s="1" t="s">
        <v>1960</v>
      </c>
      <c r="C11" s="1" t="s">
        <v>538</v>
      </c>
      <c r="D11" s="1">
        <f>COUNTIFS('Raw Entries'!B:B,Table4[[#This Row],[Name]],'Raw Entries'!I:I,Table4[[#This Row],[BOOK No.]])</f>
        <v>0</v>
      </c>
      <c r="E11" s="1">
        <f t="array" ref="E11">IF(OR(Table4[[#This Row],[INSTALLMENT]]=1,Table4[[#This Row],[INSTALLMENT]]=2,Table4[[#This Row],[INSTALLMENT]]=3),1,0)</f>
        <v>0</v>
      </c>
      <c r="F11" s="1">
        <f>IF(OR(Table4[[#This Row],[INSTALLMENT]]=2,Table4[[#This Row],[INSTALLMENT]]=3),2,0)</f>
        <v>0</v>
      </c>
      <c r="G11" s="1">
        <f>IF(OR(Table4[[#This Row],[INSTALLMENT]]=3),3,0)</f>
        <v>0</v>
      </c>
    </row>
    <row r="12" spans="1:7">
      <c r="A12" s="1">
        <v>11</v>
      </c>
      <c r="B12" s="1" t="s">
        <v>540</v>
      </c>
      <c r="C12" s="1" t="s">
        <v>538</v>
      </c>
      <c r="D12" s="1">
        <f>COUNTIFS('Raw Entries'!B:B,Table4[[#This Row],[Name]],'Raw Entries'!I:I,Table4[[#This Row],[BOOK No.]])</f>
        <v>1</v>
      </c>
      <c r="E12" s="1">
        <f t="array" ref="E12">IF(OR(Table4[[#This Row],[INSTALLMENT]]=1,Table4[[#This Row],[INSTALLMENT]]=2,Table4[[#This Row],[INSTALLMENT]]=3),1,0)</f>
        <v>1</v>
      </c>
      <c r="F12" s="1">
        <f>IF(OR(Table4[[#This Row],[INSTALLMENT]]=2,Table4[[#This Row],[INSTALLMENT]]=3),2,0)</f>
        <v>0</v>
      </c>
      <c r="G12" s="1">
        <f>IF(OR(Table4[[#This Row],[INSTALLMENT]]=3),3,0)</f>
        <v>0</v>
      </c>
    </row>
    <row r="13" spans="1:7">
      <c r="A13" s="1">
        <v>12</v>
      </c>
      <c r="B13" s="1" t="s">
        <v>1961</v>
      </c>
      <c r="C13" s="1" t="s">
        <v>538</v>
      </c>
      <c r="D13" s="1">
        <f>COUNTIFS('Raw Entries'!B:B,Table4[[#This Row],[Name]],'Raw Entries'!I:I,Table4[[#This Row],[BOOK No.]])</f>
        <v>0</v>
      </c>
      <c r="E13" s="1">
        <f t="array" ref="E13">IF(OR(Table4[[#This Row],[INSTALLMENT]]=1,Table4[[#This Row],[INSTALLMENT]]=2,Table4[[#This Row],[INSTALLMENT]]=3),1,0)</f>
        <v>0</v>
      </c>
      <c r="F13" s="1">
        <f>IF(OR(Table4[[#This Row],[INSTALLMENT]]=2,Table4[[#This Row],[INSTALLMENT]]=3),2,0)</f>
        <v>0</v>
      </c>
      <c r="G13" s="1">
        <f>IF(OR(Table4[[#This Row],[INSTALLMENT]]=3),3,0)</f>
        <v>0</v>
      </c>
    </row>
    <row r="14" spans="1:7">
      <c r="A14" s="1">
        <v>13</v>
      </c>
      <c r="B14" s="1" t="s">
        <v>1962</v>
      </c>
      <c r="C14" s="1" t="s">
        <v>538</v>
      </c>
      <c r="D14" s="1">
        <f>COUNTIFS('Raw Entries'!B:B,Table4[[#This Row],[Name]],'Raw Entries'!I:I,Table4[[#This Row],[BOOK No.]])</f>
        <v>0</v>
      </c>
      <c r="E14" s="1">
        <f t="array" ref="E14">IF(OR(Table4[[#This Row],[INSTALLMENT]]=1,Table4[[#This Row],[INSTALLMENT]]=2,Table4[[#This Row],[INSTALLMENT]]=3),1,0)</f>
        <v>0</v>
      </c>
      <c r="F14" s="1">
        <f>IF(OR(Table4[[#This Row],[INSTALLMENT]]=2,Table4[[#This Row],[INSTALLMENT]]=3),2,0)</f>
        <v>0</v>
      </c>
      <c r="G14" s="1">
        <f>IF(OR(Table4[[#This Row],[INSTALLMENT]]=3),3,0)</f>
        <v>0</v>
      </c>
    </row>
    <row r="15" spans="1:7">
      <c r="A15" s="1">
        <v>14</v>
      </c>
      <c r="B15" s="1" t="s">
        <v>1963</v>
      </c>
      <c r="C15" s="1" t="s">
        <v>538</v>
      </c>
      <c r="D15" s="1">
        <f>COUNTIFS('Raw Entries'!B:B,Table4[[#This Row],[Name]],'Raw Entries'!I:I,Table4[[#This Row],[BOOK No.]])</f>
        <v>0</v>
      </c>
      <c r="E15" s="1">
        <f t="array" ref="E15">IF(OR(Table4[[#This Row],[INSTALLMENT]]=1,Table4[[#This Row],[INSTALLMENT]]=2,Table4[[#This Row],[INSTALLMENT]]=3),1,0)</f>
        <v>0</v>
      </c>
      <c r="F15" s="1">
        <f>IF(OR(Table4[[#This Row],[INSTALLMENT]]=2,Table4[[#This Row],[INSTALLMENT]]=3),2,0)</f>
        <v>0</v>
      </c>
      <c r="G15" s="1">
        <f>IF(OR(Table4[[#This Row],[INSTALLMENT]]=3),3,0)</f>
        <v>0</v>
      </c>
    </row>
    <row r="16" spans="1:7">
      <c r="A16" s="1">
        <v>15</v>
      </c>
      <c r="B16" s="1" t="s">
        <v>1964</v>
      </c>
      <c r="C16" s="1" t="s">
        <v>538</v>
      </c>
      <c r="D16" s="1">
        <f>COUNTIFS('Raw Entries'!B:B,Table4[[#This Row],[Name]],'Raw Entries'!I:I,Table4[[#This Row],[BOOK No.]])</f>
        <v>0</v>
      </c>
      <c r="E16" s="1">
        <f t="array" ref="E16">IF(OR(Table4[[#This Row],[INSTALLMENT]]=1,Table4[[#This Row],[INSTALLMENT]]=2,Table4[[#This Row],[INSTALLMENT]]=3),1,0)</f>
        <v>0</v>
      </c>
      <c r="F16" s="1">
        <f>IF(OR(Table4[[#This Row],[INSTALLMENT]]=2,Table4[[#This Row],[INSTALLMENT]]=3),2,0)</f>
        <v>0</v>
      </c>
      <c r="G16" s="1">
        <f>IF(OR(Table4[[#This Row],[INSTALLMENT]]=3),3,0)</f>
        <v>0</v>
      </c>
    </row>
    <row r="17" spans="1:7">
      <c r="A17" s="1">
        <v>16</v>
      </c>
      <c r="B17" s="1" t="s">
        <v>3938</v>
      </c>
      <c r="C17" s="1" t="s">
        <v>538</v>
      </c>
      <c r="D17" s="1">
        <f>COUNTIFS('Raw Entries'!B:B,Table4[[#This Row],[Name]],'Raw Entries'!I:I,Table4[[#This Row],[BOOK No.]])</f>
        <v>3</v>
      </c>
      <c r="E17" s="1">
        <f t="array" ref="E17">IF(OR(Table4[[#This Row],[INSTALLMENT]]=1,Table4[[#This Row],[INSTALLMENT]]=2,Table4[[#This Row],[INSTALLMENT]]=3),1,0)</f>
        <v>1</v>
      </c>
      <c r="F17" s="1">
        <f>IF(OR(Table4[[#This Row],[INSTALLMENT]]=2,Table4[[#This Row],[INSTALLMENT]]=3),2,0)</f>
        <v>2</v>
      </c>
      <c r="G17" s="1">
        <f>IF(OR(Table4[[#This Row],[INSTALLMENT]]=3),3,0)</f>
        <v>3</v>
      </c>
    </row>
    <row r="18" spans="1:7">
      <c r="A18" s="1">
        <v>17</v>
      </c>
      <c r="B18" s="1" t="s">
        <v>1965</v>
      </c>
      <c r="C18" s="1" t="s">
        <v>538</v>
      </c>
      <c r="D18" s="1">
        <f>COUNTIFS('Raw Entries'!B:B,Table4[[#This Row],[Name]],'Raw Entries'!I:I,Table4[[#This Row],[BOOK No.]])</f>
        <v>0</v>
      </c>
      <c r="E18" s="1">
        <f t="array" ref="E18">IF(OR(Table4[[#This Row],[INSTALLMENT]]=1,Table4[[#This Row],[INSTALLMENT]]=2,Table4[[#This Row],[INSTALLMENT]]=3),1,0)</f>
        <v>0</v>
      </c>
      <c r="F18" s="1">
        <f>IF(OR(Table4[[#This Row],[INSTALLMENT]]=2,Table4[[#This Row],[INSTALLMENT]]=3),2,0)</f>
        <v>0</v>
      </c>
      <c r="G18" s="1">
        <f>IF(OR(Table4[[#This Row],[INSTALLMENT]]=3),3,0)</f>
        <v>0</v>
      </c>
    </row>
    <row r="19" spans="1:7">
      <c r="A19" s="1">
        <v>18</v>
      </c>
      <c r="B19" s="1" t="s">
        <v>1966</v>
      </c>
      <c r="C19" s="1" t="s">
        <v>538</v>
      </c>
      <c r="D19" s="1">
        <f>COUNTIFS('Raw Entries'!B:B,Table4[[#This Row],[Name]],'Raw Entries'!I:I,Table4[[#This Row],[BOOK No.]])</f>
        <v>0</v>
      </c>
      <c r="E19" s="1">
        <f t="array" ref="E19">IF(OR(Table4[[#This Row],[INSTALLMENT]]=1,Table4[[#This Row],[INSTALLMENT]]=2,Table4[[#This Row],[INSTALLMENT]]=3),1,0)</f>
        <v>0</v>
      </c>
      <c r="F19" s="1">
        <f>IF(OR(Table4[[#This Row],[INSTALLMENT]]=2,Table4[[#This Row],[INSTALLMENT]]=3),2,0)</f>
        <v>0</v>
      </c>
      <c r="G19" s="1">
        <f>IF(OR(Table4[[#This Row],[INSTALLMENT]]=3),3,0)</f>
        <v>0</v>
      </c>
    </row>
    <row r="20" spans="1:7">
      <c r="A20" s="1">
        <v>19</v>
      </c>
      <c r="B20" s="1" t="s">
        <v>1843</v>
      </c>
      <c r="C20" s="1" t="s">
        <v>538</v>
      </c>
      <c r="D20" s="1">
        <f>COUNTIFS('Raw Entries'!B:B,Table4[[#This Row],[Name]],'Raw Entries'!I:I,Table4[[#This Row],[BOOK No.]])</f>
        <v>1</v>
      </c>
      <c r="E20" s="1">
        <f t="array" ref="E20">IF(OR(Table4[[#This Row],[INSTALLMENT]]=1,Table4[[#This Row],[INSTALLMENT]]=2,Table4[[#This Row],[INSTALLMENT]]=3),1,0)</f>
        <v>1</v>
      </c>
      <c r="F20" s="1">
        <f>IF(OR(Table4[[#This Row],[INSTALLMENT]]=2,Table4[[#This Row],[INSTALLMENT]]=3),2,0)</f>
        <v>0</v>
      </c>
      <c r="G20" s="1">
        <f>IF(OR(Table4[[#This Row],[INSTALLMENT]]=3),3,0)</f>
        <v>0</v>
      </c>
    </row>
    <row r="21" spans="1:7">
      <c r="A21" s="1">
        <v>20</v>
      </c>
      <c r="B21" s="1" t="s">
        <v>1967</v>
      </c>
      <c r="C21" s="1" t="s">
        <v>538</v>
      </c>
      <c r="D21" s="1">
        <f>COUNTIFS('Raw Entries'!B:B,Table4[[#This Row],[Name]],'Raw Entries'!I:I,Table4[[#This Row],[BOOK No.]])</f>
        <v>1</v>
      </c>
      <c r="E21" s="1">
        <f t="array" ref="E21">IF(OR(Table4[[#This Row],[INSTALLMENT]]=1,Table4[[#This Row],[INSTALLMENT]]=2,Table4[[#This Row],[INSTALLMENT]]=3),1,0)</f>
        <v>1</v>
      </c>
      <c r="F21" s="1">
        <f>IF(OR(Table4[[#This Row],[INSTALLMENT]]=2,Table4[[#This Row],[INSTALLMENT]]=3),2,0)</f>
        <v>0</v>
      </c>
      <c r="G21" s="1">
        <f>IF(OR(Table4[[#This Row],[INSTALLMENT]]=3),3,0)</f>
        <v>0</v>
      </c>
    </row>
    <row r="22" spans="1:7">
      <c r="A22" s="1">
        <v>21</v>
      </c>
      <c r="B22" s="1" t="s">
        <v>1968</v>
      </c>
      <c r="C22" s="1" t="s">
        <v>538</v>
      </c>
      <c r="D22" s="1">
        <f>COUNTIFS('Raw Entries'!B:B,Table4[[#This Row],[Name]],'Raw Entries'!I:I,Table4[[#This Row],[BOOK No.]])</f>
        <v>0</v>
      </c>
      <c r="E22" s="1">
        <f t="array" ref="E22">IF(OR(Table4[[#This Row],[INSTALLMENT]]=1,Table4[[#This Row],[INSTALLMENT]]=2,Table4[[#This Row],[INSTALLMENT]]=3),1,0)</f>
        <v>0</v>
      </c>
      <c r="F22" s="1">
        <f>IF(OR(Table4[[#This Row],[INSTALLMENT]]=2,Table4[[#This Row],[INSTALLMENT]]=3),2,0)</f>
        <v>0</v>
      </c>
      <c r="G22" s="1">
        <f>IF(OR(Table4[[#This Row],[INSTALLMENT]]=3),3,0)</f>
        <v>0</v>
      </c>
    </row>
    <row r="23" spans="1:7">
      <c r="A23" s="1">
        <v>22</v>
      </c>
      <c r="B23" s="1" t="s">
        <v>1969</v>
      </c>
      <c r="C23" s="1" t="s">
        <v>538</v>
      </c>
      <c r="D23" s="1">
        <f>COUNTIFS('Raw Entries'!B:B,Table4[[#This Row],[Name]],'Raw Entries'!I:I,Table4[[#This Row],[BOOK No.]])</f>
        <v>0</v>
      </c>
      <c r="E23" s="1">
        <f t="array" ref="E23">IF(OR(Table4[[#This Row],[INSTALLMENT]]=1,Table4[[#This Row],[INSTALLMENT]]=2,Table4[[#This Row],[INSTALLMENT]]=3),1,0)</f>
        <v>0</v>
      </c>
      <c r="F23" s="1">
        <f>IF(OR(Table4[[#This Row],[INSTALLMENT]]=2,Table4[[#This Row],[INSTALLMENT]]=3),2,0)</f>
        <v>0</v>
      </c>
      <c r="G23" s="1">
        <f>IF(OR(Table4[[#This Row],[INSTALLMENT]]=3),3,0)</f>
        <v>0</v>
      </c>
    </row>
    <row r="24" spans="1:7">
      <c r="A24" s="1">
        <v>23</v>
      </c>
      <c r="B24" s="1" t="s">
        <v>541</v>
      </c>
      <c r="C24" s="1" t="s">
        <v>538</v>
      </c>
      <c r="D24" s="1">
        <f>COUNTIFS('Raw Entries'!B:B,Table4[[#This Row],[Name]],'Raw Entries'!I:I,Table4[[#This Row],[BOOK No.]])</f>
        <v>2</v>
      </c>
      <c r="E24" s="1">
        <f t="array" ref="E24">IF(OR(Table4[[#This Row],[INSTALLMENT]]=1,Table4[[#This Row],[INSTALLMENT]]=2,Table4[[#This Row],[INSTALLMENT]]=3),1,0)</f>
        <v>1</v>
      </c>
      <c r="F24" s="1">
        <f>IF(OR(Table4[[#This Row],[INSTALLMENT]]=2,Table4[[#This Row],[INSTALLMENT]]=3),2,0)</f>
        <v>2</v>
      </c>
      <c r="G24" s="1">
        <f>IF(OR(Table4[[#This Row],[INSTALLMENT]]=3),3,0)</f>
        <v>0</v>
      </c>
    </row>
    <row r="25" spans="1:7">
      <c r="A25" s="1">
        <v>24</v>
      </c>
      <c r="B25" s="1" t="s">
        <v>1970</v>
      </c>
      <c r="C25" s="1" t="s">
        <v>538</v>
      </c>
      <c r="D25" s="1">
        <f>COUNTIFS('Raw Entries'!B:B,Table4[[#This Row],[Name]],'Raw Entries'!I:I,Table4[[#This Row],[BOOK No.]])</f>
        <v>0</v>
      </c>
      <c r="E25" s="1">
        <f t="array" ref="E25">IF(OR(Table4[[#This Row],[INSTALLMENT]]=1,Table4[[#This Row],[INSTALLMENT]]=2,Table4[[#This Row],[INSTALLMENT]]=3),1,0)</f>
        <v>0</v>
      </c>
      <c r="F25" s="1">
        <f>IF(OR(Table4[[#This Row],[INSTALLMENT]]=2,Table4[[#This Row],[INSTALLMENT]]=3),2,0)</f>
        <v>0</v>
      </c>
      <c r="G25" s="1">
        <f>IF(OR(Table4[[#This Row],[INSTALLMENT]]=3),3,0)</f>
        <v>0</v>
      </c>
    </row>
    <row r="26" spans="1:7">
      <c r="A26" s="1">
        <v>25</v>
      </c>
      <c r="B26" s="1" t="s">
        <v>1971</v>
      </c>
      <c r="C26" s="1" t="s">
        <v>538</v>
      </c>
      <c r="D26" s="1">
        <f>COUNTIFS('Raw Entries'!B:B,Table4[[#This Row],[Name]],'Raw Entries'!I:I,Table4[[#This Row],[BOOK No.]])</f>
        <v>0</v>
      </c>
      <c r="E26" s="1">
        <f t="array" ref="E26">IF(OR(Table4[[#This Row],[INSTALLMENT]]=1,Table4[[#This Row],[INSTALLMENT]]=2,Table4[[#This Row],[INSTALLMENT]]=3),1,0)</f>
        <v>0</v>
      </c>
      <c r="F26" s="1">
        <f>IF(OR(Table4[[#This Row],[INSTALLMENT]]=2,Table4[[#This Row],[INSTALLMENT]]=3),2,0)</f>
        <v>0</v>
      </c>
      <c r="G26" s="1">
        <f>IF(OR(Table4[[#This Row],[INSTALLMENT]]=3),3,0)</f>
        <v>0</v>
      </c>
    </row>
    <row r="27" spans="1:7">
      <c r="A27" s="1">
        <v>26</v>
      </c>
      <c r="B27" s="1" t="s">
        <v>1972</v>
      </c>
      <c r="C27" s="1" t="s">
        <v>538</v>
      </c>
      <c r="D27" s="1">
        <f>COUNTIFS('Raw Entries'!B:B,Table4[[#This Row],[Name]],'Raw Entries'!I:I,Table4[[#This Row],[BOOK No.]])</f>
        <v>0</v>
      </c>
      <c r="E27" s="1">
        <f t="array" ref="E27">IF(OR(Table4[[#This Row],[INSTALLMENT]]=1,Table4[[#This Row],[INSTALLMENT]]=2,Table4[[#This Row],[INSTALLMENT]]=3),1,0)</f>
        <v>0</v>
      </c>
      <c r="F27" s="1">
        <f>IF(OR(Table4[[#This Row],[INSTALLMENT]]=2,Table4[[#This Row],[INSTALLMENT]]=3),2,0)</f>
        <v>0</v>
      </c>
      <c r="G27" s="1">
        <f>IF(OR(Table4[[#This Row],[INSTALLMENT]]=3),3,0)</f>
        <v>0</v>
      </c>
    </row>
    <row r="28" spans="1:7">
      <c r="A28" s="1">
        <v>27</v>
      </c>
      <c r="B28" s="1" t="s">
        <v>542</v>
      </c>
      <c r="C28" s="1" t="s">
        <v>538</v>
      </c>
      <c r="D28" s="1">
        <f>COUNTIFS('Raw Entries'!B:B,Table4[[#This Row],[Name]],'Raw Entries'!I:I,Table4[[#This Row],[BOOK No.]])</f>
        <v>1</v>
      </c>
      <c r="E28" s="1">
        <f t="array" ref="E28">IF(OR(Table4[[#This Row],[INSTALLMENT]]=1,Table4[[#This Row],[INSTALLMENT]]=2,Table4[[#This Row],[INSTALLMENT]]=3),1,0)</f>
        <v>1</v>
      </c>
      <c r="F28" s="1">
        <f>IF(OR(Table4[[#This Row],[INSTALLMENT]]=2,Table4[[#This Row],[INSTALLMENT]]=3),2,0)</f>
        <v>0</v>
      </c>
      <c r="G28" s="1">
        <f>IF(OR(Table4[[#This Row],[INSTALLMENT]]=3),3,0)</f>
        <v>0</v>
      </c>
    </row>
    <row r="29" spans="1:7">
      <c r="A29" s="1">
        <v>28</v>
      </c>
      <c r="B29" s="1" t="s">
        <v>1973</v>
      </c>
      <c r="C29" s="1" t="s">
        <v>538</v>
      </c>
      <c r="D29" s="1">
        <f>COUNTIFS('Raw Entries'!B:B,Table4[[#This Row],[Name]],'Raw Entries'!I:I,Table4[[#This Row],[BOOK No.]])</f>
        <v>0</v>
      </c>
      <c r="E29" s="1">
        <f t="array" ref="E29">IF(OR(Table4[[#This Row],[INSTALLMENT]]=1,Table4[[#This Row],[INSTALLMENT]]=2,Table4[[#This Row],[INSTALLMENT]]=3),1,0)</f>
        <v>0</v>
      </c>
      <c r="F29" s="1">
        <f>IF(OR(Table4[[#This Row],[INSTALLMENT]]=2,Table4[[#This Row],[INSTALLMENT]]=3),2,0)</f>
        <v>0</v>
      </c>
      <c r="G29" s="1">
        <f>IF(OR(Table4[[#This Row],[INSTALLMENT]]=3),3,0)</f>
        <v>0</v>
      </c>
    </row>
    <row r="30" spans="1:7">
      <c r="A30" s="1">
        <v>29</v>
      </c>
      <c r="B30" s="1" t="s">
        <v>1974</v>
      </c>
      <c r="C30" s="1" t="s">
        <v>538</v>
      </c>
      <c r="D30" s="1">
        <f>COUNTIFS('Raw Entries'!B:B,Table4[[#This Row],[Name]],'Raw Entries'!I:I,Table4[[#This Row],[BOOK No.]])</f>
        <v>0</v>
      </c>
      <c r="E30" s="1">
        <f t="array" ref="E30">IF(OR(Table4[[#This Row],[INSTALLMENT]]=1,Table4[[#This Row],[INSTALLMENT]]=2,Table4[[#This Row],[INSTALLMENT]]=3),1,0)</f>
        <v>0</v>
      </c>
      <c r="F30" s="1">
        <f>IF(OR(Table4[[#This Row],[INSTALLMENT]]=2,Table4[[#This Row],[INSTALLMENT]]=3),2,0)</f>
        <v>0</v>
      </c>
      <c r="G30" s="1">
        <f>IF(OR(Table4[[#This Row],[INSTALLMENT]]=3),3,0)</f>
        <v>0</v>
      </c>
    </row>
    <row r="31" spans="1:7">
      <c r="A31" s="1">
        <v>30</v>
      </c>
      <c r="B31" s="1" t="s">
        <v>1975</v>
      </c>
      <c r="C31" s="1" t="s">
        <v>538</v>
      </c>
      <c r="D31" s="1">
        <f>COUNTIFS('Raw Entries'!B:B,Table4[[#This Row],[Name]],'Raw Entries'!I:I,Table4[[#This Row],[BOOK No.]])</f>
        <v>0</v>
      </c>
      <c r="E31" s="1">
        <f t="array" ref="E31">IF(OR(Table4[[#This Row],[INSTALLMENT]]=1,Table4[[#This Row],[INSTALLMENT]]=2,Table4[[#This Row],[INSTALLMENT]]=3),1,0)</f>
        <v>0</v>
      </c>
      <c r="F31" s="1">
        <f>IF(OR(Table4[[#This Row],[INSTALLMENT]]=2,Table4[[#This Row],[INSTALLMENT]]=3),2,0)</f>
        <v>0</v>
      </c>
      <c r="G31" s="1">
        <f>IF(OR(Table4[[#This Row],[INSTALLMENT]]=3),3,0)</f>
        <v>0</v>
      </c>
    </row>
    <row r="32" spans="1:7">
      <c r="A32" s="1">
        <v>31</v>
      </c>
      <c r="B32" s="1" t="s">
        <v>1976</v>
      </c>
      <c r="C32" s="1" t="s">
        <v>538</v>
      </c>
      <c r="D32" s="1">
        <f>COUNTIFS('Raw Entries'!B:B,Table4[[#This Row],[Name]],'Raw Entries'!I:I,Table4[[#This Row],[BOOK No.]])</f>
        <v>0</v>
      </c>
      <c r="E32" s="1">
        <f t="array" ref="E32">IF(OR(Table4[[#This Row],[INSTALLMENT]]=1,Table4[[#This Row],[INSTALLMENT]]=2,Table4[[#This Row],[INSTALLMENT]]=3),1,0)</f>
        <v>0</v>
      </c>
      <c r="F32" s="1">
        <f>IF(OR(Table4[[#This Row],[INSTALLMENT]]=2,Table4[[#This Row],[INSTALLMENT]]=3),2,0)</f>
        <v>0</v>
      </c>
      <c r="G32" s="1">
        <f>IF(OR(Table4[[#This Row],[INSTALLMENT]]=3),3,0)</f>
        <v>0</v>
      </c>
    </row>
    <row r="33" spans="1:7">
      <c r="A33" s="1">
        <v>32</v>
      </c>
      <c r="B33" s="1" t="s">
        <v>1977</v>
      </c>
      <c r="C33" s="1" t="s">
        <v>515</v>
      </c>
      <c r="D33" s="1">
        <f>COUNTIFS('Raw Entries'!B:B,Table4[[#This Row],[Name]],'Raw Entries'!I:I,Table4[[#This Row],[BOOK No.]])</f>
        <v>3</v>
      </c>
      <c r="E33" s="1">
        <f t="array" ref="E33">IF(OR(Table4[[#This Row],[INSTALLMENT]]=1,Table4[[#This Row],[INSTALLMENT]]=2,Table4[[#This Row],[INSTALLMENT]]=3),1,0)</f>
        <v>1</v>
      </c>
      <c r="F33" s="1">
        <f>IF(OR(Table4[[#This Row],[INSTALLMENT]]=2,Table4[[#This Row],[INSTALLMENT]]=3),2,0)</f>
        <v>2</v>
      </c>
      <c r="G33" s="1">
        <f>IF(OR(Table4[[#This Row],[INSTALLMENT]]=3),3,0)</f>
        <v>3</v>
      </c>
    </row>
    <row r="34" spans="1:7">
      <c r="A34" s="1">
        <v>33</v>
      </c>
      <c r="B34" s="1" t="s">
        <v>1978</v>
      </c>
      <c r="C34" s="1" t="s">
        <v>515</v>
      </c>
      <c r="D34" s="1">
        <f>COUNTIFS('Raw Entries'!B:B,Table4[[#This Row],[Name]],'Raw Entries'!I:I,Table4[[#This Row],[BOOK No.]])</f>
        <v>0</v>
      </c>
      <c r="E34" s="1">
        <f t="array" ref="E34">IF(OR(Table4[[#This Row],[INSTALLMENT]]=1,Table4[[#This Row],[INSTALLMENT]]=2,Table4[[#This Row],[INSTALLMENT]]=3),1,0)</f>
        <v>0</v>
      </c>
      <c r="F34" s="1">
        <f>IF(OR(Table4[[#This Row],[INSTALLMENT]]=2,Table4[[#This Row],[INSTALLMENT]]=3),2,0)</f>
        <v>0</v>
      </c>
      <c r="G34" s="1">
        <f>IF(OR(Table4[[#This Row],[INSTALLMENT]]=3),3,0)</f>
        <v>0</v>
      </c>
    </row>
    <row r="35" spans="1:7">
      <c r="A35" s="1">
        <v>34</v>
      </c>
      <c r="B35" s="1" t="s">
        <v>1979</v>
      </c>
      <c r="C35" s="1" t="s">
        <v>515</v>
      </c>
      <c r="D35" s="1">
        <f>COUNTIFS('Raw Entries'!B:B,Table4[[#This Row],[Name]],'Raw Entries'!I:I,Table4[[#This Row],[BOOK No.]])</f>
        <v>0</v>
      </c>
      <c r="E35" s="1">
        <f t="array" ref="E35">IF(OR(Table4[[#This Row],[INSTALLMENT]]=1,Table4[[#This Row],[INSTALLMENT]]=2,Table4[[#This Row],[INSTALLMENT]]=3),1,0)</f>
        <v>0</v>
      </c>
      <c r="F35" s="1">
        <f>IF(OR(Table4[[#This Row],[INSTALLMENT]]=2,Table4[[#This Row],[INSTALLMENT]]=3),2,0)</f>
        <v>0</v>
      </c>
      <c r="G35" s="1">
        <f>IF(OR(Table4[[#This Row],[INSTALLMENT]]=3),3,0)</f>
        <v>0</v>
      </c>
    </row>
    <row r="36" spans="1:7">
      <c r="A36" s="1">
        <v>35</v>
      </c>
      <c r="B36" s="1" t="s">
        <v>517</v>
      </c>
      <c r="C36" s="1" t="s">
        <v>515</v>
      </c>
      <c r="D36" s="1">
        <f>COUNTIFS('Raw Entries'!B:B,Table4[[#This Row],[Name]],'Raw Entries'!I:I,Table4[[#This Row],[BOOK No.]])</f>
        <v>3</v>
      </c>
      <c r="E36" s="1">
        <f t="array" ref="E36">IF(OR(Table4[[#This Row],[INSTALLMENT]]=1,Table4[[#This Row],[INSTALLMENT]]=2,Table4[[#This Row],[INSTALLMENT]]=3),1,0)</f>
        <v>1</v>
      </c>
      <c r="F36" s="1">
        <f>IF(OR(Table4[[#This Row],[INSTALLMENT]]=2,Table4[[#This Row],[INSTALLMENT]]=3),2,0)</f>
        <v>2</v>
      </c>
      <c r="G36" s="1">
        <f>IF(OR(Table4[[#This Row],[INSTALLMENT]]=3),3,0)</f>
        <v>3</v>
      </c>
    </row>
    <row r="37" spans="1:7">
      <c r="A37" s="1">
        <v>36</v>
      </c>
      <c r="B37" s="1" t="s">
        <v>1980</v>
      </c>
      <c r="C37" s="1" t="s">
        <v>515</v>
      </c>
      <c r="D37" s="1">
        <f>COUNTIFS('Raw Entries'!B:B,Table4[[#This Row],[Name]],'Raw Entries'!I:I,Table4[[#This Row],[BOOK No.]])</f>
        <v>0</v>
      </c>
      <c r="E37" s="1">
        <f t="array" ref="E37">IF(OR(Table4[[#This Row],[INSTALLMENT]]=1,Table4[[#This Row],[INSTALLMENT]]=2,Table4[[#This Row],[INSTALLMENT]]=3),1,0)</f>
        <v>0</v>
      </c>
      <c r="F37" s="1">
        <f>IF(OR(Table4[[#This Row],[INSTALLMENT]]=2,Table4[[#This Row],[INSTALLMENT]]=3),2,0)</f>
        <v>0</v>
      </c>
      <c r="G37" s="1">
        <f>IF(OR(Table4[[#This Row],[INSTALLMENT]]=3),3,0)</f>
        <v>0</v>
      </c>
    </row>
    <row r="38" spans="1:7">
      <c r="A38" s="1">
        <v>37</v>
      </c>
      <c r="B38" s="1" t="s">
        <v>518</v>
      </c>
      <c r="C38" s="1" t="s">
        <v>515</v>
      </c>
      <c r="D38" s="1">
        <f>COUNTIFS('Raw Entries'!B:B,Table4[[#This Row],[Name]],'Raw Entries'!I:I,Table4[[#This Row],[BOOK No.]])</f>
        <v>3</v>
      </c>
      <c r="E38" s="1">
        <f t="array" ref="E38">IF(OR(Table4[[#This Row],[INSTALLMENT]]=1,Table4[[#This Row],[INSTALLMENT]]=2,Table4[[#This Row],[INSTALLMENT]]=3),1,0)</f>
        <v>1</v>
      </c>
      <c r="F38" s="1">
        <f>IF(OR(Table4[[#This Row],[INSTALLMENT]]=2,Table4[[#This Row],[INSTALLMENT]]=3),2,0)</f>
        <v>2</v>
      </c>
      <c r="G38" s="1">
        <f>IF(OR(Table4[[#This Row],[INSTALLMENT]]=3),3,0)</f>
        <v>3</v>
      </c>
    </row>
    <row r="39" spans="1:7">
      <c r="A39" s="1">
        <v>38</v>
      </c>
      <c r="B39" s="1" t="s">
        <v>1981</v>
      </c>
      <c r="C39" s="1" t="s">
        <v>515</v>
      </c>
      <c r="D39" s="1">
        <f>COUNTIFS('Raw Entries'!B:B,Table4[[#This Row],[Name]],'Raw Entries'!I:I,Table4[[#This Row],[BOOK No.]])</f>
        <v>0</v>
      </c>
      <c r="E39" s="1">
        <f t="array" ref="E39">IF(OR(Table4[[#This Row],[INSTALLMENT]]=1,Table4[[#This Row],[INSTALLMENT]]=2,Table4[[#This Row],[INSTALLMENT]]=3),1,0)</f>
        <v>0</v>
      </c>
      <c r="F39" s="1">
        <f>IF(OR(Table4[[#This Row],[INSTALLMENT]]=2,Table4[[#This Row],[INSTALLMENT]]=3),2,0)</f>
        <v>0</v>
      </c>
      <c r="G39" s="1">
        <f>IF(OR(Table4[[#This Row],[INSTALLMENT]]=3),3,0)</f>
        <v>0</v>
      </c>
    </row>
    <row r="40" spans="1:7">
      <c r="A40" s="1">
        <v>39</v>
      </c>
      <c r="B40" s="1" t="s">
        <v>1982</v>
      </c>
      <c r="C40" s="1" t="s">
        <v>515</v>
      </c>
      <c r="D40" s="1">
        <f>COUNTIFS('Raw Entries'!B:B,Table4[[#This Row],[Name]],'Raw Entries'!I:I,Table4[[#This Row],[BOOK No.]])</f>
        <v>0</v>
      </c>
      <c r="E40" s="1">
        <f t="array" ref="E40">IF(OR(Table4[[#This Row],[INSTALLMENT]]=1,Table4[[#This Row],[INSTALLMENT]]=2,Table4[[#This Row],[INSTALLMENT]]=3),1,0)</f>
        <v>0</v>
      </c>
      <c r="F40" s="1">
        <f>IF(OR(Table4[[#This Row],[INSTALLMENT]]=2,Table4[[#This Row],[INSTALLMENT]]=3),2,0)</f>
        <v>0</v>
      </c>
      <c r="G40" s="1">
        <f>IF(OR(Table4[[#This Row],[INSTALLMENT]]=3),3,0)</f>
        <v>0</v>
      </c>
    </row>
    <row r="41" spans="1:7">
      <c r="A41" s="1">
        <v>40</v>
      </c>
      <c r="B41" s="1" t="s">
        <v>1983</v>
      </c>
      <c r="C41" s="1" t="s">
        <v>515</v>
      </c>
      <c r="D41" s="1">
        <f>COUNTIFS('Raw Entries'!B:B,Table4[[#This Row],[Name]],'Raw Entries'!I:I,Table4[[#This Row],[BOOK No.]])</f>
        <v>0</v>
      </c>
      <c r="E41" s="1">
        <f t="array" ref="E41">IF(OR(Table4[[#This Row],[INSTALLMENT]]=1,Table4[[#This Row],[INSTALLMENT]]=2,Table4[[#This Row],[INSTALLMENT]]=3),1,0)</f>
        <v>0</v>
      </c>
      <c r="F41" s="1">
        <f>IF(OR(Table4[[#This Row],[INSTALLMENT]]=2,Table4[[#This Row],[INSTALLMENT]]=3),2,0)</f>
        <v>0</v>
      </c>
      <c r="G41" s="1">
        <f>IF(OR(Table4[[#This Row],[INSTALLMENT]]=3),3,0)</f>
        <v>0</v>
      </c>
    </row>
    <row r="42" spans="1:7">
      <c r="A42" s="1">
        <v>41</v>
      </c>
      <c r="B42" s="1" t="s">
        <v>1984</v>
      </c>
      <c r="C42" s="1" t="s">
        <v>515</v>
      </c>
      <c r="D42" s="1">
        <f>COUNTIFS('Raw Entries'!B:B,Table4[[#This Row],[Name]],'Raw Entries'!I:I,Table4[[#This Row],[BOOK No.]])</f>
        <v>0</v>
      </c>
      <c r="E42" s="1">
        <f t="array" ref="E42">IF(OR(Table4[[#This Row],[INSTALLMENT]]=1,Table4[[#This Row],[INSTALLMENT]]=2,Table4[[#This Row],[INSTALLMENT]]=3),1,0)</f>
        <v>0</v>
      </c>
      <c r="F42" s="1">
        <f>IF(OR(Table4[[#This Row],[INSTALLMENT]]=2,Table4[[#This Row],[INSTALLMENT]]=3),2,0)</f>
        <v>0</v>
      </c>
      <c r="G42" s="1">
        <f>IF(OR(Table4[[#This Row],[INSTALLMENT]]=3),3,0)</f>
        <v>0</v>
      </c>
    </row>
    <row r="43" spans="1:7">
      <c r="A43" s="1">
        <v>42</v>
      </c>
      <c r="B43" s="1" t="s">
        <v>1985</v>
      </c>
      <c r="C43" s="1" t="s">
        <v>515</v>
      </c>
      <c r="D43" s="1">
        <f>COUNTIFS('Raw Entries'!B:B,Table4[[#This Row],[Name]],'Raw Entries'!I:I,Table4[[#This Row],[BOOK No.]])</f>
        <v>0</v>
      </c>
      <c r="E43" s="1">
        <f t="array" ref="E43">IF(OR(Table4[[#This Row],[INSTALLMENT]]=1,Table4[[#This Row],[INSTALLMENT]]=2,Table4[[#This Row],[INSTALLMENT]]=3),1,0)</f>
        <v>0</v>
      </c>
      <c r="F43" s="1">
        <f>IF(OR(Table4[[#This Row],[INSTALLMENT]]=2,Table4[[#This Row],[INSTALLMENT]]=3),2,0)</f>
        <v>0</v>
      </c>
      <c r="G43" s="1">
        <f>IF(OR(Table4[[#This Row],[INSTALLMENT]]=3),3,0)</f>
        <v>0</v>
      </c>
    </row>
    <row r="44" spans="1:7">
      <c r="A44" s="1">
        <v>43</v>
      </c>
      <c r="B44" s="1" t="s">
        <v>375</v>
      </c>
      <c r="C44" s="1" t="s">
        <v>515</v>
      </c>
      <c r="D44" s="1">
        <f>COUNTIFS('Raw Entries'!B:B,Table4[[#This Row],[Name]],'Raw Entries'!I:I,Table4[[#This Row],[BOOK No.]])</f>
        <v>1</v>
      </c>
      <c r="E44" s="1">
        <f t="array" ref="E44">IF(OR(Table4[[#This Row],[INSTALLMENT]]=1,Table4[[#This Row],[INSTALLMENT]]=2,Table4[[#This Row],[INSTALLMENT]]=3),1,0)</f>
        <v>1</v>
      </c>
      <c r="F44" s="1">
        <f>IF(OR(Table4[[#This Row],[INSTALLMENT]]=2,Table4[[#This Row],[INSTALLMENT]]=3),2,0)</f>
        <v>0</v>
      </c>
      <c r="G44" s="1">
        <f>IF(OR(Table4[[#This Row],[INSTALLMENT]]=3),3,0)</f>
        <v>0</v>
      </c>
    </row>
    <row r="45" spans="1:7">
      <c r="A45" s="1">
        <v>44</v>
      </c>
      <c r="B45" s="1" t="s">
        <v>1986</v>
      </c>
      <c r="C45" s="1" t="s">
        <v>515</v>
      </c>
      <c r="D45" s="1">
        <f>COUNTIFS('Raw Entries'!B:B,Table4[[#This Row],[Name]],'Raw Entries'!I:I,Table4[[#This Row],[BOOK No.]])</f>
        <v>0</v>
      </c>
      <c r="E45" s="1">
        <f t="array" ref="E45">IF(OR(Table4[[#This Row],[INSTALLMENT]]=1,Table4[[#This Row],[INSTALLMENT]]=2,Table4[[#This Row],[INSTALLMENT]]=3),1,0)</f>
        <v>0</v>
      </c>
      <c r="F45" s="1">
        <f>IF(OR(Table4[[#This Row],[INSTALLMENT]]=2,Table4[[#This Row],[INSTALLMENT]]=3),2,0)</f>
        <v>0</v>
      </c>
      <c r="G45" s="1">
        <f>IF(OR(Table4[[#This Row],[INSTALLMENT]]=3),3,0)</f>
        <v>0</v>
      </c>
    </row>
    <row r="46" spans="1:7">
      <c r="A46" s="1">
        <v>45</v>
      </c>
      <c r="B46" s="1" t="s">
        <v>1987</v>
      </c>
      <c r="C46" s="1" t="s">
        <v>515</v>
      </c>
      <c r="D46" s="1">
        <f>COUNTIFS('Raw Entries'!B:B,Table4[[#This Row],[Name]],'Raw Entries'!I:I,Table4[[#This Row],[BOOK No.]])</f>
        <v>0</v>
      </c>
      <c r="E46" s="1">
        <f t="array" ref="E46">IF(OR(Table4[[#This Row],[INSTALLMENT]]=1,Table4[[#This Row],[INSTALLMENT]]=2,Table4[[#This Row],[INSTALLMENT]]=3),1,0)</f>
        <v>0</v>
      </c>
      <c r="F46" s="1">
        <f>IF(OR(Table4[[#This Row],[INSTALLMENT]]=2,Table4[[#This Row],[INSTALLMENT]]=3),2,0)</f>
        <v>0</v>
      </c>
      <c r="G46" s="1">
        <f>IF(OR(Table4[[#This Row],[INSTALLMENT]]=3),3,0)</f>
        <v>0</v>
      </c>
    </row>
    <row r="47" spans="1:7">
      <c r="A47" s="1">
        <v>46</v>
      </c>
      <c r="B47" s="1" t="s">
        <v>516</v>
      </c>
      <c r="C47" s="1" t="s">
        <v>515</v>
      </c>
      <c r="D47" s="1">
        <f>COUNTIFS('Raw Entries'!B:B,Table4[[#This Row],[Name]],'Raw Entries'!I:I,Table4[[#This Row],[BOOK No.]])</f>
        <v>1</v>
      </c>
      <c r="E47" s="1">
        <f t="array" ref="E47">IF(OR(Table4[[#This Row],[INSTALLMENT]]=1,Table4[[#This Row],[INSTALLMENT]]=2,Table4[[#This Row],[INSTALLMENT]]=3),1,0)</f>
        <v>1</v>
      </c>
      <c r="F47" s="1">
        <f>IF(OR(Table4[[#This Row],[INSTALLMENT]]=2,Table4[[#This Row],[INSTALLMENT]]=3),2,0)</f>
        <v>0</v>
      </c>
      <c r="G47" s="1">
        <f>IF(OR(Table4[[#This Row],[INSTALLMENT]]=3),3,0)</f>
        <v>0</v>
      </c>
    </row>
    <row r="48" spans="1:7">
      <c r="A48" s="1">
        <v>47</v>
      </c>
      <c r="B48" s="1" t="s">
        <v>1988</v>
      </c>
      <c r="C48" s="1" t="s">
        <v>515</v>
      </c>
      <c r="D48" s="1">
        <f>COUNTIFS('Raw Entries'!B:B,Table4[[#This Row],[Name]],'Raw Entries'!I:I,Table4[[#This Row],[BOOK No.]])</f>
        <v>0</v>
      </c>
      <c r="E48" s="1">
        <f t="array" ref="E48">IF(OR(Table4[[#This Row],[INSTALLMENT]]=1,Table4[[#This Row],[INSTALLMENT]]=2,Table4[[#This Row],[INSTALLMENT]]=3),1,0)</f>
        <v>0</v>
      </c>
      <c r="F48" s="1">
        <f>IF(OR(Table4[[#This Row],[INSTALLMENT]]=2,Table4[[#This Row],[INSTALLMENT]]=3),2,0)</f>
        <v>0</v>
      </c>
      <c r="G48" s="1">
        <f>IF(OR(Table4[[#This Row],[INSTALLMENT]]=3),3,0)</f>
        <v>0</v>
      </c>
    </row>
    <row r="49" spans="1:7">
      <c r="A49" s="1">
        <v>48</v>
      </c>
      <c r="B49" s="1" t="s">
        <v>1989</v>
      </c>
      <c r="C49" s="1" t="s">
        <v>515</v>
      </c>
      <c r="D49" s="1">
        <f>COUNTIFS('Raw Entries'!B:B,Table4[[#This Row],[Name]],'Raw Entries'!I:I,Table4[[#This Row],[BOOK No.]])</f>
        <v>0</v>
      </c>
      <c r="E49" s="1">
        <f t="array" ref="E49">IF(OR(Table4[[#This Row],[INSTALLMENT]]=1,Table4[[#This Row],[INSTALLMENT]]=2,Table4[[#This Row],[INSTALLMENT]]=3),1,0)</f>
        <v>0</v>
      </c>
      <c r="F49" s="1">
        <f>IF(OR(Table4[[#This Row],[INSTALLMENT]]=2,Table4[[#This Row],[INSTALLMENT]]=3),2,0)</f>
        <v>0</v>
      </c>
      <c r="G49" s="1">
        <f>IF(OR(Table4[[#This Row],[INSTALLMENT]]=3),3,0)</f>
        <v>0</v>
      </c>
    </row>
    <row r="50" spans="1:7">
      <c r="A50" s="1">
        <v>49</v>
      </c>
      <c r="B50" s="1" t="s">
        <v>519</v>
      </c>
      <c r="C50" s="1" t="s">
        <v>515</v>
      </c>
      <c r="D50" s="1">
        <f>COUNTIFS('Raw Entries'!B:B,Table4[[#This Row],[Name]],'Raw Entries'!I:I,Table4[[#This Row],[BOOK No.]])</f>
        <v>3</v>
      </c>
      <c r="E50" s="1">
        <f t="array" ref="E50">IF(OR(Table4[[#This Row],[INSTALLMENT]]=1,Table4[[#This Row],[INSTALLMENT]]=2,Table4[[#This Row],[INSTALLMENT]]=3),1,0)</f>
        <v>1</v>
      </c>
      <c r="F50" s="1">
        <f>IF(OR(Table4[[#This Row],[INSTALLMENT]]=2,Table4[[#This Row],[INSTALLMENT]]=3),2,0)</f>
        <v>2</v>
      </c>
      <c r="G50" s="1">
        <f>IF(OR(Table4[[#This Row],[INSTALLMENT]]=3),3,0)</f>
        <v>3</v>
      </c>
    </row>
    <row r="51" spans="1:7">
      <c r="A51" s="1">
        <v>50</v>
      </c>
      <c r="B51" s="1" t="s">
        <v>1990</v>
      </c>
      <c r="C51" s="1" t="s">
        <v>515</v>
      </c>
      <c r="D51" s="1">
        <f>COUNTIFS('Raw Entries'!B:B,Table4[[#This Row],[Name]],'Raw Entries'!I:I,Table4[[#This Row],[BOOK No.]])</f>
        <v>0</v>
      </c>
      <c r="E51" s="1">
        <f t="array" ref="E51">IF(OR(Table4[[#This Row],[INSTALLMENT]]=1,Table4[[#This Row],[INSTALLMENT]]=2,Table4[[#This Row],[INSTALLMENT]]=3),1,0)</f>
        <v>0</v>
      </c>
      <c r="F51" s="1">
        <f>IF(OR(Table4[[#This Row],[INSTALLMENT]]=2,Table4[[#This Row],[INSTALLMENT]]=3),2,0)</f>
        <v>0</v>
      </c>
      <c r="G51" s="1">
        <f>IF(OR(Table4[[#This Row],[INSTALLMENT]]=3),3,0)</f>
        <v>0</v>
      </c>
    </row>
    <row r="52" spans="1:7">
      <c r="A52" s="1">
        <v>51</v>
      </c>
      <c r="B52" s="1" t="s">
        <v>1991</v>
      </c>
      <c r="C52" s="1" t="s">
        <v>515</v>
      </c>
      <c r="D52" s="1">
        <f>COUNTIFS('Raw Entries'!B:B,Table4[[#This Row],[Name]],'Raw Entries'!I:I,Table4[[#This Row],[BOOK No.]])</f>
        <v>0</v>
      </c>
      <c r="E52" s="1">
        <f t="array" ref="E52">IF(OR(Table4[[#This Row],[INSTALLMENT]]=1,Table4[[#This Row],[INSTALLMENT]]=2,Table4[[#This Row],[INSTALLMENT]]=3),1,0)</f>
        <v>0</v>
      </c>
      <c r="F52" s="1">
        <f>IF(OR(Table4[[#This Row],[INSTALLMENT]]=2,Table4[[#This Row],[INSTALLMENT]]=3),2,0)</f>
        <v>0</v>
      </c>
      <c r="G52" s="1">
        <f>IF(OR(Table4[[#This Row],[INSTALLMENT]]=3),3,0)</f>
        <v>0</v>
      </c>
    </row>
    <row r="53" spans="1:7">
      <c r="A53" s="1">
        <v>52</v>
      </c>
      <c r="B53" s="1" t="s">
        <v>1992</v>
      </c>
      <c r="C53" s="1" t="s">
        <v>515</v>
      </c>
      <c r="D53" s="1">
        <f>COUNTIFS('Raw Entries'!B:B,Table4[[#This Row],[Name]],'Raw Entries'!I:I,Table4[[#This Row],[BOOK No.]])</f>
        <v>0</v>
      </c>
      <c r="E53" s="1">
        <f t="array" ref="E53">IF(OR(Table4[[#This Row],[INSTALLMENT]]=1,Table4[[#This Row],[INSTALLMENT]]=2,Table4[[#This Row],[INSTALLMENT]]=3),1,0)</f>
        <v>0</v>
      </c>
      <c r="F53" s="1">
        <f>IF(OR(Table4[[#This Row],[INSTALLMENT]]=2,Table4[[#This Row],[INSTALLMENT]]=3),2,0)</f>
        <v>0</v>
      </c>
      <c r="G53" s="1">
        <f>IF(OR(Table4[[#This Row],[INSTALLMENT]]=3),3,0)</f>
        <v>0</v>
      </c>
    </row>
    <row r="54" spans="1:7">
      <c r="A54" s="1">
        <v>53</v>
      </c>
      <c r="B54" s="1" t="s">
        <v>1993</v>
      </c>
      <c r="C54" s="1" t="s">
        <v>515</v>
      </c>
      <c r="D54" s="1">
        <f>COUNTIFS('Raw Entries'!B:B,Table4[[#This Row],[Name]],'Raw Entries'!I:I,Table4[[#This Row],[BOOK No.]])</f>
        <v>0</v>
      </c>
      <c r="E54" s="1">
        <f t="array" ref="E54">IF(OR(Table4[[#This Row],[INSTALLMENT]]=1,Table4[[#This Row],[INSTALLMENT]]=2,Table4[[#This Row],[INSTALLMENT]]=3),1,0)</f>
        <v>0</v>
      </c>
      <c r="F54" s="1">
        <f>IF(OR(Table4[[#This Row],[INSTALLMENT]]=2,Table4[[#This Row],[INSTALLMENT]]=3),2,0)</f>
        <v>0</v>
      </c>
      <c r="G54" s="1">
        <f>IF(OR(Table4[[#This Row],[INSTALLMENT]]=3),3,0)</f>
        <v>0</v>
      </c>
    </row>
    <row r="55" spans="1:7">
      <c r="A55" s="1">
        <v>54</v>
      </c>
      <c r="B55" s="1" t="s">
        <v>1994</v>
      </c>
      <c r="C55" s="1" t="s">
        <v>515</v>
      </c>
      <c r="D55" s="1">
        <f>COUNTIFS('Raw Entries'!B:B,Table4[[#This Row],[Name]],'Raw Entries'!I:I,Table4[[#This Row],[BOOK No.]])</f>
        <v>0</v>
      </c>
      <c r="E55" s="1">
        <f t="array" ref="E55">IF(OR(Table4[[#This Row],[INSTALLMENT]]=1,Table4[[#This Row],[INSTALLMENT]]=2,Table4[[#This Row],[INSTALLMENT]]=3),1,0)</f>
        <v>0</v>
      </c>
      <c r="F55" s="1">
        <f>IF(OR(Table4[[#This Row],[INSTALLMENT]]=2,Table4[[#This Row],[INSTALLMENT]]=3),2,0)</f>
        <v>0</v>
      </c>
      <c r="G55" s="1">
        <f>IF(OR(Table4[[#This Row],[INSTALLMENT]]=3),3,0)</f>
        <v>0</v>
      </c>
    </row>
    <row r="56" spans="1:7">
      <c r="A56" s="1">
        <v>55</v>
      </c>
      <c r="B56" s="1" t="s">
        <v>1995</v>
      </c>
      <c r="C56" s="1" t="s">
        <v>515</v>
      </c>
      <c r="D56" s="1">
        <f>COUNTIFS('Raw Entries'!B:B,Table4[[#This Row],[Name]],'Raw Entries'!I:I,Table4[[#This Row],[BOOK No.]])</f>
        <v>0</v>
      </c>
      <c r="E56" s="1">
        <f t="array" ref="E56">IF(OR(Table4[[#This Row],[INSTALLMENT]]=1,Table4[[#This Row],[INSTALLMENT]]=2,Table4[[#This Row],[INSTALLMENT]]=3),1,0)</f>
        <v>0</v>
      </c>
      <c r="F56" s="1">
        <f>IF(OR(Table4[[#This Row],[INSTALLMENT]]=2,Table4[[#This Row],[INSTALLMENT]]=3),2,0)</f>
        <v>0</v>
      </c>
      <c r="G56" s="1">
        <f>IF(OR(Table4[[#This Row],[INSTALLMENT]]=3),3,0)</f>
        <v>0</v>
      </c>
    </row>
    <row r="57" spans="1:7">
      <c r="A57" s="1">
        <v>56</v>
      </c>
      <c r="B57" s="1" t="s">
        <v>1996</v>
      </c>
      <c r="C57" s="1" t="s">
        <v>515</v>
      </c>
      <c r="D57" s="1">
        <f>COUNTIFS('Raw Entries'!B:B,Table4[[#This Row],[Name]],'Raw Entries'!I:I,Table4[[#This Row],[BOOK No.]])</f>
        <v>0</v>
      </c>
      <c r="E57" s="1">
        <f t="array" ref="E57">IF(OR(Table4[[#This Row],[INSTALLMENT]]=1,Table4[[#This Row],[INSTALLMENT]]=2,Table4[[#This Row],[INSTALLMENT]]=3),1,0)</f>
        <v>0</v>
      </c>
      <c r="F57" s="1">
        <f>IF(OR(Table4[[#This Row],[INSTALLMENT]]=2,Table4[[#This Row],[INSTALLMENT]]=3),2,0)</f>
        <v>0</v>
      </c>
      <c r="G57" s="1">
        <f>IF(OR(Table4[[#This Row],[INSTALLMENT]]=3),3,0)</f>
        <v>0</v>
      </c>
    </row>
    <row r="58" spans="1:7">
      <c r="A58" s="1">
        <v>57</v>
      </c>
      <c r="B58" s="1" t="s">
        <v>1997</v>
      </c>
      <c r="C58" s="1" t="s">
        <v>515</v>
      </c>
      <c r="D58" s="1">
        <f>COUNTIFS('Raw Entries'!B:B,Table4[[#This Row],[Name]],'Raw Entries'!I:I,Table4[[#This Row],[BOOK No.]])</f>
        <v>0</v>
      </c>
      <c r="E58" s="1">
        <f t="array" ref="E58">IF(OR(Table4[[#This Row],[INSTALLMENT]]=1,Table4[[#This Row],[INSTALLMENT]]=2,Table4[[#This Row],[INSTALLMENT]]=3),1,0)</f>
        <v>0</v>
      </c>
      <c r="F58" s="1">
        <f>IF(OR(Table4[[#This Row],[INSTALLMENT]]=2,Table4[[#This Row],[INSTALLMENT]]=3),2,0)</f>
        <v>0</v>
      </c>
      <c r="G58" s="1">
        <f>IF(OR(Table4[[#This Row],[INSTALLMENT]]=3),3,0)</f>
        <v>0</v>
      </c>
    </row>
    <row r="59" spans="1:7">
      <c r="A59" s="1">
        <v>58</v>
      </c>
      <c r="B59" s="1" t="s">
        <v>1998</v>
      </c>
      <c r="C59" s="1" t="s">
        <v>515</v>
      </c>
      <c r="D59" s="1">
        <f>COUNTIFS('Raw Entries'!B:B,Table4[[#This Row],[Name]],'Raw Entries'!I:I,Table4[[#This Row],[BOOK No.]])</f>
        <v>0</v>
      </c>
      <c r="E59" s="1">
        <f t="array" ref="E59">IF(OR(Table4[[#This Row],[INSTALLMENT]]=1,Table4[[#This Row],[INSTALLMENT]]=2,Table4[[#This Row],[INSTALLMENT]]=3),1,0)</f>
        <v>0</v>
      </c>
      <c r="F59" s="1">
        <f>IF(OR(Table4[[#This Row],[INSTALLMENT]]=2,Table4[[#This Row],[INSTALLMENT]]=3),2,0)</f>
        <v>0</v>
      </c>
      <c r="G59" s="1">
        <f>IF(OR(Table4[[#This Row],[INSTALLMENT]]=3),3,0)</f>
        <v>0</v>
      </c>
    </row>
    <row r="60" spans="1:7">
      <c r="A60" s="1">
        <v>59</v>
      </c>
      <c r="B60" s="1" t="s">
        <v>1846</v>
      </c>
      <c r="C60" s="1" t="s">
        <v>515</v>
      </c>
      <c r="D60" s="1">
        <f>COUNTIFS('Raw Entries'!B:B,Table4[[#This Row],[Name]],'Raw Entries'!I:I,Table4[[#This Row],[BOOK No.]])</f>
        <v>1</v>
      </c>
      <c r="E60" s="1">
        <f t="array" ref="E60">IF(OR(Table4[[#This Row],[INSTALLMENT]]=1,Table4[[#This Row],[INSTALLMENT]]=2,Table4[[#This Row],[INSTALLMENT]]=3),1,0)</f>
        <v>1</v>
      </c>
      <c r="F60" s="1">
        <f>IF(OR(Table4[[#This Row],[INSTALLMENT]]=2,Table4[[#This Row],[INSTALLMENT]]=3),2,0)</f>
        <v>0</v>
      </c>
      <c r="G60" s="1">
        <f>IF(OR(Table4[[#This Row],[INSTALLMENT]]=3),3,0)</f>
        <v>0</v>
      </c>
    </row>
    <row r="61" spans="1:7">
      <c r="A61" s="1">
        <v>60</v>
      </c>
      <c r="B61" s="1" t="s">
        <v>1999</v>
      </c>
      <c r="C61" s="1" t="s">
        <v>515</v>
      </c>
      <c r="D61" s="1">
        <f>COUNTIFS('Raw Entries'!B:B,Table4[[#This Row],[Name]],'Raw Entries'!I:I,Table4[[#This Row],[BOOK No.]])</f>
        <v>0</v>
      </c>
      <c r="E61" s="1">
        <f t="array" ref="E61">IF(OR(Table4[[#This Row],[INSTALLMENT]]=1,Table4[[#This Row],[INSTALLMENT]]=2,Table4[[#This Row],[INSTALLMENT]]=3),1,0)</f>
        <v>0</v>
      </c>
      <c r="F61" s="1">
        <f>IF(OR(Table4[[#This Row],[INSTALLMENT]]=2,Table4[[#This Row],[INSTALLMENT]]=3),2,0)</f>
        <v>0</v>
      </c>
      <c r="G61" s="1">
        <f>IF(OR(Table4[[#This Row],[INSTALLMENT]]=3),3,0)</f>
        <v>0</v>
      </c>
    </row>
    <row r="62" spans="1:7">
      <c r="A62" s="1">
        <v>61</v>
      </c>
      <c r="B62" s="1" t="s">
        <v>2000</v>
      </c>
      <c r="C62" s="1" t="s">
        <v>515</v>
      </c>
      <c r="D62" s="1">
        <f>COUNTIFS('Raw Entries'!B:B,Table4[[#This Row],[Name]],'Raw Entries'!I:I,Table4[[#This Row],[BOOK No.]])</f>
        <v>0</v>
      </c>
      <c r="E62" s="1">
        <f t="array" ref="E62">IF(OR(Table4[[#This Row],[INSTALLMENT]]=1,Table4[[#This Row],[INSTALLMENT]]=2,Table4[[#This Row],[INSTALLMENT]]=3),1,0)</f>
        <v>0</v>
      </c>
      <c r="F62" s="1">
        <f>IF(OR(Table4[[#This Row],[INSTALLMENT]]=2,Table4[[#This Row],[INSTALLMENT]]=3),2,0)</f>
        <v>0</v>
      </c>
      <c r="G62" s="1">
        <f>IF(OR(Table4[[#This Row],[INSTALLMENT]]=3),3,0)</f>
        <v>0</v>
      </c>
    </row>
    <row r="63" spans="1:7">
      <c r="A63" s="1">
        <v>62</v>
      </c>
      <c r="B63" s="1" t="s">
        <v>2001</v>
      </c>
      <c r="C63" s="1" t="s">
        <v>515</v>
      </c>
      <c r="D63" s="1">
        <f>COUNTIFS('Raw Entries'!B:B,Table4[[#This Row],[Name]],'Raw Entries'!I:I,Table4[[#This Row],[BOOK No.]])</f>
        <v>0</v>
      </c>
      <c r="E63" s="1">
        <f t="array" ref="E63">IF(OR(Table4[[#This Row],[INSTALLMENT]]=1,Table4[[#This Row],[INSTALLMENT]]=2,Table4[[#This Row],[INSTALLMENT]]=3),1,0)</f>
        <v>0</v>
      </c>
      <c r="F63" s="1">
        <f>IF(OR(Table4[[#This Row],[INSTALLMENT]]=2,Table4[[#This Row],[INSTALLMENT]]=3),2,0)</f>
        <v>0</v>
      </c>
      <c r="G63" s="1">
        <f>IF(OR(Table4[[#This Row],[INSTALLMENT]]=3),3,0)</f>
        <v>0</v>
      </c>
    </row>
    <row r="64" spans="1:7">
      <c r="A64" s="1">
        <v>63</v>
      </c>
      <c r="B64" s="1" t="s">
        <v>2002</v>
      </c>
      <c r="C64" s="1" t="s">
        <v>515</v>
      </c>
      <c r="D64" s="1">
        <f>COUNTIFS('Raw Entries'!B:B,Table4[[#This Row],[Name]],'Raw Entries'!I:I,Table4[[#This Row],[BOOK No.]])</f>
        <v>0</v>
      </c>
      <c r="E64" s="1">
        <f t="array" ref="E64">IF(OR(Table4[[#This Row],[INSTALLMENT]]=1,Table4[[#This Row],[INSTALLMENT]]=2,Table4[[#This Row],[INSTALLMENT]]=3),1,0)</f>
        <v>0</v>
      </c>
      <c r="F64" s="1">
        <f>IF(OR(Table4[[#This Row],[INSTALLMENT]]=2,Table4[[#This Row],[INSTALLMENT]]=3),2,0)</f>
        <v>0</v>
      </c>
      <c r="G64" s="1">
        <f>IF(OR(Table4[[#This Row],[INSTALLMENT]]=3),3,0)</f>
        <v>0</v>
      </c>
    </row>
    <row r="65" spans="1:7">
      <c r="A65" s="1">
        <v>64</v>
      </c>
      <c r="B65" s="1" t="s">
        <v>2003</v>
      </c>
      <c r="C65" s="1" t="s">
        <v>515</v>
      </c>
      <c r="D65" s="1">
        <f>COUNTIFS('Raw Entries'!B:B,Table4[[#This Row],[Name]],'Raw Entries'!I:I,Table4[[#This Row],[BOOK No.]])</f>
        <v>0</v>
      </c>
      <c r="E65" s="1">
        <f t="array" ref="E65">IF(OR(Table4[[#This Row],[INSTALLMENT]]=1,Table4[[#This Row],[INSTALLMENT]]=2,Table4[[#This Row],[INSTALLMENT]]=3),1,0)</f>
        <v>0</v>
      </c>
      <c r="F65" s="1">
        <f>IF(OR(Table4[[#This Row],[INSTALLMENT]]=2,Table4[[#This Row],[INSTALLMENT]]=3),2,0)</f>
        <v>0</v>
      </c>
      <c r="G65" s="1">
        <f>IF(OR(Table4[[#This Row],[INSTALLMENT]]=3),3,0)</f>
        <v>0</v>
      </c>
    </row>
    <row r="66" spans="1:7">
      <c r="A66" s="1">
        <v>65</v>
      </c>
      <c r="B66" s="1" t="s">
        <v>2004</v>
      </c>
      <c r="C66" s="1" t="s">
        <v>520</v>
      </c>
      <c r="D66" s="1">
        <f>COUNTIFS('Raw Entries'!B:B,Table4[[#This Row],[Name]],'Raw Entries'!I:I,Table4[[#This Row],[BOOK No.]])</f>
        <v>0</v>
      </c>
      <c r="E66" s="1">
        <f t="array" ref="E66">IF(OR(Table4[[#This Row],[INSTALLMENT]]=1,Table4[[#This Row],[INSTALLMENT]]=2,Table4[[#This Row],[INSTALLMENT]]=3),1,0)</f>
        <v>0</v>
      </c>
      <c r="F66" s="1">
        <f>IF(OR(Table4[[#This Row],[INSTALLMENT]]=2,Table4[[#This Row],[INSTALLMENT]]=3),2,0)</f>
        <v>0</v>
      </c>
      <c r="G66" s="1">
        <f>IF(OR(Table4[[#This Row],[INSTALLMENT]]=3),3,0)</f>
        <v>0</v>
      </c>
    </row>
    <row r="67" spans="1:7">
      <c r="A67" s="1">
        <v>66</v>
      </c>
      <c r="B67" s="1" t="s">
        <v>2005</v>
      </c>
      <c r="C67" s="1" t="s">
        <v>520</v>
      </c>
      <c r="D67" s="1">
        <f>COUNTIFS('Raw Entries'!B:B,Table4[[#This Row],[Name]],'Raw Entries'!I:I,Table4[[#This Row],[BOOK No.]])</f>
        <v>0</v>
      </c>
      <c r="E67" s="1">
        <f t="array" ref="E67">IF(OR(Table4[[#This Row],[INSTALLMENT]]=1,Table4[[#This Row],[INSTALLMENT]]=2,Table4[[#This Row],[INSTALLMENT]]=3),1,0)</f>
        <v>0</v>
      </c>
      <c r="F67" s="1">
        <f>IF(OR(Table4[[#This Row],[INSTALLMENT]]=2,Table4[[#This Row],[INSTALLMENT]]=3),2,0)</f>
        <v>0</v>
      </c>
      <c r="G67" s="1">
        <f>IF(OR(Table4[[#This Row],[INSTALLMENT]]=3),3,0)</f>
        <v>0</v>
      </c>
    </row>
    <row r="68" spans="1:7">
      <c r="A68" s="1">
        <v>67</v>
      </c>
      <c r="B68" s="1" t="s">
        <v>2006</v>
      </c>
      <c r="C68" s="1" t="s">
        <v>520</v>
      </c>
      <c r="D68" s="1">
        <f>COUNTIFS('Raw Entries'!B:B,Table4[[#This Row],[Name]],'Raw Entries'!I:I,Table4[[#This Row],[BOOK No.]])</f>
        <v>0</v>
      </c>
      <c r="E68" s="1">
        <f t="array" ref="E68">IF(OR(Table4[[#This Row],[INSTALLMENT]]=1,Table4[[#This Row],[INSTALLMENT]]=2,Table4[[#This Row],[INSTALLMENT]]=3),1,0)</f>
        <v>0</v>
      </c>
      <c r="F68" s="1">
        <f>IF(OR(Table4[[#This Row],[INSTALLMENT]]=2,Table4[[#This Row],[INSTALLMENT]]=3),2,0)</f>
        <v>0</v>
      </c>
      <c r="G68" s="1">
        <f>IF(OR(Table4[[#This Row],[INSTALLMENT]]=3),3,0)</f>
        <v>0</v>
      </c>
    </row>
    <row r="69" spans="1:7">
      <c r="A69" s="1">
        <v>68</v>
      </c>
      <c r="B69" s="1" t="s">
        <v>2007</v>
      </c>
      <c r="C69" s="1" t="s">
        <v>520</v>
      </c>
      <c r="D69" s="1">
        <f>COUNTIFS('Raw Entries'!B:B,Table4[[#This Row],[Name]],'Raw Entries'!I:I,Table4[[#This Row],[BOOK No.]])</f>
        <v>0</v>
      </c>
      <c r="E69" s="1">
        <f t="array" ref="E69">IF(OR(Table4[[#This Row],[INSTALLMENT]]=1,Table4[[#This Row],[INSTALLMENT]]=2,Table4[[#This Row],[INSTALLMENT]]=3),1,0)</f>
        <v>0</v>
      </c>
      <c r="F69" s="1">
        <f>IF(OR(Table4[[#This Row],[INSTALLMENT]]=2,Table4[[#This Row],[INSTALLMENT]]=3),2,0)</f>
        <v>0</v>
      </c>
      <c r="G69" s="1">
        <f>IF(OR(Table4[[#This Row],[INSTALLMENT]]=3),3,0)</f>
        <v>0</v>
      </c>
    </row>
    <row r="70" spans="1:7">
      <c r="A70" s="1">
        <v>69</v>
      </c>
      <c r="B70" s="1" t="s">
        <v>523</v>
      </c>
      <c r="C70" s="1" t="s">
        <v>520</v>
      </c>
      <c r="D70" s="1">
        <f>COUNTIFS('Raw Entries'!B:B,Table4[[#This Row],[Name]],'Raw Entries'!I:I,Table4[[#This Row],[BOOK No.]])</f>
        <v>1</v>
      </c>
      <c r="E70" s="1">
        <f t="array" ref="E70">IF(OR(Table4[[#This Row],[INSTALLMENT]]=1,Table4[[#This Row],[INSTALLMENT]]=2,Table4[[#This Row],[INSTALLMENT]]=3),1,0)</f>
        <v>1</v>
      </c>
      <c r="F70" s="1">
        <f>IF(OR(Table4[[#This Row],[INSTALLMENT]]=2,Table4[[#This Row],[INSTALLMENT]]=3),2,0)</f>
        <v>0</v>
      </c>
      <c r="G70" s="1">
        <f>IF(OR(Table4[[#This Row],[INSTALLMENT]]=3),3,0)</f>
        <v>0</v>
      </c>
    </row>
    <row r="71" spans="1:7">
      <c r="A71" s="1">
        <v>70</v>
      </c>
      <c r="B71" s="1" t="s">
        <v>2008</v>
      </c>
      <c r="C71" s="1" t="s">
        <v>520</v>
      </c>
      <c r="D71" s="1">
        <f>COUNTIFS('Raw Entries'!B:B,Table4[[#This Row],[Name]],'Raw Entries'!I:I,Table4[[#This Row],[BOOK No.]])</f>
        <v>0</v>
      </c>
      <c r="E71" s="1">
        <f t="array" ref="E71">IF(OR(Table4[[#This Row],[INSTALLMENT]]=1,Table4[[#This Row],[INSTALLMENT]]=2,Table4[[#This Row],[INSTALLMENT]]=3),1,0)</f>
        <v>0</v>
      </c>
      <c r="F71" s="1">
        <f>IF(OR(Table4[[#This Row],[INSTALLMENT]]=2,Table4[[#This Row],[INSTALLMENT]]=3),2,0)</f>
        <v>0</v>
      </c>
      <c r="G71" s="1">
        <f>IF(OR(Table4[[#This Row],[INSTALLMENT]]=3),3,0)</f>
        <v>0</v>
      </c>
    </row>
    <row r="72" spans="1:7">
      <c r="A72" s="1">
        <v>71</v>
      </c>
      <c r="B72" s="1" t="s">
        <v>2009</v>
      </c>
      <c r="C72" s="1" t="s">
        <v>520</v>
      </c>
      <c r="D72" s="1">
        <f>COUNTIFS('Raw Entries'!B:B,Table4[[#This Row],[Name]],'Raw Entries'!I:I,Table4[[#This Row],[BOOK No.]])</f>
        <v>0</v>
      </c>
      <c r="E72" s="1">
        <f t="array" ref="E72">IF(OR(Table4[[#This Row],[INSTALLMENT]]=1,Table4[[#This Row],[INSTALLMENT]]=2,Table4[[#This Row],[INSTALLMENT]]=3),1,0)</f>
        <v>0</v>
      </c>
      <c r="F72" s="1">
        <f>IF(OR(Table4[[#This Row],[INSTALLMENT]]=2,Table4[[#This Row],[INSTALLMENT]]=3),2,0)</f>
        <v>0</v>
      </c>
      <c r="G72" s="1">
        <f>IF(OR(Table4[[#This Row],[INSTALLMENT]]=3),3,0)</f>
        <v>0</v>
      </c>
    </row>
    <row r="73" spans="1:7">
      <c r="A73" s="1">
        <v>72</v>
      </c>
      <c r="B73" s="1" t="s">
        <v>522</v>
      </c>
      <c r="C73" s="1" t="s">
        <v>520</v>
      </c>
      <c r="D73" s="1">
        <f>COUNTIFS('Raw Entries'!B:B,Table4[[#This Row],[Name]],'Raw Entries'!I:I,Table4[[#This Row],[BOOK No.]])</f>
        <v>1</v>
      </c>
      <c r="E73" s="1">
        <f t="array" ref="E73">IF(OR(Table4[[#This Row],[INSTALLMENT]]=1,Table4[[#This Row],[INSTALLMENT]]=2,Table4[[#This Row],[INSTALLMENT]]=3),1,0)</f>
        <v>1</v>
      </c>
      <c r="F73" s="1">
        <f>IF(OR(Table4[[#This Row],[INSTALLMENT]]=2,Table4[[#This Row],[INSTALLMENT]]=3),2,0)</f>
        <v>0</v>
      </c>
      <c r="G73" s="1">
        <f>IF(OR(Table4[[#This Row],[INSTALLMENT]]=3),3,0)</f>
        <v>0</v>
      </c>
    </row>
    <row r="74" spans="1:7">
      <c r="A74" s="1">
        <v>73</v>
      </c>
      <c r="B74" s="1" t="s">
        <v>2010</v>
      </c>
      <c r="C74" s="1" t="s">
        <v>520</v>
      </c>
      <c r="D74" s="1">
        <f>COUNTIFS('Raw Entries'!B:B,Table4[[#This Row],[Name]],'Raw Entries'!I:I,Table4[[#This Row],[BOOK No.]])</f>
        <v>0</v>
      </c>
      <c r="E74" s="1">
        <f t="array" ref="E74">IF(OR(Table4[[#This Row],[INSTALLMENT]]=1,Table4[[#This Row],[INSTALLMENT]]=2,Table4[[#This Row],[INSTALLMENT]]=3),1,0)</f>
        <v>0</v>
      </c>
      <c r="F74" s="1">
        <f>IF(OR(Table4[[#This Row],[INSTALLMENT]]=2,Table4[[#This Row],[INSTALLMENT]]=3),2,0)</f>
        <v>0</v>
      </c>
      <c r="G74" s="1">
        <f>IF(OR(Table4[[#This Row],[INSTALLMENT]]=3),3,0)</f>
        <v>0</v>
      </c>
    </row>
    <row r="75" spans="1:7">
      <c r="A75" s="1">
        <v>74</v>
      </c>
      <c r="B75" s="1" t="s">
        <v>139</v>
      </c>
      <c r="C75" s="1" t="s">
        <v>520</v>
      </c>
      <c r="D75" s="1">
        <f>COUNTIFS('Raw Entries'!B:B,Table4[[#This Row],[Name]],'Raw Entries'!I:I,Table4[[#This Row],[BOOK No.]])</f>
        <v>1</v>
      </c>
      <c r="E75" s="1">
        <f t="array" ref="E75">IF(OR(Table4[[#This Row],[INSTALLMENT]]=1,Table4[[#This Row],[INSTALLMENT]]=2,Table4[[#This Row],[INSTALLMENT]]=3),1,0)</f>
        <v>1</v>
      </c>
      <c r="F75" s="1">
        <f>IF(OR(Table4[[#This Row],[INSTALLMENT]]=2,Table4[[#This Row],[INSTALLMENT]]=3),2,0)</f>
        <v>0</v>
      </c>
      <c r="G75" s="1">
        <f>IF(OR(Table4[[#This Row],[INSTALLMENT]]=3),3,0)</f>
        <v>0</v>
      </c>
    </row>
    <row r="76" spans="1:7">
      <c r="A76" s="1">
        <v>75</v>
      </c>
      <c r="B76" s="1" t="s">
        <v>2011</v>
      </c>
      <c r="C76" s="1" t="s">
        <v>520</v>
      </c>
      <c r="D76" s="1">
        <f>COUNTIFS('Raw Entries'!B:B,Table4[[#This Row],[Name]],'Raw Entries'!I:I,Table4[[#This Row],[BOOK No.]])</f>
        <v>0</v>
      </c>
      <c r="E76" s="1">
        <f t="array" ref="E76">IF(OR(Table4[[#This Row],[INSTALLMENT]]=1,Table4[[#This Row],[INSTALLMENT]]=2,Table4[[#This Row],[INSTALLMENT]]=3),1,0)</f>
        <v>0</v>
      </c>
      <c r="F76" s="1">
        <f>IF(OR(Table4[[#This Row],[INSTALLMENT]]=2,Table4[[#This Row],[INSTALLMENT]]=3),2,0)</f>
        <v>0</v>
      </c>
      <c r="G76" s="1">
        <f>IF(OR(Table4[[#This Row],[INSTALLMENT]]=3),3,0)</f>
        <v>0</v>
      </c>
    </row>
    <row r="77" spans="1:7">
      <c r="A77" s="1">
        <v>76</v>
      </c>
      <c r="B77" s="1" t="s">
        <v>2012</v>
      </c>
      <c r="C77" s="1" t="s">
        <v>520</v>
      </c>
      <c r="D77" s="1">
        <f>COUNTIFS('Raw Entries'!B:B,Table4[[#This Row],[Name]],'Raw Entries'!I:I,Table4[[#This Row],[BOOK No.]])</f>
        <v>0</v>
      </c>
      <c r="E77" s="1">
        <f t="array" ref="E77">IF(OR(Table4[[#This Row],[INSTALLMENT]]=1,Table4[[#This Row],[INSTALLMENT]]=2,Table4[[#This Row],[INSTALLMENT]]=3),1,0)</f>
        <v>0</v>
      </c>
      <c r="F77" s="1">
        <f>IF(OR(Table4[[#This Row],[INSTALLMENT]]=2,Table4[[#This Row],[INSTALLMENT]]=3),2,0)</f>
        <v>0</v>
      </c>
      <c r="G77" s="1">
        <f>IF(OR(Table4[[#This Row],[INSTALLMENT]]=3),3,0)</f>
        <v>0</v>
      </c>
    </row>
    <row r="78" spans="1:7">
      <c r="A78" s="1">
        <v>77</v>
      </c>
      <c r="B78" s="1" t="s">
        <v>2013</v>
      </c>
      <c r="C78" s="1" t="s">
        <v>520</v>
      </c>
      <c r="D78" s="1">
        <f>COUNTIFS('Raw Entries'!B:B,Table4[[#This Row],[Name]],'Raw Entries'!I:I,Table4[[#This Row],[BOOK No.]])</f>
        <v>0</v>
      </c>
      <c r="E78" s="1">
        <f t="array" ref="E78">IF(OR(Table4[[#This Row],[INSTALLMENT]]=1,Table4[[#This Row],[INSTALLMENT]]=2,Table4[[#This Row],[INSTALLMENT]]=3),1,0)</f>
        <v>0</v>
      </c>
      <c r="F78" s="1">
        <f>IF(OR(Table4[[#This Row],[INSTALLMENT]]=2,Table4[[#This Row],[INSTALLMENT]]=3),2,0)</f>
        <v>0</v>
      </c>
      <c r="G78" s="1">
        <f>IF(OR(Table4[[#This Row],[INSTALLMENT]]=3),3,0)</f>
        <v>0</v>
      </c>
    </row>
    <row r="79" spans="1:7">
      <c r="A79" s="1">
        <v>78</v>
      </c>
      <c r="B79" s="1" t="s">
        <v>2014</v>
      </c>
      <c r="C79" s="1" t="s">
        <v>520</v>
      </c>
      <c r="D79" s="1">
        <f>COUNTIFS('Raw Entries'!B:B,Table4[[#This Row],[Name]],'Raw Entries'!I:I,Table4[[#This Row],[BOOK No.]])</f>
        <v>0</v>
      </c>
      <c r="E79" s="1">
        <f t="array" ref="E79">IF(OR(Table4[[#This Row],[INSTALLMENT]]=1,Table4[[#This Row],[INSTALLMENT]]=2,Table4[[#This Row],[INSTALLMENT]]=3),1,0)</f>
        <v>0</v>
      </c>
      <c r="F79" s="1">
        <f>IF(OR(Table4[[#This Row],[INSTALLMENT]]=2,Table4[[#This Row],[INSTALLMENT]]=3),2,0)</f>
        <v>0</v>
      </c>
      <c r="G79" s="1">
        <f>IF(OR(Table4[[#This Row],[INSTALLMENT]]=3),3,0)</f>
        <v>0</v>
      </c>
    </row>
    <row r="80" spans="1:7">
      <c r="A80" s="1">
        <v>79</v>
      </c>
      <c r="B80" s="1" t="s">
        <v>2015</v>
      </c>
      <c r="C80" s="1" t="s">
        <v>520</v>
      </c>
      <c r="D80" s="1">
        <f>COUNTIFS('Raw Entries'!B:B,Table4[[#This Row],[Name]],'Raw Entries'!I:I,Table4[[#This Row],[BOOK No.]])</f>
        <v>0</v>
      </c>
      <c r="E80" s="1">
        <f t="array" ref="E80">IF(OR(Table4[[#This Row],[INSTALLMENT]]=1,Table4[[#This Row],[INSTALLMENT]]=2,Table4[[#This Row],[INSTALLMENT]]=3),1,0)</f>
        <v>0</v>
      </c>
      <c r="F80" s="1">
        <f>IF(OR(Table4[[#This Row],[INSTALLMENT]]=2,Table4[[#This Row],[INSTALLMENT]]=3),2,0)</f>
        <v>0</v>
      </c>
      <c r="G80" s="1">
        <f>IF(OR(Table4[[#This Row],[INSTALLMENT]]=3),3,0)</f>
        <v>0</v>
      </c>
    </row>
    <row r="81" spans="1:7">
      <c r="A81" s="1">
        <v>80</v>
      </c>
      <c r="B81" s="1" t="s">
        <v>2016</v>
      </c>
      <c r="C81" s="1" t="s">
        <v>520</v>
      </c>
      <c r="D81" s="1">
        <f>COUNTIFS('Raw Entries'!B:B,Table4[[#This Row],[Name]],'Raw Entries'!I:I,Table4[[#This Row],[BOOK No.]])</f>
        <v>0</v>
      </c>
      <c r="E81" s="1">
        <f t="array" ref="E81">IF(OR(Table4[[#This Row],[INSTALLMENT]]=1,Table4[[#This Row],[INSTALLMENT]]=2,Table4[[#This Row],[INSTALLMENT]]=3),1,0)</f>
        <v>0</v>
      </c>
      <c r="F81" s="1">
        <f>IF(OR(Table4[[#This Row],[INSTALLMENT]]=2,Table4[[#This Row],[INSTALLMENT]]=3),2,0)</f>
        <v>0</v>
      </c>
      <c r="G81" s="1">
        <f>IF(OR(Table4[[#This Row],[INSTALLMENT]]=3),3,0)</f>
        <v>0</v>
      </c>
    </row>
    <row r="82" spans="1:7">
      <c r="A82" s="1">
        <v>81</v>
      </c>
      <c r="B82" s="1" t="s">
        <v>2017</v>
      </c>
      <c r="C82" s="1" t="s">
        <v>520</v>
      </c>
      <c r="D82" s="1">
        <f>COUNTIFS('Raw Entries'!B:B,Table4[[#This Row],[Name]],'Raw Entries'!I:I,Table4[[#This Row],[BOOK No.]])</f>
        <v>0</v>
      </c>
      <c r="E82" s="1">
        <f t="array" ref="E82">IF(OR(Table4[[#This Row],[INSTALLMENT]]=1,Table4[[#This Row],[INSTALLMENT]]=2,Table4[[#This Row],[INSTALLMENT]]=3),1,0)</f>
        <v>0</v>
      </c>
      <c r="F82" s="1">
        <f>IF(OR(Table4[[#This Row],[INSTALLMENT]]=2,Table4[[#This Row],[INSTALLMENT]]=3),2,0)</f>
        <v>0</v>
      </c>
      <c r="G82" s="1">
        <f>IF(OR(Table4[[#This Row],[INSTALLMENT]]=3),3,0)</f>
        <v>0</v>
      </c>
    </row>
    <row r="83" spans="1:7">
      <c r="A83" s="1">
        <v>82</v>
      </c>
      <c r="B83" s="1" t="s">
        <v>2018</v>
      </c>
      <c r="C83" s="1" t="s">
        <v>520</v>
      </c>
      <c r="D83" s="1">
        <f>COUNTIFS('Raw Entries'!B:B,Table4[[#This Row],[Name]],'Raw Entries'!I:I,Table4[[#This Row],[BOOK No.]])</f>
        <v>0</v>
      </c>
      <c r="E83" s="1">
        <f t="array" ref="E83">IF(OR(Table4[[#This Row],[INSTALLMENT]]=1,Table4[[#This Row],[INSTALLMENT]]=2,Table4[[#This Row],[INSTALLMENT]]=3),1,0)</f>
        <v>0</v>
      </c>
      <c r="F83" s="1">
        <f>IF(OR(Table4[[#This Row],[INSTALLMENT]]=2,Table4[[#This Row],[INSTALLMENT]]=3),2,0)</f>
        <v>0</v>
      </c>
      <c r="G83" s="1">
        <f>IF(OR(Table4[[#This Row],[INSTALLMENT]]=3),3,0)</f>
        <v>0</v>
      </c>
    </row>
    <row r="84" spans="1:7">
      <c r="A84" s="1">
        <v>83</v>
      </c>
      <c r="B84" s="1" t="s">
        <v>2019</v>
      </c>
      <c r="C84" s="1" t="s">
        <v>520</v>
      </c>
      <c r="D84" s="1">
        <f>COUNTIFS('Raw Entries'!B:B,Table4[[#This Row],[Name]],'Raw Entries'!I:I,Table4[[#This Row],[BOOK No.]])</f>
        <v>0</v>
      </c>
      <c r="E84" s="1">
        <f t="array" ref="E84">IF(OR(Table4[[#This Row],[INSTALLMENT]]=1,Table4[[#This Row],[INSTALLMENT]]=2,Table4[[#This Row],[INSTALLMENT]]=3),1,0)</f>
        <v>0</v>
      </c>
      <c r="F84" s="1">
        <f>IF(OR(Table4[[#This Row],[INSTALLMENT]]=2,Table4[[#This Row],[INSTALLMENT]]=3),2,0)</f>
        <v>0</v>
      </c>
      <c r="G84" s="1">
        <f>IF(OR(Table4[[#This Row],[INSTALLMENT]]=3),3,0)</f>
        <v>0</v>
      </c>
    </row>
    <row r="85" spans="1:7">
      <c r="A85" s="1">
        <v>84</v>
      </c>
      <c r="B85" s="1" t="s">
        <v>2020</v>
      </c>
      <c r="C85" s="1" t="s">
        <v>520</v>
      </c>
      <c r="D85" s="1">
        <f>COUNTIFS('Raw Entries'!B:B,Table4[[#This Row],[Name]],'Raw Entries'!I:I,Table4[[#This Row],[BOOK No.]])</f>
        <v>1</v>
      </c>
      <c r="E85" s="1">
        <f t="array" ref="E85">IF(OR(Table4[[#This Row],[INSTALLMENT]]=1,Table4[[#This Row],[INSTALLMENT]]=2,Table4[[#This Row],[INSTALLMENT]]=3),1,0)</f>
        <v>1</v>
      </c>
      <c r="F85" s="1">
        <f>IF(OR(Table4[[#This Row],[INSTALLMENT]]=2,Table4[[#This Row],[INSTALLMENT]]=3),2,0)</f>
        <v>0</v>
      </c>
      <c r="G85" s="1">
        <f>IF(OR(Table4[[#This Row],[INSTALLMENT]]=3),3,0)</f>
        <v>0</v>
      </c>
    </row>
    <row r="86" spans="1:7">
      <c r="A86" s="1">
        <v>85</v>
      </c>
      <c r="B86" s="1" t="s">
        <v>2021</v>
      </c>
      <c r="C86" s="1" t="s">
        <v>520</v>
      </c>
      <c r="D86" s="1">
        <f>COUNTIFS('Raw Entries'!B:B,Table4[[#This Row],[Name]],'Raw Entries'!I:I,Table4[[#This Row],[BOOK No.]])</f>
        <v>0</v>
      </c>
      <c r="E86" s="1">
        <f t="array" ref="E86">IF(OR(Table4[[#This Row],[INSTALLMENT]]=1,Table4[[#This Row],[INSTALLMENT]]=2,Table4[[#This Row],[INSTALLMENT]]=3),1,0)</f>
        <v>0</v>
      </c>
      <c r="F86" s="1">
        <f>IF(OR(Table4[[#This Row],[INSTALLMENT]]=2,Table4[[#This Row],[INSTALLMENT]]=3),2,0)</f>
        <v>0</v>
      </c>
      <c r="G86" s="1">
        <f>IF(OR(Table4[[#This Row],[INSTALLMENT]]=3),3,0)</f>
        <v>0</v>
      </c>
    </row>
    <row r="87" spans="1:7">
      <c r="A87" s="1">
        <v>86</v>
      </c>
      <c r="B87" s="1" t="s">
        <v>524</v>
      </c>
      <c r="C87" s="1" t="s">
        <v>520</v>
      </c>
      <c r="D87" s="1">
        <f>COUNTIFS('Raw Entries'!B:B,Table4[[#This Row],[Name]],'Raw Entries'!I:I,Table4[[#This Row],[BOOK No.]])</f>
        <v>2</v>
      </c>
      <c r="E87" s="1">
        <f t="array" ref="E87">IF(OR(Table4[[#This Row],[INSTALLMENT]]=1,Table4[[#This Row],[INSTALLMENT]]=2,Table4[[#This Row],[INSTALLMENT]]=3),1,0)</f>
        <v>1</v>
      </c>
      <c r="F87" s="1">
        <f>IF(OR(Table4[[#This Row],[INSTALLMENT]]=2,Table4[[#This Row],[INSTALLMENT]]=3),2,0)</f>
        <v>2</v>
      </c>
      <c r="G87" s="1">
        <f>IF(OR(Table4[[#This Row],[INSTALLMENT]]=3),3,0)</f>
        <v>0</v>
      </c>
    </row>
    <row r="88" spans="1:7">
      <c r="A88" s="1">
        <v>87</v>
      </c>
      <c r="B88" s="1" t="s">
        <v>2022</v>
      </c>
      <c r="C88" s="1" t="s">
        <v>520</v>
      </c>
      <c r="D88" s="1">
        <f>COUNTIFS('Raw Entries'!B:B,Table4[[#This Row],[Name]],'Raw Entries'!I:I,Table4[[#This Row],[BOOK No.]])</f>
        <v>0</v>
      </c>
      <c r="E88" s="1">
        <f t="array" ref="E88">IF(OR(Table4[[#This Row],[INSTALLMENT]]=1,Table4[[#This Row],[INSTALLMENT]]=2,Table4[[#This Row],[INSTALLMENT]]=3),1,0)</f>
        <v>0</v>
      </c>
      <c r="F88" s="1">
        <f>IF(OR(Table4[[#This Row],[INSTALLMENT]]=2,Table4[[#This Row],[INSTALLMENT]]=3),2,0)</f>
        <v>0</v>
      </c>
      <c r="G88" s="1">
        <f>IF(OR(Table4[[#This Row],[INSTALLMENT]]=3),3,0)</f>
        <v>0</v>
      </c>
    </row>
    <row r="89" spans="1:7">
      <c r="A89" s="1">
        <v>88</v>
      </c>
      <c r="B89" s="1" t="s">
        <v>2023</v>
      </c>
      <c r="C89" s="1" t="s">
        <v>520</v>
      </c>
      <c r="D89" s="1">
        <f>COUNTIFS('Raw Entries'!B:B,Table4[[#This Row],[Name]],'Raw Entries'!I:I,Table4[[#This Row],[BOOK No.]])</f>
        <v>0</v>
      </c>
      <c r="E89" s="1">
        <f t="array" ref="E89">IF(OR(Table4[[#This Row],[INSTALLMENT]]=1,Table4[[#This Row],[INSTALLMENT]]=2,Table4[[#This Row],[INSTALLMENT]]=3),1,0)</f>
        <v>0</v>
      </c>
      <c r="F89" s="1">
        <f>IF(OR(Table4[[#This Row],[INSTALLMENT]]=2,Table4[[#This Row],[INSTALLMENT]]=3),2,0)</f>
        <v>0</v>
      </c>
      <c r="G89" s="1">
        <f>IF(OR(Table4[[#This Row],[INSTALLMENT]]=3),3,0)</f>
        <v>0</v>
      </c>
    </row>
    <row r="90" spans="1:7">
      <c r="A90" s="1">
        <v>89</v>
      </c>
      <c r="B90" s="1" t="s">
        <v>525</v>
      </c>
      <c r="C90" s="1" t="s">
        <v>520</v>
      </c>
      <c r="D90" s="1">
        <f>COUNTIFS('Raw Entries'!B:B,Table4[[#This Row],[Name]],'Raw Entries'!I:I,Table4[[#This Row],[BOOK No.]])</f>
        <v>3</v>
      </c>
      <c r="E90" s="1">
        <f t="array" ref="E90">IF(OR(Table4[[#This Row],[INSTALLMENT]]=1,Table4[[#This Row],[INSTALLMENT]]=2,Table4[[#This Row],[INSTALLMENT]]=3),1,0)</f>
        <v>1</v>
      </c>
      <c r="F90" s="1">
        <f>IF(OR(Table4[[#This Row],[INSTALLMENT]]=2,Table4[[#This Row],[INSTALLMENT]]=3),2,0)</f>
        <v>2</v>
      </c>
      <c r="G90" s="1">
        <f>IF(OR(Table4[[#This Row],[INSTALLMENT]]=3),3,0)</f>
        <v>3</v>
      </c>
    </row>
    <row r="91" spans="1:7">
      <c r="A91" s="1">
        <v>90</v>
      </c>
      <c r="B91" s="1" t="s">
        <v>2024</v>
      </c>
      <c r="C91" s="1" t="s">
        <v>520</v>
      </c>
      <c r="D91" s="1">
        <f>COUNTIFS('Raw Entries'!B:B,Table4[[#This Row],[Name]],'Raw Entries'!I:I,Table4[[#This Row],[BOOK No.]])</f>
        <v>0</v>
      </c>
      <c r="E91" s="1">
        <f t="array" ref="E91">IF(OR(Table4[[#This Row],[INSTALLMENT]]=1,Table4[[#This Row],[INSTALLMENT]]=2,Table4[[#This Row],[INSTALLMENT]]=3),1,0)</f>
        <v>0</v>
      </c>
      <c r="F91" s="1">
        <f>IF(OR(Table4[[#This Row],[INSTALLMENT]]=2,Table4[[#This Row],[INSTALLMENT]]=3),2,0)</f>
        <v>0</v>
      </c>
      <c r="G91" s="1">
        <f>IF(OR(Table4[[#This Row],[INSTALLMENT]]=3),3,0)</f>
        <v>0</v>
      </c>
    </row>
    <row r="92" spans="1:7">
      <c r="A92" s="1">
        <v>91</v>
      </c>
      <c r="B92" s="1" t="s">
        <v>2025</v>
      </c>
      <c r="C92" s="1" t="s">
        <v>520</v>
      </c>
      <c r="D92" s="1">
        <f>COUNTIFS('Raw Entries'!B:B,Table4[[#This Row],[Name]],'Raw Entries'!I:I,Table4[[#This Row],[BOOK No.]])</f>
        <v>0</v>
      </c>
      <c r="E92" s="1">
        <f t="array" ref="E92">IF(OR(Table4[[#This Row],[INSTALLMENT]]=1,Table4[[#This Row],[INSTALLMENT]]=2,Table4[[#This Row],[INSTALLMENT]]=3),1,0)</f>
        <v>0</v>
      </c>
      <c r="F92" s="1">
        <f>IF(OR(Table4[[#This Row],[INSTALLMENT]]=2,Table4[[#This Row],[INSTALLMENT]]=3),2,0)</f>
        <v>0</v>
      </c>
      <c r="G92" s="1">
        <f>IF(OR(Table4[[#This Row],[INSTALLMENT]]=3),3,0)</f>
        <v>0</v>
      </c>
    </row>
    <row r="93" spans="1:7">
      <c r="A93" s="1">
        <v>92</v>
      </c>
      <c r="B93" s="1" t="s">
        <v>2026</v>
      </c>
      <c r="C93" s="1" t="s">
        <v>515</v>
      </c>
      <c r="D93" s="1">
        <f>COUNTIFS('Raw Entries'!B:B,Table4[[#This Row],[Name]],'Raw Entries'!I:I,Table4[[#This Row],[BOOK No.]])</f>
        <v>0</v>
      </c>
      <c r="E93" s="1">
        <f t="array" ref="E93">IF(OR(Table4[[#This Row],[INSTALLMENT]]=1,Table4[[#This Row],[INSTALLMENT]]=2,Table4[[#This Row],[INSTALLMENT]]=3),1,0)</f>
        <v>0</v>
      </c>
      <c r="F93" s="1">
        <f>IF(OR(Table4[[#This Row],[INSTALLMENT]]=2,Table4[[#This Row],[INSTALLMENT]]=3),2,0)</f>
        <v>0</v>
      </c>
      <c r="G93" s="1">
        <f>IF(OR(Table4[[#This Row],[INSTALLMENT]]=3),3,0)</f>
        <v>0</v>
      </c>
    </row>
    <row r="94" spans="1:7">
      <c r="A94" s="1">
        <v>93</v>
      </c>
      <c r="B94" s="1" t="s">
        <v>2027</v>
      </c>
      <c r="C94" s="1" t="s">
        <v>520</v>
      </c>
      <c r="D94" s="1">
        <f>COUNTIFS('Raw Entries'!B:B,Table4[[#This Row],[Name]],'Raw Entries'!I:I,Table4[[#This Row],[BOOK No.]])</f>
        <v>0</v>
      </c>
      <c r="E94" s="1">
        <f t="array" ref="E94">IF(OR(Table4[[#This Row],[INSTALLMENT]]=1,Table4[[#This Row],[INSTALLMENT]]=2,Table4[[#This Row],[INSTALLMENT]]=3),1,0)</f>
        <v>0</v>
      </c>
      <c r="F94" s="1">
        <f>IF(OR(Table4[[#This Row],[INSTALLMENT]]=2,Table4[[#This Row],[INSTALLMENT]]=3),2,0)</f>
        <v>0</v>
      </c>
      <c r="G94" s="1">
        <f>IF(OR(Table4[[#This Row],[INSTALLMENT]]=3),3,0)</f>
        <v>0</v>
      </c>
    </row>
    <row r="95" spans="1:7">
      <c r="A95" s="1">
        <v>94</v>
      </c>
      <c r="B95" s="1" t="s">
        <v>2028</v>
      </c>
      <c r="C95" s="1" t="s">
        <v>520</v>
      </c>
      <c r="D95" s="1">
        <f>COUNTIFS('Raw Entries'!B:B,Table4[[#This Row],[Name]],'Raw Entries'!I:I,Table4[[#This Row],[BOOK No.]])</f>
        <v>0</v>
      </c>
      <c r="E95" s="1">
        <f t="array" ref="E95">IF(OR(Table4[[#This Row],[INSTALLMENT]]=1,Table4[[#This Row],[INSTALLMENT]]=2,Table4[[#This Row],[INSTALLMENT]]=3),1,0)</f>
        <v>0</v>
      </c>
      <c r="F95" s="1">
        <f>IF(OR(Table4[[#This Row],[INSTALLMENT]]=2,Table4[[#This Row],[INSTALLMENT]]=3),2,0)</f>
        <v>0</v>
      </c>
      <c r="G95" s="1">
        <f>IF(OR(Table4[[#This Row],[INSTALLMENT]]=3),3,0)</f>
        <v>0</v>
      </c>
    </row>
    <row r="96" spans="1:7">
      <c r="A96" s="1">
        <v>95</v>
      </c>
      <c r="B96" s="1" t="s">
        <v>2029</v>
      </c>
      <c r="C96" s="1" t="s">
        <v>520</v>
      </c>
      <c r="D96" s="1">
        <f>COUNTIFS('Raw Entries'!B:B,Table4[[#This Row],[Name]],'Raw Entries'!I:I,Table4[[#This Row],[BOOK No.]])</f>
        <v>0</v>
      </c>
      <c r="E96" s="1">
        <f t="array" ref="E96">IF(OR(Table4[[#This Row],[INSTALLMENT]]=1,Table4[[#This Row],[INSTALLMENT]]=2,Table4[[#This Row],[INSTALLMENT]]=3),1,0)</f>
        <v>0</v>
      </c>
      <c r="F96" s="1">
        <f>IF(OR(Table4[[#This Row],[INSTALLMENT]]=2,Table4[[#This Row],[INSTALLMENT]]=3),2,0)</f>
        <v>0</v>
      </c>
      <c r="G96" s="1">
        <f>IF(OR(Table4[[#This Row],[INSTALLMENT]]=3),3,0)</f>
        <v>0</v>
      </c>
    </row>
    <row r="97" spans="1:7">
      <c r="A97" s="1">
        <v>96</v>
      </c>
      <c r="B97" s="1" t="s">
        <v>521</v>
      </c>
      <c r="C97" s="1" t="s">
        <v>520</v>
      </c>
      <c r="D97" s="1">
        <f>COUNTIFS('Raw Entries'!B:B,Table4[[#This Row],[Name]],'Raw Entries'!I:I,Table4[[#This Row],[BOOK No.]])</f>
        <v>3</v>
      </c>
      <c r="E97" s="1">
        <f t="array" ref="E97">IF(OR(Table4[[#This Row],[INSTALLMENT]]=1,Table4[[#This Row],[INSTALLMENT]]=2,Table4[[#This Row],[INSTALLMENT]]=3),1,0)</f>
        <v>1</v>
      </c>
      <c r="F97" s="1">
        <f>IF(OR(Table4[[#This Row],[INSTALLMENT]]=2,Table4[[#This Row],[INSTALLMENT]]=3),2,0)</f>
        <v>2</v>
      </c>
      <c r="G97" s="1">
        <f>IF(OR(Table4[[#This Row],[INSTALLMENT]]=3),3,0)</f>
        <v>3</v>
      </c>
    </row>
    <row r="98" spans="1:7">
      <c r="A98" s="1">
        <v>97</v>
      </c>
      <c r="B98" s="1" t="s">
        <v>395</v>
      </c>
      <c r="C98" s="1" t="s">
        <v>526</v>
      </c>
      <c r="D98" s="1">
        <f>COUNTIFS('Raw Entries'!B:B,Table4[[#This Row],[Name]],'Raw Entries'!I:I,Table4[[#This Row],[BOOK No.]])</f>
        <v>0</v>
      </c>
      <c r="E98" s="1">
        <f t="array" ref="E98">IF(OR(Table4[[#This Row],[INSTALLMENT]]=1,Table4[[#This Row],[INSTALLMENT]]=2,Table4[[#This Row],[INSTALLMENT]]=3),1,0)</f>
        <v>0</v>
      </c>
      <c r="F98" s="1">
        <f>IF(OR(Table4[[#This Row],[INSTALLMENT]]=2,Table4[[#This Row],[INSTALLMENT]]=3),2,0)</f>
        <v>0</v>
      </c>
      <c r="G98" s="1">
        <f>IF(OR(Table4[[#This Row],[INSTALLMENT]]=3),3,0)</f>
        <v>0</v>
      </c>
    </row>
    <row r="99" spans="1:7">
      <c r="A99" s="1">
        <v>98</v>
      </c>
      <c r="B99" s="1" t="s">
        <v>2030</v>
      </c>
      <c r="C99" s="1" t="s">
        <v>526</v>
      </c>
      <c r="D99" s="1">
        <f>COUNTIFS('Raw Entries'!B:B,Table4[[#This Row],[Name]],'Raw Entries'!I:I,Table4[[#This Row],[BOOK No.]])</f>
        <v>0</v>
      </c>
      <c r="E99" s="1">
        <f t="array" ref="E99">IF(OR(Table4[[#This Row],[INSTALLMENT]]=1,Table4[[#This Row],[INSTALLMENT]]=2,Table4[[#This Row],[INSTALLMENT]]=3),1,0)</f>
        <v>0</v>
      </c>
      <c r="F99" s="1">
        <f>IF(OR(Table4[[#This Row],[INSTALLMENT]]=2,Table4[[#This Row],[INSTALLMENT]]=3),2,0)</f>
        <v>0</v>
      </c>
      <c r="G99" s="1">
        <f>IF(OR(Table4[[#This Row],[INSTALLMENT]]=3),3,0)</f>
        <v>0</v>
      </c>
    </row>
    <row r="100" spans="1:7">
      <c r="A100" s="1">
        <v>99</v>
      </c>
      <c r="B100" s="1" t="s">
        <v>622</v>
      </c>
      <c r="C100" s="1" t="s">
        <v>526</v>
      </c>
      <c r="D100" s="1">
        <f>COUNTIFS('Raw Entries'!B:B,Table4[[#This Row],[Name]],'Raw Entries'!I:I,Table4[[#This Row],[BOOK No.]])</f>
        <v>3</v>
      </c>
      <c r="E100" s="1">
        <f t="array" ref="E100">IF(OR(Table4[[#This Row],[INSTALLMENT]]=1,Table4[[#This Row],[INSTALLMENT]]=2,Table4[[#This Row],[INSTALLMENT]]=3),1,0)</f>
        <v>1</v>
      </c>
      <c r="F100" s="1">
        <f>IF(OR(Table4[[#This Row],[INSTALLMENT]]=2,Table4[[#This Row],[INSTALLMENT]]=3),2,0)</f>
        <v>2</v>
      </c>
      <c r="G100" s="1">
        <f>IF(OR(Table4[[#This Row],[INSTALLMENT]]=3),3,0)</f>
        <v>3</v>
      </c>
    </row>
    <row r="101" spans="1:7">
      <c r="A101" s="1">
        <v>100</v>
      </c>
      <c r="B101" s="1" t="s">
        <v>531</v>
      </c>
      <c r="C101" s="1" t="s">
        <v>526</v>
      </c>
      <c r="D101" s="1">
        <f>COUNTIFS('Raw Entries'!B:B,Table4[[#This Row],[Name]],'Raw Entries'!I:I,Table4[[#This Row],[BOOK No.]])</f>
        <v>1</v>
      </c>
      <c r="E101" s="1">
        <f t="array" ref="E101">IF(OR(Table4[[#This Row],[INSTALLMENT]]=1,Table4[[#This Row],[INSTALLMENT]]=2,Table4[[#This Row],[INSTALLMENT]]=3),1,0)</f>
        <v>1</v>
      </c>
      <c r="F101" s="1">
        <f>IF(OR(Table4[[#This Row],[INSTALLMENT]]=2,Table4[[#This Row],[INSTALLMENT]]=3),2,0)</f>
        <v>0</v>
      </c>
      <c r="G101" s="1">
        <f>IF(OR(Table4[[#This Row],[INSTALLMENT]]=3),3,0)</f>
        <v>0</v>
      </c>
    </row>
    <row r="102" spans="1:7">
      <c r="A102" s="1">
        <v>101</v>
      </c>
      <c r="B102" s="1" t="s">
        <v>3939</v>
      </c>
      <c r="C102" s="1" t="s">
        <v>526</v>
      </c>
      <c r="D102" s="1">
        <f>COUNTIFS('Raw Entries'!B:B,Table4[[#This Row],[Name]],'Raw Entries'!I:I,Table4[[#This Row],[BOOK No.]])</f>
        <v>1</v>
      </c>
      <c r="E102" s="1">
        <f t="array" ref="E102">IF(OR(Table4[[#This Row],[INSTALLMENT]]=1,Table4[[#This Row],[INSTALLMENT]]=2,Table4[[#This Row],[INSTALLMENT]]=3),1,0)</f>
        <v>1</v>
      </c>
      <c r="F102" s="1">
        <f>IF(OR(Table4[[#This Row],[INSTALLMENT]]=2,Table4[[#This Row],[INSTALLMENT]]=3),2,0)</f>
        <v>0</v>
      </c>
      <c r="G102" s="1">
        <f>IF(OR(Table4[[#This Row],[INSTALLMENT]]=3),3,0)</f>
        <v>0</v>
      </c>
    </row>
    <row r="103" spans="1:7">
      <c r="A103" s="1">
        <v>102</v>
      </c>
      <c r="B103" s="1" t="s">
        <v>528</v>
      </c>
      <c r="C103" s="1" t="s">
        <v>526</v>
      </c>
      <c r="D103" s="1">
        <f>COUNTIFS('Raw Entries'!B:B,Table4[[#This Row],[Name]],'Raw Entries'!I:I,Table4[[#This Row],[BOOK No.]])</f>
        <v>1</v>
      </c>
      <c r="E103" s="1">
        <f t="array" ref="E103">IF(OR(Table4[[#This Row],[INSTALLMENT]]=1,Table4[[#This Row],[INSTALLMENT]]=2,Table4[[#This Row],[INSTALLMENT]]=3),1,0)</f>
        <v>1</v>
      </c>
      <c r="F103" s="1">
        <f>IF(OR(Table4[[#This Row],[INSTALLMENT]]=2,Table4[[#This Row],[INSTALLMENT]]=3),2,0)</f>
        <v>0</v>
      </c>
      <c r="G103" s="1">
        <f>IF(OR(Table4[[#This Row],[INSTALLMENT]]=3),3,0)</f>
        <v>0</v>
      </c>
    </row>
    <row r="104" spans="1:7">
      <c r="A104" s="1">
        <v>103</v>
      </c>
      <c r="B104" s="1" t="s">
        <v>2031</v>
      </c>
      <c r="C104" s="1" t="s">
        <v>526</v>
      </c>
      <c r="D104" s="1">
        <f>COUNTIFS('Raw Entries'!B:B,Table4[[#This Row],[Name]],'Raw Entries'!I:I,Table4[[#This Row],[BOOK No.]])</f>
        <v>0</v>
      </c>
      <c r="E104" s="1">
        <f t="array" ref="E104">IF(OR(Table4[[#This Row],[INSTALLMENT]]=1,Table4[[#This Row],[INSTALLMENT]]=2,Table4[[#This Row],[INSTALLMENT]]=3),1,0)</f>
        <v>0</v>
      </c>
      <c r="F104" s="1">
        <f>IF(OR(Table4[[#This Row],[INSTALLMENT]]=2,Table4[[#This Row],[INSTALLMENT]]=3),2,0)</f>
        <v>0</v>
      </c>
      <c r="G104" s="1">
        <f>IF(OR(Table4[[#This Row],[INSTALLMENT]]=3),3,0)</f>
        <v>0</v>
      </c>
    </row>
    <row r="105" spans="1:7">
      <c r="A105" s="1">
        <v>104</v>
      </c>
      <c r="B105" s="1" t="s">
        <v>535</v>
      </c>
      <c r="C105" s="1" t="s">
        <v>526</v>
      </c>
      <c r="D105" s="1">
        <f>COUNTIFS('Raw Entries'!B:B,Table4[[#This Row],[Name]],'Raw Entries'!I:I,Table4[[#This Row],[BOOK No.]])</f>
        <v>1</v>
      </c>
      <c r="E105" s="1">
        <f t="array" ref="E105">IF(OR(Table4[[#This Row],[INSTALLMENT]]=1,Table4[[#This Row],[INSTALLMENT]]=2,Table4[[#This Row],[INSTALLMENT]]=3),1,0)</f>
        <v>1</v>
      </c>
      <c r="F105" s="1">
        <f>IF(OR(Table4[[#This Row],[INSTALLMENT]]=2,Table4[[#This Row],[INSTALLMENT]]=3),2,0)</f>
        <v>0</v>
      </c>
      <c r="G105" s="1">
        <f>IF(OR(Table4[[#This Row],[INSTALLMENT]]=3),3,0)</f>
        <v>0</v>
      </c>
    </row>
    <row r="106" spans="1:7">
      <c r="A106" s="1">
        <v>105</v>
      </c>
      <c r="B106" s="1" t="s">
        <v>2032</v>
      </c>
      <c r="C106" s="1" t="s">
        <v>526</v>
      </c>
      <c r="D106" s="1">
        <f>COUNTIFS('Raw Entries'!B:B,Table4[[#This Row],[Name]],'Raw Entries'!I:I,Table4[[#This Row],[BOOK No.]])</f>
        <v>0</v>
      </c>
      <c r="E106" s="1">
        <f t="array" ref="E106">IF(OR(Table4[[#This Row],[INSTALLMENT]]=1,Table4[[#This Row],[INSTALLMENT]]=2,Table4[[#This Row],[INSTALLMENT]]=3),1,0)</f>
        <v>0</v>
      </c>
      <c r="F106" s="1">
        <f>IF(OR(Table4[[#This Row],[INSTALLMENT]]=2,Table4[[#This Row],[INSTALLMENT]]=3),2,0)</f>
        <v>0</v>
      </c>
      <c r="G106" s="1">
        <f>IF(OR(Table4[[#This Row],[INSTALLMENT]]=3),3,0)</f>
        <v>0</v>
      </c>
    </row>
    <row r="107" spans="1:7">
      <c r="A107" s="1">
        <v>106</v>
      </c>
      <c r="B107" s="1" t="s">
        <v>2033</v>
      </c>
      <c r="C107" s="1" t="s">
        <v>526</v>
      </c>
      <c r="D107" s="1">
        <f>COUNTIFS('Raw Entries'!B:B,Table4[[#This Row],[Name]],'Raw Entries'!I:I,Table4[[#This Row],[BOOK No.]])</f>
        <v>1</v>
      </c>
      <c r="E107" s="1">
        <f t="array" ref="E107">IF(OR(Table4[[#This Row],[INSTALLMENT]]=1,Table4[[#This Row],[INSTALLMENT]]=2,Table4[[#This Row],[INSTALLMENT]]=3),1,0)</f>
        <v>1</v>
      </c>
      <c r="F107" s="1">
        <f>IF(OR(Table4[[#This Row],[INSTALLMENT]]=2,Table4[[#This Row],[INSTALLMENT]]=3),2,0)</f>
        <v>0</v>
      </c>
      <c r="G107" s="1">
        <f>IF(OR(Table4[[#This Row],[INSTALLMENT]]=3),3,0)</f>
        <v>0</v>
      </c>
    </row>
    <row r="108" spans="1:7">
      <c r="A108" s="1">
        <v>107</v>
      </c>
      <c r="B108" s="1" t="s">
        <v>2034</v>
      </c>
      <c r="C108" s="1" t="s">
        <v>526</v>
      </c>
      <c r="D108" s="1">
        <f>COUNTIFS('Raw Entries'!B:B,Table4[[#This Row],[Name]],'Raw Entries'!I:I,Table4[[#This Row],[BOOK No.]])</f>
        <v>0</v>
      </c>
      <c r="E108" s="1">
        <f t="array" ref="E108">IF(OR(Table4[[#This Row],[INSTALLMENT]]=1,Table4[[#This Row],[INSTALLMENT]]=2,Table4[[#This Row],[INSTALLMENT]]=3),1,0)</f>
        <v>0</v>
      </c>
      <c r="F108" s="1">
        <f>IF(OR(Table4[[#This Row],[INSTALLMENT]]=2,Table4[[#This Row],[INSTALLMENT]]=3),2,0)</f>
        <v>0</v>
      </c>
      <c r="G108" s="1">
        <f>IF(OR(Table4[[#This Row],[INSTALLMENT]]=3),3,0)</f>
        <v>0</v>
      </c>
    </row>
    <row r="109" spans="1:7">
      <c r="A109" s="1">
        <v>108</v>
      </c>
      <c r="B109" s="1" t="s">
        <v>2035</v>
      </c>
      <c r="C109" s="1" t="s">
        <v>526</v>
      </c>
      <c r="D109" s="1">
        <f>COUNTIFS('Raw Entries'!B:B,Table4[[#This Row],[Name]],'Raw Entries'!I:I,Table4[[#This Row],[BOOK No.]])</f>
        <v>0</v>
      </c>
      <c r="E109" s="1">
        <f t="array" ref="E109">IF(OR(Table4[[#This Row],[INSTALLMENT]]=1,Table4[[#This Row],[INSTALLMENT]]=2,Table4[[#This Row],[INSTALLMENT]]=3),1,0)</f>
        <v>0</v>
      </c>
      <c r="F109" s="1">
        <f>IF(OR(Table4[[#This Row],[INSTALLMENT]]=2,Table4[[#This Row],[INSTALLMENT]]=3),2,0)</f>
        <v>0</v>
      </c>
      <c r="G109" s="1">
        <f>IF(OR(Table4[[#This Row],[INSTALLMENT]]=3),3,0)</f>
        <v>0</v>
      </c>
    </row>
    <row r="110" spans="1:7">
      <c r="A110" s="1">
        <v>109</v>
      </c>
      <c r="B110" s="1" t="s">
        <v>2036</v>
      </c>
      <c r="C110" s="1" t="s">
        <v>526</v>
      </c>
      <c r="D110" s="1">
        <f>COUNTIFS('Raw Entries'!B:B,Table4[[#This Row],[Name]],'Raw Entries'!I:I,Table4[[#This Row],[BOOK No.]])</f>
        <v>0</v>
      </c>
      <c r="E110" s="1">
        <f t="array" ref="E110">IF(OR(Table4[[#This Row],[INSTALLMENT]]=1,Table4[[#This Row],[INSTALLMENT]]=2,Table4[[#This Row],[INSTALLMENT]]=3),1,0)</f>
        <v>0</v>
      </c>
      <c r="F110" s="1">
        <f>IF(OR(Table4[[#This Row],[INSTALLMENT]]=2,Table4[[#This Row],[INSTALLMENT]]=3),2,0)</f>
        <v>0</v>
      </c>
      <c r="G110" s="1">
        <f>IF(OR(Table4[[#This Row],[INSTALLMENT]]=3),3,0)</f>
        <v>0</v>
      </c>
    </row>
    <row r="111" spans="1:7">
      <c r="A111" s="1">
        <v>110</v>
      </c>
      <c r="B111" s="1" t="s">
        <v>2037</v>
      </c>
      <c r="C111" s="1" t="s">
        <v>526</v>
      </c>
      <c r="D111" s="1">
        <f>COUNTIFS('Raw Entries'!B:B,Table4[[#This Row],[Name]],'Raw Entries'!I:I,Table4[[#This Row],[BOOK No.]])</f>
        <v>0</v>
      </c>
      <c r="E111" s="1">
        <f t="array" ref="E111">IF(OR(Table4[[#This Row],[INSTALLMENT]]=1,Table4[[#This Row],[INSTALLMENT]]=2,Table4[[#This Row],[INSTALLMENT]]=3),1,0)</f>
        <v>0</v>
      </c>
      <c r="F111" s="1">
        <f>IF(OR(Table4[[#This Row],[INSTALLMENT]]=2,Table4[[#This Row],[INSTALLMENT]]=3),2,0)</f>
        <v>0</v>
      </c>
      <c r="G111" s="1">
        <f>IF(OR(Table4[[#This Row],[INSTALLMENT]]=3),3,0)</f>
        <v>0</v>
      </c>
    </row>
    <row r="112" spans="1:7">
      <c r="A112" s="1">
        <v>111</v>
      </c>
      <c r="B112" s="1" t="s">
        <v>533</v>
      </c>
      <c r="C112" s="1" t="s">
        <v>526</v>
      </c>
      <c r="D112" s="1">
        <f>COUNTIFS('Raw Entries'!B:B,Table4[[#This Row],[Name]],'Raw Entries'!I:I,Table4[[#This Row],[BOOK No.]])</f>
        <v>1</v>
      </c>
      <c r="E112" s="1">
        <f t="array" ref="E112">IF(OR(Table4[[#This Row],[INSTALLMENT]]=1,Table4[[#This Row],[INSTALLMENT]]=2,Table4[[#This Row],[INSTALLMENT]]=3),1,0)</f>
        <v>1</v>
      </c>
      <c r="F112" s="1">
        <f>IF(OR(Table4[[#This Row],[INSTALLMENT]]=2,Table4[[#This Row],[INSTALLMENT]]=3),2,0)</f>
        <v>0</v>
      </c>
      <c r="G112" s="1">
        <f>IF(OR(Table4[[#This Row],[INSTALLMENT]]=3),3,0)</f>
        <v>0</v>
      </c>
    </row>
    <row r="113" spans="1:7">
      <c r="A113" s="1">
        <v>112</v>
      </c>
      <c r="B113" s="1" t="s">
        <v>2038</v>
      </c>
      <c r="C113" s="1" t="s">
        <v>526</v>
      </c>
      <c r="D113" s="1">
        <f>COUNTIFS('Raw Entries'!B:B,Table4[[#This Row],[Name]],'Raw Entries'!I:I,Table4[[#This Row],[BOOK No.]])</f>
        <v>0</v>
      </c>
      <c r="E113" s="1">
        <f t="array" ref="E113">IF(OR(Table4[[#This Row],[INSTALLMENT]]=1,Table4[[#This Row],[INSTALLMENT]]=2,Table4[[#This Row],[INSTALLMENT]]=3),1,0)</f>
        <v>0</v>
      </c>
      <c r="F113" s="1">
        <f>IF(OR(Table4[[#This Row],[INSTALLMENT]]=2,Table4[[#This Row],[INSTALLMENT]]=3),2,0)</f>
        <v>0</v>
      </c>
      <c r="G113" s="1">
        <f>IF(OR(Table4[[#This Row],[INSTALLMENT]]=3),3,0)</f>
        <v>0</v>
      </c>
    </row>
    <row r="114" spans="1:7">
      <c r="A114" s="1">
        <v>113</v>
      </c>
      <c r="B114" s="1" t="s">
        <v>534</v>
      </c>
      <c r="C114" s="1" t="s">
        <v>526</v>
      </c>
      <c r="D114" s="1">
        <f>COUNTIFS('Raw Entries'!B:B,Table4[[#This Row],[Name]],'Raw Entries'!I:I,Table4[[#This Row],[BOOK No.]])</f>
        <v>3</v>
      </c>
      <c r="E114" s="1">
        <f t="array" ref="E114">IF(OR(Table4[[#This Row],[INSTALLMENT]]=1,Table4[[#This Row],[INSTALLMENT]]=2,Table4[[#This Row],[INSTALLMENT]]=3),1,0)</f>
        <v>1</v>
      </c>
      <c r="F114" s="1">
        <f>IF(OR(Table4[[#This Row],[INSTALLMENT]]=2,Table4[[#This Row],[INSTALLMENT]]=3),2,0)</f>
        <v>2</v>
      </c>
      <c r="G114" s="1">
        <f>IF(OR(Table4[[#This Row],[INSTALLMENT]]=3),3,0)</f>
        <v>3</v>
      </c>
    </row>
    <row r="115" spans="1:7">
      <c r="A115" s="1">
        <v>114</v>
      </c>
      <c r="B115" s="1" t="s">
        <v>529</v>
      </c>
      <c r="C115" s="1" t="s">
        <v>526</v>
      </c>
      <c r="D115" s="1">
        <f>COUNTIFS('Raw Entries'!B:B,Table4[[#This Row],[Name]],'Raw Entries'!I:I,Table4[[#This Row],[BOOK No.]])</f>
        <v>1</v>
      </c>
      <c r="E115" s="1">
        <f t="array" ref="E115">IF(OR(Table4[[#This Row],[INSTALLMENT]]=1,Table4[[#This Row],[INSTALLMENT]]=2,Table4[[#This Row],[INSTALLMENT]]=3),1,0)</f>
        <v>1</v>
      </c>
      <c r="F115" s="1">
        <f>IF(OR(Table4[[#This Row],[INSTALLMENT]]=2,Table4[[#This Row],[INSTALLMENT]]=3),2,0)</f>
        <v>0</v>
      </c>
      <c r="G115" s="1">
        <f>IF(OR(Table4[[#This Row],[INSTALLMENT]]=3),3,0)</f>
        <v>0</v>
      </c>
    </row>
    <row r="116" spans="1:7">
      <c r="A116" s="1">
        <v>115</v>
      </c>
      <c r="B116" s="1" t="s">
        <v>2039</v>
      </c>
      <c r="C116" s="1" t="s">
        <v>526</v>
      </c>
      <c r="D116" s="1">
        <f>COUNTIFS('Raw Entries'!B:B,Table4[[#This Row],[Name]],'Raw Entries'!I:I,Table4[[#This Row],[BOOK No.]])</f>
        <v>0</v>
      </c>
      <c r="E116" s="1">
        <f t="array" ref="E116">IF(OR(Table4[[#This Row],[INSTALLMENT]]=1,Table4[[#This Row],[INSTALLMENT]]=2,Table4[[#This Row],[INSTALLMENT]]=3),1,0)</f>
        <v>0</v>
      </c>
      <c r="F116" s="1">
        <f>IF(OR(Table4[[#This Row],[INSTALLMENT]]=2,Table4[[#This Row],[INSTALLMENT]]=3),2,0)</f>
        <v>0</v>
      </c>
      <c r="G116" s="1">
        <f>IF(OR(Table4[[#This Row],[INSTALLMENT]]=3),3,0)</f>
        <v>0</v>
      </c>
    </row>
    <row r="117" spans="1:7">
      <c r="A117" s="1">
        <v>116</v>
      </c>
      <c r="B117" s="1" t="s">
        <v>2040</v>
      </c>
      <c r="C117" s="1" t="s">
        <v>526</v>
      </c>
      <c r="D117" s="1">
        <f>COUNTIFS('Raw Entries'!B:B,Table4[[#This Row],[Name]],'Raw Entries'!I:I,Table4[[#This Row],[BOOK No.]])</f>
        <v>0</v>
      </c>
      <c r="E117" s="1">
        <f t="array" ref="E117">IF(OR(Table4[[#This Row],[INSTALLMENT]]=1,Table4[[#This Row],[INSTALLMENT]]=2,Table4[[#This Row],[INSTALLMENT]]=3),1,0)</f>
        <v>0</v>
      </c>
      <c r="F117" s="1">
        <f>IF(OR(Table4[[#This Row],[INSTALLMENT]]=2,Table4[[#This Row],[INSTALLMENT]]=3),2,0)</f>
        <v>0</v>
      </c>
      <c r="G117" s="1">
        <f>IF(OR(Table4[[#This Row],[INSTALLMENT]]=3),3,0)</f>
        <v>0</v>
      </c>
    </row>
    <row r="118" spans="1:7">
      <c r="A118" s="1">
        <v>117</v>
      </c>
      <c r="B118" s="1" t="s">
        <v>2041</v>
      </c>
      <c r="C118" s="1" t="s">
        <v>526</v>
      </c>
      <c r="D118" s="1">
        <f>COUNTIFS('Raw Entries'!B:B,Table4[[#This Row],[Name]],'Raw Entries'!I:I,Table4[[#This Row],[BOOK No.]])</f>
        <v>0</v>
      </c>
      <c r="E118" s="1">
        <f t="array" ref="E118">IF(OR(Table4[[#This Row],[INSTALLMENT]]=1,Table4[[#This Row],[INSTALLMENT]]=2,Table4[[#This Row],[INSTALLMENT]]=3),1,0)</f>
        <v>0</v>
      </c>
      <c r="F118" s="1">
        <f>IF(OR(Table4[[#This Row],[INSTALLMENT]]=2,Table4[[#This Row],[INSTALLMENT]]=3),2,0)</f>
        <v>0</v>
      </c>
      <c r="G118" s="1">
        <f>IF(OR(Table4[[#This Row],[INSTALLMENT]]=3),3,0)</f>
        <v>0</v>
      </c>
    </row>
    <row r="119" spans="1:7">
      <c r="A119" s="1">
        <v>118</v>
      </c>
      <c r="B119" s="1" t="s">
        <v>2042</v>
      </c>
      <c r="C119" s="1" t="s">
        <v>526</v>
      </c>
      <c r="D119" s="1">
        <f>COUNTIFS('Raw Entries'!B:B,Table4[[#This Row],[Name]],'Raw Entries'!I:I,Table4[[#This Row],[BOOK No.]])</f>
        <v>0</v>
      </c>
      <c r="E119" s="1">
        <f t="array" ref="E119">IF(OR(Table4[[#This Row],[INSTALLMENT]]=1,Table4[[#This Row],[INSTALLMENT]]=2,Table4[[#This Row],[INSTALLMENT]]=3),1,0)</f>
        <v>0</v>
      </c>
      <c r="F119" s="1">
        <f>IF(OR(Table4[[#This Row],[INSTALLMENT]]=2,Table4[[#This Row],[INSTALLMENT]]=3),2,0)</f>
        <v>0</v>
      </c>
      <c r="G119" s="1">
        <f>IF(OR(Table4[[#This Row],[INSTALLMENT]]=3),3,0)</f>
        <v>0</v>
      </c>
    </row>
    <row r="120" spans="1:7">
      <c r="A120" s="1">
        <v>119</v>
      </c>
      <c r="B120" s="1" t="s">
        <v>2043</v>
      </c>
      <c r="C120" s="1" t="s">
        <v>526</v>
      </c>
      <c r="D120" s="1">
        <f>COUNTIFS('Raw Entries'!B:B,Table4[[#This Row],[Name]],'Raw Entries'!I:I,Table4[[#This Row],[BOOK No.]])</f>
        <v>0</v>
      </c>
      <c r="E120" s="1">
        <f t="array" ref="E120">IF(OR(Table4[[#This Row],[INSTALLMENT]]=1,Table4[[#This Row],[INSTALLMENT]]=2,Table4[[#This Row],[INSTALLMENT]]=3),1,0)</f>
        <v>0</v>
      </c>
      <c r="F120" s="1">
        <f>IF(OR(Table4[[#This Row],[INSTALLMENT]]=2,Table4[[#This Row],[INSTALLMENT]]=3),2,0)</f>
        <v>0</v>
      </c>
      <c r="G120" s="1">
        <f>IF(OR(Table4[[#This Row],[INSTALLMENT]]=3),3,0)</f>
        <v>0</v>
      </c>
    </row>
    <row r="121" spans="1:7">
      <c r="A121" s="1">
        <v>120</v>
      </c>
      <c r="B121" s="1" t="s">
        <v>537</v>
      </c>
      <c r="C121" s="1" t="s">
        <v>526</v>
      </c>
      <c r="D121" s="1">
        <f>COUNTIFS('Raw Entries'!B:B,Table4[[#This Row],[Name]],'Raw Entries'!I:I,Table4[[#This Row],[BOOK No.]])</f>
        <v>1</v>
      </c>
      <c r="E121" s="1">
        <f t="array" ref="E121">IF(OR(Table4[[#This Row],[INSTALLMENT]]=1,Table4[[#This Row],[INSTALLMENT]]=2,Table4[[#This Row],[INSTALLMENT]]=3),1,0)</f>
        <v>1</v>
      </c>
      <c r="F121" s="1">
        <f>IF(OR(Table4[[#This Row],[INSTALLMENT]]=2,Table4[[#This Row],[INSTALLMENT]]=3),2,0)</f>
        <v>0</v>
      </c>
      <c r="G121" s="1">
        <f>IF(OR(Table4[[#This Row],[INSTALLMENT]]=3),3,0)</f>
        <v>0</v>
      </c>
    </row>
    <row r="122" spans="1:7">
      <c r="A122" s="1">
        <v>121</v>
      </c>
      <c r="B122" s="1" t="s">
        <v>527</v>
      </c>
      <c r="C122" s="1" t="s">
        <v>526</v>
      </c>
      <c r="D122" s="1">
        <f>COUNTIFS('Raw Entries'!B:B,Table4[[#This Row],[Name]],'Raw Entries'!I:I,Table4[[#This Row],[BOOK No.]])</f>
        <v>3</v>
      </c>
      <c r="E122" s="1">
        <f t="array" ref="E122">IF(OR(Table4[[#This Row],[INSTALLMENT]]=1,Table4[[#This Row],[INSTALLMENT]]=2,Table4[[#This Row],[INSTALLMENT]]=3),1,0)</f>
        <v>1</v>
      </c>
      <c r="F122" s="1">
        <f>IF(OR(Table4[[#This Row],[INSTALLMENT]]=2,Table4[[#This Row],[INSTALLMENT]]=3),2,0)</f>
        <v>2</v>
      </c>
      <c r="G122" s="1">
        <f>IF(OR(Table4[[#This Row],[INSTALLMENT]]=3),3,0)</f>
        <v>3</v>
      </c>
    </row>
    <row r="123" spans="1:7">
      <c r="A123" s="1">
        <v>122</v>
      </c>
      <c r="B123" s="1" t="s">
        <v>2044</v>
      </c>
      <c r="C123" s="1" t="s">
        <v>526</v>
      </c>
      <c r="D123" s="1">
        <f>COUNTIFS('Raw Entries'!B:B,Table4[[#This Row],[Name]],'Raw Entries'!I:I,Table4[[#This Row],[BOOK No.]])</f>
        <v>0</v>
      </c>
      <c r="E123" s="1">
        <f t="array" ref="E123">IF(OR(Table4[[#This Row],[INSTALLMENT]]=1,Table4[[#This Row],[INSTALLMENT]]=2,Table4[[#This Row],[INSTALLMENT]]=3),1,0)</f>
        <v>0</v>
      </c>
      <c r="F123" s="1">
        <f>IF(OR(Table4[[#This Row],[INSTALLMENT]]=2,Table4[[#This Row],[INSTALLMENT]]=3),2,0)</f>
        <v>0</v>
      </c>
      <c r="G123" s="1">
        <f>IF(OR(Table4[[#This Row],[INSTALLMENT]]=3),3,0)</f>
        <v>0</v>
      </c>
    </row>
    <row r="124" spans="1:7">
      <c r="A124" s="1">
        <v>123</v>
      </c>
      <c r="B124" s="1" t="s">
        <v>2045</v>
      </c>
      <c r="C124" s="1" t="s">
        <v>526</v>
      </c>
      <c r="D124" s="1">
        <f>COUNTIFS('Raw Entries'!B:B,Table4[[#This Row],[Name]],'Raw Entries'!I:I,Table4[[#This Row],[BOOK No.]])</f>
        <v>1</v>
      </c>
      <c r="E124" s="1">
        <f t="array" ref="E124">IF(OR(Table4[[#This Row],[INSTALLMENT]]=1,Table4[[#This Row],[INSTALLMENT]]=2,Table4[[#This Row],[INSTALLMENT]]=3),1,0)</f>
        <v>1</v>
      </c>
      <c r="F124" s="1">
        <f>IF(OR(Table4[[#This Row],[INSTALLMENT]]=2,Table4[[#This Row],[INSTALLMENT]]=3),2,0)</f>
        <v>0</v>
      </c>
      <c r="G124" s="1">
        <f>IF(OR(Table4[[#This Row],[INSTALLMENT]]=3),3,0)</f>
        <v>0</v>
      </c>
    </row>
    <row r="125" spans="1:7">
      <c r="A125" s="1">
        <v>124</v>
      </c>
      <c r="B125" s="1" t="s">
        <v>536</v>
      </c>
      <c r="C125" s="1" t="s">
        <v>526</v>
      </c>
      <c r="D125" s="1">
        <f>COUNTIFS('Raw Entries'!B:B,Table4[[#This Row],[Name]],'Raw Entries'!I:I,Table4[[#This Row],[BOOK No.]])</f>
        <v>1</v>
      </c>
      <c r="E125" s="1">
        <f t="array" ref="E125">IF(OR(Table4[[#This Row],[INSTALLMENT]]=1,Table4[[#This Row],[INSTALLMENT]]=2,Table4[[#This Row],[INSTALLMENT]]=3),1,0)</f>
        <v>1</v>
      </c>
      <c r="F125" s="1">
        <f>IF(OR(Table4[[#This Row],[INSTALLMENT]]=2,Table4[[#This Row],[INSTALLMENT]]=3),2,0)</f>
        <v>0</v>
      </c>
      <c r="G125" s="1">
        <f>IF(OR(Table4[[#This Row],[INSTALLMENT]]=3),3,0)</f>
        <v>0</v>
      </c>
    </row>
    <row r="126" spans="1:7">
      <c r="A126" s="1">
        <v>125</v>
      </c>
      <c r="B126" s="1" t="s">
        <v>2046</v>
      </c>
      <c r="C126" s="1" t="s">
        <v>526</v>
      </c>
      <c r="D126" s="1">
        <f>COUNTIFS('Raw Entries'!B:B,Table4[[#This Row],[Name]],'Raw Entries'!I:I,Table4[[#This Row],[BOOK No.]])</f>
        <v>0</v>
      </c>
      <c r="E126" s="1">
        <f t="array" ref="E126">IF(OR(Table4[[#This Row],[INSTALLMENT]]=1,Table4[[#This Row],[INSTALLMENT]]=2,Table4[[#This Row],[INSTALLMENT]]=3),1,0)</f>
        <v>0</v>
      </c>
      <c r="F126" s="1">
        <f>IF(OR(Table4[[#This Row],[INSTALLMENT]]=2,Table4[[#This Row],[INSTALLMENT]]=3),2,0)</f>
        <v>0</v>
      </c>
      <c r="G126" s="1">
        <f>IF(OR(Table4[[#This Row],[INSTALLMENT]]=3),3,0)</f>
        <v>0</v>
      </c>
    </row>
    <row r="127" spans="1:7">
      <c r="A127" s="1">
        <v>126</v>
      </c>
      <c r="B127" s="1" t="s">
        <v>530</v>
      </c>
      <c r="C127" s="1" t="s">
        <v>526</v>
      </c>
      <c r="D127" s="1">
        <f>COUNTIFS('Raw Entries'!B:B,Table4[[#This Row],[Name]],'Raw Entries'!I:I,Table4[[#This Row],[BOOK No.]])</f>
        <v>2</v>
      </c>
      <c r="E127" s="1">
        <f t="array" ref="E127">IF(OR(Table4[[#This Row],[INSTALLMENT]]=1,Table4[[#This Row],[INSTALLMENT]]=2,Table4[[#This Row],[INSTALLMENT]]=3),1,0)</f>
        <v>1</v>
      </c>
      <c r="F127" s="1">
        <f>IF(OR(Table4[[#This Row],[INSTALLMENT]]=2,Table4[[#This Row],[INSTALLMENT]]=3),2,0)</f>
        <v>2</v>
      </c>
      <c r="G127" s="1">
        <f>IF(OR(Table4[[#This Row],[INSTALLMENT]]=3),3,0)</f>
        <v>0</v>
      </c>
    </row>
    <row r="128" spans="1:7">
      <c r="A128" s="1">
        <v>127</v>
      </c>
      <c r="B128" s="1" t="s">
        <v>2047</v>
      </c>
      <c r="C128" s="1" t="s">
        <v>526</v>
      </c>
      <c r="D128" s="1">
        <f>COUNTIFS('Raw Entries'!B:B,Table4[[#This Row],[Name]],'Raw Entries'!I:I,Table4[[#This Row],[BOOK No.]])</f>
        <v>0</v>
      </c>
      <c r="E128" s="1">
        <f t="array" ref="E128">IF(OR(Table4[[#This Row],[INSTALLMENT]]=1,Table4[[#This Row],[INSTALLMENT]]=2,Table4[[#This Row],[INSTALLMENT]]=3),1,0)</f>
        <v>0</v>
      </c>
      <c r="F128" s="1">
        <f>IF(OR(Table4[[#This Row],[INSTALLMENT]]=2,Table4[[#This Row],[INSTALLMENT]]=3),2,0)</f>
        <v>0</v>
      </c>
      <c r="G128" s="1">
        <f>IF(OR(Table4[[#This Row],[INSTALLMENT]]=3),3,0)</f>
        <v>0</v>
      </c>
    </row>
    <row r="129" spans="1:7">
      <c r="A129" s="1">
        <v>128</v>
      </c>
      <c r="B129" s="1" t="s">
        <v>2048</v>
      </c>
      <c r="C129" s="1" t="s">
        <v>526</v>
      </c>
      <c r="D129" s="1">
        <f>COUNTIFS('Raw Entries'!B:B,Table4[[#This Row],[Name]],'Raw Entries'!I:I,Table4[[#This Row],[BOOK No.]])</f>
        <v>0</v>
      </c>
      <c r="E129" s="1">
        <f t="array" ref="E129">IF(OR(Table4[[#This Row],[INSTALLMENT]]=1,Table4[[#This Row],[INSTALLMENT]]=2,Table4[[#This Row],[INSTALLMENT]]=3),1,0)</f>
        <v>0</v>
      </c>
      <c r="F129" s="1">
        <f>IF(OR(Table4[[#This Row],[INSTALLMENT]]=2,Table4[[#This Row],[INSTALLMENT]]=3),2,0)</f>
        <v>0</v>
      </c>
      <c r="G129" s="1">
        <f>IF(OR(Table4[[#This Row],[INSTALLMENT]]=3),3,0)</f>
        <v>0</v>
      </c>
    </row>
    <row r="130" spans="1:7">
      <c r="A130" s="1">
        <v>129</v>
      </c>
      <c r="B130" s="1" t="s">
        <v>2049</v>
      </c>
      <c r="C130" s="1" t="s">
        <v>526</v>
      </c>
      <c r="D130" s="1">
        <f>COUNTIFS('Raw Entries'!B:B,Table4[[#This Row],[Name]],'Raw Entries'!I:I,Table4[[#This Row],[BOOK No.]])</f>
        <v>0</v>
      </c>
      <c r="E130" s="1">
        <f t="array" ref="E130">IF(OR(Table4[[#This Row],[INSTALLMENT]]=1,Table4[[#This Row],[INSTALLMENT]]=2,Table4[[#This Row],[INSTALLMENT]]=3),1,0)</f>
        <v>0</v>
      </c>
      <c r="F130" s="1">
        <f>IF(OR(Table4[[#This Row],[INSTALLMENT]]=2,Table4[[#This Row],[INSTALLMENT]]=3),2,0)</f>
        <v>0</v>
      </c>
      <c r="G130" s="1">
        <f>IF(OR(Table4[[#This Row],[INSTALLMENT]]=3),3,0)</f>
        <v>0</v>
      </c>
    </row>
    <row r="131" spans="1:7">
      <c r="A131" s="1">
        <v>130</v>
      </c>
      <c r="B131" s="1" t="s">
        <v>2050</v>
      </c>
      <c r="C131" s="1" t="s">
        <v>526</v>
      </c>
      <c r="D131" s="1">
        <f>COUNTIFS('Raw Entries'!B:B,Table4[[#This Row],[Name]],'Raw Entries'!I:I,Table4[[#This Row],[BOOK No.]])</f>
        <v>0</v>
      </c>
      <c r="E131" s="1">
        <f t="array" ref="E131">IF(OR(Table4[[#This Row],[INSTALLMENT]]=1,Table4[[#This Row],[INSTALLMENT]]=2,Table4[[#This Row],[INSTALLMENT]]=3),1,0)</f>
        <v>0</v>
      </c>
      <c r="F131" s="1">
        <f>IF(OR(Table4[[#This Row],[INSTALLMENT]]=2,Table4[[#This Row],[INSTALLMENT]]=3),2,0)</f>
        <v>0</v>
      </c>
      <c r="G131" s="1">
        <f>IF(OR(Table4[[#This Row],[INSTALLMENT]]=3),3,0)</f>
        <v>0</v>
      </c>
    </row>
    <row r="132" spans="1:7">
      <c r="A132" s="1">
        <v>131</v>
      </c>
      <c r="B132" s="1" t="s">
        <v>2051</v>
      </c>
      <c r="C132" s="1" t="s">
        <v>543</v>
      </c>
      <c r="D132" s="1">
        <f>COUNTIFS('Raw Entries'!B:B,Table4[[#This Row],[Name]],'Raw Entries'!I:I,Table4[[#This Row],[BOOK No.]])</f>
        <v>0</v>
      </c>
      <c r="E132" s="1">
        <f t="array" ref="E132">IF(OR(Table4[[#This Row],[INSTALLMENT]]=1,Table4[[#This Row],[INSTALLMENT]]=2,Table4[[#This Row],[INSTALLMENT]]=3),1,0)</f>
        <v>0</v>
      </c>
      <c r="F132" s="1">
        <f>IF(OR(Table4[[#This Row],[INSTALLMENT]]=2,Table4[[#This Row],[INSTALLMENT]]=3),2,0)</f>
        <v>0</v>
      </c>
      <c r="G132" s="1">
        <f>IF(OR(Table4[[#This Row],[INSTALLMENT]]=3),3,0)</f>
        <v>0</v>
      </c>
    </row>
    <row r="133" spans="1:7">
      <c r="A133" s="1">
        <v>132</v>
      </c>
      <c r="B133" s="1" t="s">
        <v>546</v>
      </c>
      <c r="C133" s="1" t="s">
        <v>543</v>
      </c>
      <c r="D133" s="1">
        <f>COUNTIFS('Raw Entries'!B:B,Table4[[#This Row],[Name]],'Raw Entries'!I:I,Table4[[#This Row],[BOOK No.]])</f>
        <v>1</v>
      </c>
      <c r="E133" s="1">
        <f t="array" ref="E133">IF(OR(Table4[[#This Row],[INSTALLMENT]]=1,Table4[[#This Row],[INSTALLMENT]]=2,Table4[[#This Row],[INSTALLMENT]]=3),1,0)</f>
        <v>1</v>
      </c>
      <c r="F133" s="1">
        <f>IF(OR(Table4[[#This Row],[INSTALLMENT]]=2,Table4[[#This Row],[INSTALLMENT]]=3),2,0)</f>
        <v>0</v>
      </c>
      <c r="G133" s="1">
        <f>IF(OR(Table4[[#This Row],[INSTALLMENT]]=3),3,0)</f>
        <v>0</v>
      </c>
    </row>
    <row r="134" spans="1:7">
      <c r="A134" s="1">
        <v>133</v>
      </c>
      <c r="B134" s="1" t="s">
        <v>2052</v>
      </c>
      <c r="C134" s="1" t="s">
        <v>543</v>
      </c>
      <c r="D134" s="1">
        <f>COUNTIFS('Raw Entries'!B:B,Table4[[#This Row],[Name]],'Raw Entries'!I:I,Table4[[#This Row],[BOOK No.]])</f>
        <v>0</v>
      </c>
      <c r="E134" s="1">
        <f t="array" ref="E134">IF(OR(Table4[[#This Row],[INSTALLMENT]]=1,Table4[[#This Row],[INSTALLMENT]]=2,Table4[[#This Row],[INSTALLMENT]]=3),1,0)</f>
        <v>0</v>
      </c>
      <c r="F134" s="1">
        <f>IF(OR(Table4[[#This Row],[INSTALLMENT]]=2,Table4[[#This Row],[INSTALLMENT]]=3),2,0)</f>
        <v>0</v>
      </c>
      <c r="G134" s="1">
        <f>IF(OR(Table4[[#This Row],[INSTALLMENT]]=3),3,0)</f>
        <v>0</v>
      </c>
    </row>
    <row r="135" spans="1:7">
      <c r="A135" s="1">
        <v>134</v>
      </c>
      <c r="B135" s="1" t="s">
        <v>2053</v>
      </c>
      <c r="C135" s="1" t="s">
        <v>543</v>
      </c>
      <c r="D135" s="1">
        <f>COUNTIFS('Raw Entries'!B:B,Table4[[#This Row],[Name]],'Raw Entries'!I:I,Table4[[#This Row],[BOOK No.]])</f>
        <v>0</v>
      </c>
      <c r="E135" s="1">
        <f t="array" ref="E135">IF(OR(Table4[[#This Row],[INSTALLMENT]]=1,Table4[[#This Row],[INSTALLMENT]]=2,Table4[[#This Row],[INSTALLMENT]]=3),1,0)</f>
        <v>0</v>
      </c>
      <c r="F135" s="1">
        <f>IF(OR(Table4[[#This Row],[INSTALLMENT]]=2,Table4[[#This Row],[INSTALLMENT]]=3),2,0)</f>
        <v>0</v>
      </c>
      <c r="G135" s="1">
        <f>IF(OR(Table4[[#This Row],[INSTALLMENT]]=3),3,0)</f>
        <v>0</v>
      </c>
    </row>
    <row r="136" spans="1:7">
      <c r="A136" s="1">
        <v>135</v>
      </c>
      <c r="B136" s="1" t="s">
        <v>2054</v>
      </c>
      <c r="C136" s="1" t="s">
        <v>543</v>
      </c>
      <c r="D136" s="1">
        <f>COUNTIFS('Raw Entries'!B:B,Table4[[#This Row],[Name]],'Raw Entries'!I:I,Table4[[#This Row],[BOOK No.]])</f>
        <v>0</v>
      </c>
      <c r="E136" s="1">
        <f t="array" ref="E136">IF(OR(Table4[[#This Row],[INSTALLMENT]]=1,Table4[[#This Row],[INSTALLMENT]]=2,Table4[[#This Row],[INSTALLMENT]]=3),1,0)</f>
        <v>0</v>
      </c>
      <c r="F136" s="1">
        <f>IF(OR(Table4[[#This Row],[INSTALLMENT]]=2,Table4[[#This Row],[INSTALLMENT]]=3),2,0)</f>
        <v>0</v>
      </c>
      <c r="G136" s="1">
        <f>IF(OR(Table4[[#This Row],[INSTALLMENT]]=3),3,0)</f>
        <v>0</v>
      </c>
    </row>
    <row r="137" spans="1:7">
      <c r="A137" s="1">
        <v>136</v>
      </c>
      <c r="B137" s="1" t="s">
        <v>2055</v>
      </c>
      <c r="C137" s="1" t="s">
        <v>543</v>
      </c>
      <c r="D137" s="1">
        <f>COUNTIFS('Raw Entries'!B:B,Table4[[#This Row],[Name]],'Raw Entries'!I:I,Table4[[#This Row],[BOOK No.]])</f>
        <v>0</v>
      </c>
      <c r="E137" s="1">
        <f t="array" ref="E137">IF(OR(Table4[[#This Row],[INSTALLMENT]]=1,Table4[[#This Row],[INSTALLMENT]]=2,Table4[[#This Row],[INSTALLMENT]]=3),1,0)</f>
        <v>0</v>
      </c>
      <c r="F137" s="1">
        <f>IF(OR(Table4[[#This Row],[INSTALLMENT]]=2,Table4[[#This Row],[INSTALLMENT]]=3),2,0)</f>
        <v>0</v>
      </c>
      <c r="G137" s="1">
        <f>IF(OR(Table4[[#This Row],[INSTALLMENT]]=3),3,0)</f>
        <v>0</v>
      </c>
    </row>
    <row r="138" spans="1:7">
      <c r="A138" s="1">
        <v>137</v>
      </c>
      <c r="B138" s="1" t="s">
        <v>2056</v>
      </c>
      <c r="C138" s="1" t="s">
        <v>543</v>
      </c>
      <c r="D138" s="1">
        <f>COUNTIFS('Raw Entries'!B:B,Table4[[#This Row],[Name]],'Raw Entries'!I:I,Table4[[#This Row],[BOOK No.]])</f>
        <v>0</v>
      </c>
      <c r="E138" s="1">
        <f t="array" ref="E138">IF(OR(Table4[[#This Row],[INSTALLMENT]]=1,Table4[[#This Row],[INSTALLMENT]]=2,Table4[[#This Row],[INSTALLMENT]]=3),1,0)</f>
        <v>0</v>
      </c>
      <c r="F138" s="1">
        <f>IF(OR(Table4[[#This Row],[INSTALLMENT]]=2,Table4[[#This Row],[INSTALLMENT]]=3),2,0)</f>
        <v>0</v>
      </c>
      <c r="G138" s="1">
        <f>IF(OR(Table4[[#This Row],[INSTALLMENT]]=3),3,0)</f>
        <v>0</v>
      </c>
    </row>
    <row r="139" spans="1:7">
      <c r="A139" s="1">
        <v>138</v>
      </c>
      <c r="B139" s="1" t="s">
        <v>2057</v>
      </c>
      <c r="C139" s="1" t="s">
        <v>543</v>
      </c>
      <c r="D139" s="1">
        <f>COUNTIFS('Raw Entries'!B:B,Table4[[#This Row],[Name]],'Raw Entries'!I:I,Table4[[#This Row],[BOOK No.]])</f>
        <v>0</v>
      </c>
      <c r="E139" s="1">
        <f t="array" ref="E139">IF(OR(Table4[[#This Row],[INSTALLMENT]]=1,Table4[[#This Row],[INSTALLMENT]]=2,Table4[[#This Row],[INSTALLMENT]]=3),1,0)</f>
        <v>0</v>
      </c>
      <c r="F139" s="1">
        <f>IF(OR(Table4[[#This Row],[INSTALLMENT]]=2,Table4[[#This Row],[INSTALLMENT]]=3),2,0)</f>
        <v>0</v>
      </c>
      <c r="G139" s="1">
        <f>IF(OR(Table4[[#This Row],[INSTALLMENT]]=3),3,0)</f>
        <v>0</v>
      </c>
    </row>
    <row r="140" spans="1:7">
      <c r="A140" s="1">
        <v>139</v>
      </c>
      <c r="B140" s="1" t="s">
        <v>547</v>
      </c>
      <c r="C140" s="1" t="s">
        <v>543</v>
      </c>
      <c r="D140" s="1">
        <f>COUNTIFS('Raw Entries'!B:B,Table4[[#This Row],[Name]],'Raw Entries'!I:I,Table4[[#This Row],[BOOK No.]])</f>
        <v>1</v>
      </c>
      <c r="E140" s="1">
        <f t="array" ref="E140">IF(OR(Table4[[#This Row],[INSTALLMENT]]=1,Table4[[#This Row],[INSTALLMENT]]=2,Table4[[#This Row],[INSTALLMENT]]=3),1,0)</f>
        <v>1</v>
      </c>
      <c r="F140" s="1">
        <f>IF(OR(Table4[[#This Row],[INSTALLMENT]]=2,Table4[[#This Row],[INSTALLMENT]]=3),2,0)</f>
        <v>0</v>
      </c>
      <c r="G140" s="1">
        <f>IF(OR(Table4[[#This Row],[INSTALLMENT]]=3),3,0)</f>
        <v>0</v>
      </c>
    </row>
    <row r="141" spans="1:7">
      <c r="A141" s="1">
        <v>140</v>
      </c>
      <c r="B141" s="1" t="s">
        <v>2058</v>
      </c>
      <c r="C141" s="1" t="s">
        <v>543</v>
      </c>
      <c r="D141" s="1">
        <f>COUNTIFS('Raw Entries'!B:B,Table4[[#This Row],[Name]],'Raw Entries'!I:I,Table4[[#This Row],[BOOK No.]])</f>
        <v>0</v>
      </c>
      <c r="E141" s="1">
        <f t="array" ref="E141">IF(OR(Table4[[#This Row],[INSTALLMENT]]=1,Table4[[#This Row],[INSTALLMENT]]=2,Table4[[#This Row],[INSTALLMENT]]=3),1,0)</f>
        <v>0</v>
      </c>
      <c r="F141" s="1">
        <f>IF(OR(Table4[[#This Row],[INSTALLMENT]]=2,Table4[[#This Row],[INSTALLMENT]]=3),2,0)</f>
        <v>0</v>
      </c>
      <c r="G141" s="1">
        <f>IF(OR(Table4[[#This Row],[INSTALLMENT]]=3),3,0)</f>
        <v>0</v>
      </c>
    </row>
    <row r="142" spans="1:7">
      <c r="A142" s="1">
        <v>141</v>
      </c>
      <c r="B142" s="1" t="s">
        <v>2059</v>
      </c>
      <c r="C142" s="1" t="s">
        <v>543</v>
      </c>
      <c r="D142" s="1">
        <f>COUNTIFS('Raw Entries'!B:B,Table4[[#This Row],[Name]],'Raw Entries'!I:I,Table4[[#This Row],[BOOK No.]])</f>
        <v>0</v>
      </c>
      <c r="E142" s="1">
        <f t="array" ref="E142">IF(OR(Table4[[#This Row],[INSTALLMENT]]=1,Table4[[#This Row],[INSTALLMENT]]=2,Table4[[#This Row],[INSTALLMENT]]=3),1,0)</f>
        <v>0</v>
      </c>
      <c r="F142" s="1">
        <f>IF(OR(Table4[[#This Row],[INSTALLMENT]]=2,Table4[[#This Row],[INSTALLMENT]]=3),2,0)</f>
        <v>0</v>
      </c>
      <c r="G142" s="1">
        <f>IF(OR(Table4[[#This Row],[INSTALLMENT]]=3),3,0)</f>
        <v>0</v>
      </c>
    </row>
    <row r="143" spans="1:7">
      <c r="A143" s="1">
        <v>142</v>
      </c>
      <c r="B143" s="1" t="s">
        <v>545</v>
      </c>
      <c r="C143" s="1" t="s">
        <v>543</v>
      </c>
      <c r="D143" s="1">
        <f>COUNTIFS('Raw Entries'!B:B,Table4[[#This Row],[Name]],'Raw Entries'!I:I,Table4[[#This Row],[BOOK No.]])</f>
        <v>3</v>
      </c>
      <c r="E143" s="1">
        <f t="array" ref="E143">IF(OR(Table4[[#This Row],[INSTALLMENT]]=1,Table4[[#This Row],[INSTALLMENT]]=2,Table4[[#This Row],[INSTALLMENT]]=3),1,0)</f>
        <v>1</v>
      </c>
      <c r="F143" s="1">
        <f>IF(OR(Table4[[#This Row],[INSTALLMENT]]=2,Table4[[#This Row],[INSTALLMENT]]=3),2,0)</f>
        <v>2</v>
      </c>
      <c r="G143" s="1">
        <f>IF(OR(Table4[[#This Row],[INSTALLMENT]]=3),3,0)</f>
        <v>3</v>
      </c>
    </row>
    <row r="144" spans="1:7">
      <c r="A144" s="1">
        <v>143</v>
      </c>
      <c r="B144" s="1" t="s">
        <v>2060</v>
      </c>
      <c r="C144" s="1" t="s">
        <v>543</v>
      </c>
      <c r="D144" s="1">
        <f>COUNTIFS('Raw Entries'!B:B,Table4[[#This Row],[Name]],'Raw Entries'!I:I,Table4[[#This Row],[BOOK No.]])</f>
        <v>0</v>
      </c>
      <c r="E144" s="1">
        <f t="array" ref="E144">IF(OR(Table4[[#This Row],[INSTALLMENT]]=1,Table4[[#This Row],[INSTALLMENT]]=2,Table4[[#This Row],[INSTALLMENT]]=3),1,0)</f>
        <v>0</v>
      </c>
      <c r="F144" s="1">
        <f>IF(OR(Table4[[#This Row],[INSTALLMENT]]=2,Table4[[#This Row],[INSTALLMENT]]=3),2,0)</f>
        <v>0</v>
      </c>
      <c r="G144" s="1">
        <f>IF(OR(Table4[[#This Row],[INSTALLMENT]]=3),3,0)</f>
        <v>0</v>
      </c>
    </row>
    <row r="145" spans="1:7">
      <c r="A145" s="1">
        <v>144</v>
      </c>
      <c r="B145" s="1" t="s">
        <v>2061</v>
      </c>
      <c r="C145" s="1" t="s">
        <v>543</v>
      </c>
      <c r="D145" s="1">
        <f>COUNTIFS('Raw Entries'!B:B,Table4[[#This Row],[Name]],'Raw Entries'!I:I,Table4[[#This Row],[BOOK No.]])</f>
        <v>0</v>
      </c>
      <c r="E145" s="1">
        <f t="array" ref="E145">IF(OR(Table4[[#This Row],[INSTALLMENT]]=1,Table4[[#This Row],[INSTALLMENT]]=2,Table4[[#This Row],[INSTALLMENT]]=3),1,0)</f>
        <v>0</v>
      </c>
      <c r="F145" s="1">
        <f>IF(OR(Table4[[#This Row],[INSTALLMENT]]=2,Table4[[#This Row],[INSTALLMENT]]=3),2,0)</f>
        <v>0</v>
      </c>
      <c r="G145" s="1">
        <f>IF(OR(Table4[[#This Row],[INSTALLMENT]]=3),3,0)</f>
        <v>0</v>
      </c>
    </row>
    <row r="146" spans="1:7">
      <c r="A146" s="1">
        <v>145</v>
      </c>
      <c r="B146" s="1" t="s">
        <v>2062</v>
      </c>
      <c r="C146" s="1" t="s">
        <v>543</v>
      </c>
      <c r="D146" s="1">
        <f>COUNTIFS('Raw Entries'!B:B,Table4[[#This Row],[Name]],'Raw Entries'!I:I,Table4[[#This Row],[BOOK No.]])</f>
        <v>0</v>
      </c>
      <c r="E146" s="1">
        <f t="array" ref="E146">IF(OR(Table4[[#This Row],[INSTALLMENT]]=1,Table4[[#This Row],[INSTALLMENT]]=2,Table4[[#This Row],[INSTALLMENT]]=3),1,0)</f>
        <v>0</v>
      </c>
      <c r="F146" s="1">
        <f>IF(OR(Table4[[#This Row],[INSTALLMENT]]=2,Table4[[#This Row],[INSTALLMENT]]=3),2,0)</f>
        <v>0</v>
      </c>
      <c r="G146" s="1">
        <f>IF(OR(Table4[[#This Row],[INSTALLMENT]]=3),3,0)</f>
        <v>0</v>
      </c>
    </row>
    <row r="147" spans="1:7">
      <c r="A147" s="1">
        <v>146</v>
      </c>
      <c r="B147" s="1" t="s">
        <v>2063</v>
      </c>
      <c r="C147" s="1" t="s">
        <v>543</v>
      </c>
      <c r="D147" s="1">
        <f>COUNTIFS('Raw Entries'!B:B,Table4[[#This Row],[Name]],'Raw Entries'!I:I,Table4[[#This Row],[BOOK No.]])</f>
        <v>0</v>
      </c>
      <c r="E147" s="1">
        <f t="array" ref="E147">IF(OR(Table4[[#This Row],[INSTALLMENT]]=1,Table4[[#This Row],[INSTALLMENT]]=2,Table4[[#This Row],[INSTALLMENT]]=3),1,0)</f>
        <v>0</v>
      </c>
      <c r="F147" s="1">
        <f>IF(OR(Table4[[#This Row],[INSTALLMENT]]=2,Table4[[#This Row],[INSTALLMENT]]=3),2,0)</f>
        <v>0</v>
      </c>
      <c r="G147" s="1">
        <f>IF(OR(Table4[[#This Row],[INSTALLMENT]]=3),3,0)</f>
        <v>0</v>
      </c>
    </row>
    <row r="148" spans="1:7">
      <c r="A148" s="1">
        <v>147</v>
      </c>
      <c r="B148" s="1" t="s">
        <v>2064</v>
      </c>
      <c r="C148" s="1" t="s">
        <v>543</v>
      </c>
      <c r="D148" s="1">
        <f>COUNTIFS('Raw Entries'!B:B,Table4[[#This Row],[Name]],'Raw Entries'!I:I,Table4[[#This Row],[BOOK No.]])</f>
        <v>0</v>
      </c>
      <c r="E148" s="1">
        <f t="array" ref="E148">IF(OR(Table4[[#This Row],[INSTALLMENT]]=1,Table4[[#This Row],[INSTALLMENT]]=2,Table4[[#This Row],[INSTALLMENT]]=3),1,0)</f>
        <v>0</v>
      </c>
      <c r="F148" s="1">
        <f>IF(OR(Table4[[#This Row],[INSTALLMENT]]=2,Table4[[#This Row],[INSTALLMENT]]=3),2,0)</f>
        <v>0</v>
      </c>
      <c r="G148" s="1">
        <f>IF(OR(Table4[[#This Row],[INSTALLMENT]]=3),3,0)</f>
        <v>0</v>
      </c>
    </row>
    <row r="149" spans="1:7">
      <c r="A149" s="1">
        <v>148</v>
      </c>
      <c r="B149" s="1" t="s">
        <v>2065</v>
      </c>
      <c r="C149" s="1" t="s">
        <v>543</v>
      </c>
      <c r="D149" s="1">
        <f>COUNTIFS('Raw Entries'!B:B,Table4[[#This Row],[Name]],'Raw Entries'!I:I,Table4[[#This Row],[BOOK No.]])</f>
        <v>0</v>
      </c>
      <c r="E149" s="1">
        <f t="array" ref="E149">IF(OR(Table4[[#This Row],[INSTALLMENT]]=1,Table4[[#This Row],[INSTALLMENT]]=2,Table4[[#This Row],[INSTALLMENT]]=3),1,0)</f>
        <v>0</v>
      </c>
      <c r="F149" s="1">
        <f>IF(OR(Table4[[#This Row],[INSTALLMENT]]=2,Table4[[#This Row],[INSTALLMENT]]=3),2,0)</f>
        <v>0</v>
      </c>
      <c r="G149" s="1">
        <f>IF(OR(Table4[[#This Row],[INSTALLMENT]]=3),3,0)</f>
        <v>0</v>
      </c>
    </row>
    <row r="150" spans="1:7">
      <c r="A150" s="1">
        <v>149</v>
      </c>
      <c r="B150" s="1" t="s">
        <v>2066</v>
      </c>
      <c r="C150" s="1" t="s">
        <v>543</v>
      </c>
      <c r="D150" s="1">
        <f>COUNTIFS('Raw Entries'!B:B,Table4[[#This Row],[Name]],'Raw Entries'!I:I,Table4[[#This Row],[BOOK No.]])</f>
        <v>0</v>
      </c>
      <c r="E150" s="1">
        <f t="array" ref="E150">IF(OR(Table4[[#This Row],[INSTALLMENT]]=1,Table4[[#This Row],[INSTALLMENT]]=2,Table4[[#This Row],[INSTALLMENT]]=3),1,0)</f>
        <v>0</v>
      </c>
      <c r="F150" s="1">
        <f>IF(OR(Table4[[#This Row],[INSTALLMENT]]=2,Table4[[#This Row],[INSTALLMENT]]=3),2,0)</f>
        <v>0</v>
      </c>
      <c r="G150" s="1">
        <f>IF(OR(Table4[[#This Row],[INSTALLMENT]]=3),3,0)</f>
        <v>0</v>
      </c>
    </row>
    <row r="151" spans="1:7">
      <c r="A151" s="1">
        <v>150</v>
      </c>
      <c r="B151" s="1" t="s">
        <v>2067</v>
      </c>
      <c r="C151" s="1" t="s">
        <v>543</v>
      </c>
      <c r="D151" s="1">
        <f>COUNTIFS('Raw Entries'!B:B,Table4[[#This Row],[Name]],'Raw Entries'!I:I,Table4[[#This Row],[BOOK No.]])</f>
        <v>0</v>
      </c>
      <c r="E151" s="1">
        <f t="array" ref="E151">IF(OR(Table4[[#This Row],[INSTALLMENT]]=1,Table4[[#This Row],[INSTALLMENT]]=2,Table4[[#This Row],[INSTALLMENT]]=3),1,0)</f>
        <v>0</v>
      </c>
      <c r="F151" s="1">
        <f>IF(OR(Table4[[#This Row],[INSTALLMENT]]=2,Table4[[#This Row],[INSTALLMENT]]=3),2,0)</f>
        <v>0</v>
      </c>
      <c r="G151" s="1">
        <f>IF(OR(Table4[[#This Row],[INSTALLMENT]]=3),3,0)</f>
        <v>0</v>
      </c>
    </row>
    <row r="152" spans="1:7">
      <c r="A152" s="1">
        <v>151</v>
      </c>
      <c r="B152" s="1" t="s">
        <v>2068</v>
      </c>
      <c r="C152" s="1" t="s">
        <v>543</v>
      </c>
      <c r="D152" s="1">
        <f>COUNTIFS('Raw Entries'!B:B,Table4[[#This Row],[Name]],'Raw Entries'!I:I,Table4[[#This Row],[BOOK No.]])</f>
        <v>0</v>
      </c>
      <c r="E152" s="1">
        <f t="array" ref="E152">IF(OR(Table4[[#This Row],[INSTALLMENT]]=1,Table4[[#This Row],[INSTALLMENT]]=2,Table4[[#This Row],[INSTALLMENT]]=3),1,0)</f>
        <v>0</v>
      </c>
      <c r="F152" s="1">
        <f>IF(OR(Table4[[#This Row],[INSTALLMENT]]=2,Table4[[#This Row],[INSTALLMENT]]=3),2,0)</f>
        <v>0</v>
      </c>
      <c r="G152" s="1">
        <f>IF(OR(Table4[[#This Row],[INSTALLMENT]]=3),3,0)</f>
        <v>0</v>
      </c>
    </row>
    <row r="153" spans="1:7">
      <c r="A153" s="1">
        <v>152</v>
      </c>
      <c r="B153" s="1" t="s">
        <v>544</v>
      </c>
      <c r="C153" s="1" t="s">
        <v>543</v>
      </c>
      <c r="D153" s="1">
        <f>COUNTIFS('Raw Entries'!B:B,Table4[[#This Row],[Name]],'Raw Entries'!I:I,Table4[[#This Row],[BOOK No.]])</f>
        <v>1</v>
      </c>
      <c r="E153" s="1">
        <f t="array" ref="E153">IF(OR(Table4[[#This Row],[INSTALLMENT]]=1,Table4[[#This Row],[INSTALLMENT]]=2,Table4[[#This Row],[INSTALLMENT]]=3),1,0)</f>
        <v>1</v>
      </c>
      <c r="F153" s="1">
        <f>IF(OR(Table4[[#This Row],[INSTALLMENT]]=2,Table4[[#This Row],[INSTALLMENT]]=3),2,0)</f>
        <v>0</v>
      </c>
      <c r="G153" s="1">
        <f>IF(OR(Table4[[#This Row],[INSTALLMENT]]=3),3,0)</f>
        <v>0</v>
      </c>
    </row>
    <row r="154" spans="1:7">
      <c r="A154" s="1">
        <v>153</v>
      </c>
      <c r="B154" s="1" t="s">
        <v>2069</v>
      </c>
      <c r="C154" s="1" t="s">
        <v>543</v>
      </c>
      <c r="D154" s="1">
        <f>COUNTIFS('Raw Entries'!B:B,Table4[[#This Row],[Name]],'Raw Entries'!I:I,Table4[[#This Row],[BOOK No.]])</f>
        <v>0</v>
      </c>
      <c r="E154" s="1">
        <f t="array" ref="E154">IF(OR(Table4[[#This Row],[INSTALLMENT]]=1,Table4[[#This Row],[INSTALLMENT]]=2,Table4[[#This Row],[INSTALLMENT]]=3),1,0)</f>
        <v>0</v>
      </c>
      <c r="F154" s="1">
        <f>IF(OR(Table4[[#This Row],[INSTALLMENT]]=2,Table4[[#This Row],[INSTALLMENT]]=3),2,0)</f>
        <v>0</v>
      </c>
      <c r="G154" s="1">
        <f>IF(OR(Table4[[#This Row],[INSTALLMENT]]=3),3,0)</f>
        <v>0</v>
      </c>
    </row>
    <row r="155" spans="1:7">
      <c r="A155" s="1">
        <v>154</v>
      </c>
      <c r="B155" s="1" t="s">
        <v>2070</v>
      </c>
      <c r="C155" s="1" t="s">
        <v>543</v>
      </c>
      <c r="D155" s="1">
        <f>COUNTIFS('Raw Entries'!B:B,Table4[[#This Row],[Name]],'Raw Entries'!I:I,Table4[[#This Row],[BOOK No.]])</f>
        <v>0</v>
      </c>
      <c r="E155" s="1">
        <f t="array" ref="E155">IF(OR(Table4[[#This Row],[INSTALLMENT]]=1,Table4[[#This Row],[INSTALLMENT]]=2,Table4[[#This Row],[INSTALLMENT]]=3),1,0)</f>
        <v>0</v>
      </c>
      <c r="F155" s="1">
        <f>IF(OR(Table4[[#This Row],[INSTALLMENT]]=2,Table4[[#This Row],[INSTALLMENT]]=3),2,0)</f>
        <v>0</v>
      </c>
      <c r="G155" s="1">
        <f>IF(OR(Table4[[#This Row],[INSTALLMENT]]=3),3,0)</f>
        <v>0</v>
      </c>
    </row>
    <row r="156" spans="1:7">
      <c r="A156" s="1">
        <v>155</v>
      </c>
      <c r="B156" s="1" t="s">
        <v>2071</v>
      </c>
      <c r="C156" s="1" t="s">
        <v>543</v>
      </c>
      <c r="D156" s="1">
        <f>COUNTIFS('Raw Entries'!B:B,Table4[[#This Row],[Name]],'Raw Entries'!I:I,Table4[[#This Row],[BOOK No.]])</f>
        <v>0</v>
      </c>
      <c r="E156" s="1">
        <f t="array" ref="E156">IF(OR(Table4[[#This Row],[INSTALLMENT]]=1,Table4[[#This Row],[INSTALLMENT]]=2,Table4[[#This Row],[INSTALLMENT]]=3),1,0)</f>
        <v>0</v>
      </c>
      <c r="F156" s="1">
        <f>IF(OR(Table4[[#This Row],[INSTALLMENT]]=2,Table4[[#This Row],[INSTALLMENT]]=3),2,0)</f>
        <v>0</v>
      </c>
      <c r="G156" s="1">
        <f>IF(OR(Table4[[#This Row],[INSTALLMENT]]=3),3,0)</f>
        <v>0</v>
      </c>
    </row>
    <row r="157" spans="1:7">
      <c r="A157" s="1">
        <v>156</v>
      </c>
      <c r="B157" s="1" t="s">
        <v>2072</v>
      </c>
      <c r="C157" s="1" t="s">
        <v>543</v>
      </c>
      <c r="D157" s="1">
        <f>COUNTIFS('Raw Entries'!B:B,Table4[[#This Row],[Name]],'Raw Entries'!I:I,Table4[[#This Row],[BOOK No.]])</f>
        <v>0</v>
      </c>
      <c r="E157" s="1">
        <f t="array" ref="E157">IF(OR(Table4[[#This Row],[INSTALLMENT]]=1,Table4[[#This Row],[INSTALLMENT]]=2,Table4[[#This Row],[INSTALLMENT]]=3),1,0)</f>
        <v>0</v>
      </c>
      <c r="F157" s="1">
        <f>IF(OR(Table4[[#This Row],[INSTALLMENT]]=2,Table4[[#This Row],[INSTALLMENT]]=3),2,0)</f>
        <v>0</v>
      </c>
      <c r="G157" s="1">
        <f>IF(OR(Table4[[#This Row],[INSTALLMENT]]=3),3,0)</f>
        <v>0</v>
      </c>
    </row>
    <row r="158" spans="1:7">
      <c r="A158" s="1">
        <v>157</v>
      </c>
      <c r="B158" s="1" t="s">
        <v>2073</v>
      </c>
      <c r="C158" s="1" t="s">
        <v>543</v>
      </c>
      <c r="D158" s="1">
        <f>COUNTIFS('Raw Entries'!B:B,Table4[[#This Row],[Name]],'Raw Entries'!I:I,Table4[[#This Row],[BOOK No.]])</f>
        <v>0</v>
      </c>
      <c r="E158" s="1">
        <f t="array" ref="E158">IF(OR(Table4[[#This Row],[INSTALLMENT]]=1,Table4[[#This Row],[INSTALLMENT]]=2,Table4[[#This Row],[INSTALLMENT]]=3),1,0)</f>
        <v>0</v>
      </c>
      <c r="F158" s="1">
        <f>IF(OR(Table4[[#This Row],[INSTALLMENT]]=2,Table4[[#This Row],[INSTALLMENT]]=3),2,0)</f>
        <v>0</v>
      </c>
      <c r="G158" s="1">
        <f>IF(OR(Table4[[#This Row],[INSTALLMENT]]=3),3,0)</f>
        <v>0</v>
      </c>
    </row>
    <row r="159" spans="1:7">
      <c r="A159" s="1">
        <v>158</v>
      </c>
      <c r="B159" s="1" t="s">
        <v>2074</v>
      </c>
      <c r="C159" s="1" t="s">
        <v>543</v>
      </c>
      <c r="D159" s="1">
        <f>COUNTIFS('Raw Entries'!B:B,Table4[[#This Row],[Name]],'Raw Entries'!I:I,Table4[[#This Row],[BOOK No.]])</f>
        <v>0</v>
      </c>
      <c r="E159" s="1">
        <f t="array" ref="E159">IF(OR(Table4[[#This Row],[INSTALLMENT]]=1,Table4[[#This Row],[INSTALLMENT]]=2,Table4[[#This Row],[INSTALLMENT]]=3),1,0)</f>
        <v>0</v>
      </c>
      <c r="F159" s="1">
        <f>IF(OR(Table4[[#This Row],[INSTALLMENT]]=2,Table4[[#This Row],[INSTALLMENT]]=3),2,0)</f>
        <v>0</v>
      </c>
      <c r="G159" s="1">
        <f>IF(OR(Table4[[#This Row],[INSTALLMENT]]=3),3,0)</f>
        <v>0</v>
      </c>
    </row>
    <row r="160" spans="1:7">
      <c r="A160" s="1">
        <v>159</v>
      </c>
      <c r="B160" s="1" t="s">
        <v>2075</v>
      </c>
      <c r="C160" s="1" t="s">
        <v>543</v>
      </c>
      <c r="D160" s="1">
        <f>COUNTIFS('Raw Entries'!B:B,Table4[[#This Row],[Name]],'Raw Entries'!I:I,Table4[[#This Row],[BOOK No.]])</f>
        <v>0</v>
      </c>
      <c r="E160" s="1">
        <f t="array" ref="E160">IF(OR(Table4[[#This Row],[INSTALLMENT]]=1,Table4[[#This Row],[INSTALLMENT]]=2,Table4[[#This Row],[INSTALLMENT]]=3),1,0)</f>
        <v>0</v>
      </c>
      <c r="F160" s="1">
        <f>IF(OR(Table4[[#This Row],[INSTALLMENT]]=2,Table4[[#This Row],[INSTALLMENT]]=3),2,0)</f>
        <v>0</v>
      </c>
      <c r="G160" s="1">
        <f>IF(OR(Table4[[#This Row],[INSTALLMENT]]=3),3,0)</f>
        <v>0</v>
      </c>
    </row>
    <row r="161" spans="1:7">
      <c r="A161" s="1">
        <v>160</v>
      </c>
      <c r="B161" s="1" t="s">
        <v>2076</v>
      </c>
      <c r="C161" s="1" t="s">
        <v>543</v>
      </c>
      <c r="D161" s="1">
        <f>COUNTIFS('Raw Entries'!B:B,Table4[[#This Row],[Name]],'Raw Entries'!I:I,Table4[[#This Row],[BOOK No.]])</f>
        <v>0</v>
      </c>
      <c r="E161" s="1">
        <f t="array" ref="E161">IF(OR(Table4[[#This Row],[INSTALLMENT]]=1,Table4[[#This Row],[INSTALLMENT]]=2,Table4[[#This Row],[INSTALLMENT]]=3),1,0)</f>
        <v>0</v>
      </c>
      <c r="F161" s="1">
        <f>IF(OR(Table4[[#This Row],[INSTALLMENT]]=2,Table4[[#This Row],[INSTALLMENT]]=3),2,0)</f>
        <v>0</v>
      </c>
      <c r="G161" s="1">
        <f>IF(OR(Table4[[#This Row],[INSTALLMENT]]=3),3,0)</f>
        <v>0</v>
      </c>
    </row>
    <row r="162" spans="1:7">
      <c r="A162" s="1">
        <v>161</v>
      </c>
      <c r="B162" s="1" t="s">
        <v>2077</v>
      </c>
      <c r="C162" s="1" t="s">
        <v>543</v>
      </c>
      <c r="D162" s="1">
        <f>COUNTIFS('Raw Entries'!B:B,Table4[[#This Row],[Name]],'Raw Entries'!I:I,Table4[[#This Row],[BOOK No.]])</f>
        <v>0</v>
      </c>
      <c r="E162" s="1">
        <f t="array" ref="E162">IF(OR(Table4[[#This Row],[INSTALLMENT]]=1,Table4[[#This Row],[INSTALLMENT]]=2,Table4[[#This Row],[INSTALLMENT]]=3),1,0)</f>
        <v>0</v>
      </c>
      <c r="F162" s="1">
        <f>IF(OR(Table4[[#This Row],[INSTALLMENT]]=2,Table4[[#This Row],[INSTALLMENT]]=3),2,0)</f>
        <v>0</v>
      </c>
      <c r="G162" s="1">
        <f>IF(OR(Table4[[#This Row],[INSTALLMENT]]=3),3,0)</f>
        <v>0</v>
      </c>
    </row>
    <row r="163" spans="1:7">
      <c r="A163" s="1">
        <v>162</v>
      </c>
      <c r="B163" s="1" t="s">
        <v>2078</v>
      </c>
      <c r="C163" s="1" t="s">
        <v>543</v>
      </c>
      <c r="D163" s="1">
        <f>COUNTIFS('Raw Entries'!B:B,Table4[[#This Row],[Name]],'Raw Entries'!I:I,Table4[[#This Row],[BOOK No.]])</f>
        <v>0</v>
      </c>
      <c r="E163" s="1">
        <f t="array" ref="E163">IF(OR(Table4[[#This Row],[INSTALLMENT]]=1,Table4[[#This Row],[INSTALLMENT]]=2,Table4[[#This Row],[INSTALLMENT]]=3),1,0)</f>
        <v>0</v>
      </c>
      <c r="F163" s="1">
        <f>IF(OR(Table4[[#This Row],[INSTALLMENT]]=2,Table4[[#This Row],[INSTALLMENT]]=3),2,0)</f>
        <v>0</v>
      </c>
      <c r="G163" s="1">
        <f>IF(OR(Table4[[#This Row],[INSTALLMENT]]=3),3,0)</f>
        <v>0</v>
      </c>
    </row>
    <row r="164" spans="1:7">
      <c r="A164" s="1">
        <v>163</v>
      </c>
      <c r="B164" s="1" t="s">
        <v>2079</v>
      </c>
      <c r="C164" s="1" t="s">
        <v>548</v>
      </c>
      <c r="D164" s="1">
        <f>COUNTIFS('Raw Entries'!B:B,Table4[[#This Row],[Name]],'Raw Entries'!I:I,Table4[[#This Row],[BOOK No.]])</f>
        <v>0</v>
      </c>
      <c r="E164" s="1">
        <f t="array" ref="E164">IF(OR(Table4[[#This Row],[INSTALLMENT]]=1,Table4[[#This Row],[INSTALLMENT]]=2,Table4[[#This Row],[INSTALLMENT]]=3),1,0)</f>
        <v>0</v>
      </c>
      <c r="F164" s="1">
        <f>IF(OR(Table4[[#This Row],[INSTALLMENT]]=2,Table4[[#This Row],[INSTALLMENT]]=3),2,0)</f>
        <v>0</v>
      </c>
      <c r="G164" s="1">
        <f>IF(OR(Table4[[#This Row],[INSTALLMENT]]=3),3,0)</f>
        <v>0</v>
      </c>
    </row>
    <row r="165" spans="1:7">
      <c r="A165" s="1">
        <v>164</v>
      </c>
      <c r="B165" s="1" t="s">
        <v>549</v>
      </c>
      <c r="C165" s="1" t="s">
        <v>548</v>
      </c>
      <c r="D165" s="1">
        <f>COUNTIFS('Raw Entries'!B:B,Table4[[#This Row],[Name]],'Raw Entries'!I:I,Table4[[#This Row],[BOOK No.]])</f>
        <v>1</v>
      </c>
      <c r="E165" s="1">
        <f t="array" ref="E165">IF(OR(Table4[[#This Row],[INSTALLMENT]]=1,Table4[[#This Row],[INSTALLMENT]]=2,Table4[[#This Row],[INSTALLMENT]]=3),1,0)</f>
        <v>1</v>
      </c>
      <c r="F165" s="1">
        <f>IF(OR(Table4[[#This Row],[INSTALLMENT]]=2,Table4[[#This Row],[INSTALLMENT]]=3),2,0)</f>
        <v>0</v>
      </c>
      <c r="G165" s="1">
        <f>IF(OR(Table4[[#This Row],[INSTALLMENT]]=3),3,0)</f>
        <v>0</v>
      </c>
    </row>
    <row r="166" spans="1:7">
      <c r="A166" s="1">
        <v>165</v>
      </c>
      <c r="B166" s="1" t="s">
        <v>550</v>
      </c>
      <c r="C166" s="1" t="s">
        <v>548</v>
      </c>
      <c r="D166" s="1">
        <f>COUNTIFS('Raw Entries'!B:B,Table4[[#This Row],[Name]],'Raw Entries'!I:I,Table4[[#This Row],[BOOK No.]])</f>
        <v>3</v>
      </c>
      <c r="E166" s="1">
        <f t="array" ref="E166">IF(OR(Table4[[#This Row],[INSTALLMENT]]=1,Table4[[#This Row],[INSTALLMENT]]=2,Table4[[#This Row],[INSTALLMENT]]=3),1,0)</f>
        <v>1</v>
      </c>
      <c r="F166" s="1">
        <f>IF(OR(Table4[[#This Row],[INSTALLMENT]]=2,Table4[[#This Row],[INSTALLMENT]]=3),2,0)</f>
        <v>2</v>
      </c>
      <c r="G166" s="1">
        <f>IF(OR(Table4[[#This Row],[INSTALLMENT]]=3),3,0)</f>
        <v>3</v>
      </c>
    </row>
    <row r="167" spans="1:7">
      <c r="A167" s="1">
        <v>166</v>
      </c>
      <c r="B167" s="1" t="s">
        <v>2080</v>
      </c>
      <c r="C167" s="1" t="s">
        <v>548</v>
      </c>
      <c r="D167" s="1">
        <f>COUNTIFS('Raw Entries'!B:B,Table4[[#This Row],[Name]],'Raw Entries'!I:I,Table4[[#This Row],[BOOK No.]])</f>
        <v>0</v>
      </c>
      <c r="E167" s="1">
        <f t="array" ref="E167">IF(OR(Table4[[#This Row],[INSTALLMENT]]=1,Table4[[#This Row],[INSTALLMENT]]=2,Table4[[#This Row],[INSTALLMENT]]=3),1,0)</f>
        <v>0</v>
      </c>
      <c r="F167" s="1">
        <f>IF(OR(Table4[[#This Row],[INSTALLMENT]]=2,Table4[[#This Row],[INSTALLMENT]]=3),2,0)</f>
        <v>0</v>
      </c>
      <c r="G167" s="1">
        <f>IF(OR(Table4[[#This Row],[INSTALLMENT]]=3),3,0)</f>
        <v>0</v>
      </c>
    </row>
    <row r="168" spans="1:7">
      <c r="A168" s="1">
        <v>167</v>
      </c>
      <c r="B168" s="1" t="s">
        <v>2081</v>
      </c>
      <c r="C168" s="1" t="s">
        <v>548</v>
      </c>
      <c r="D168" s="1">
        <f>COUNTIFS('Raw Entries'!B:B,Table4[[#This Row],[Name]],'Raw Entries'!I:I,Table4[[#This Row],[BOOK No.]])</f>
        <v>0</v>
      </c>
      <c r="E168" s="1">
        <f t="array" ref="E168">IF(OR(Table4[[#This Row],[INSTALLMENT]]=1,Table4[[#This Row],[INSTALLMENT]]=2,Table4[[#This Row],[INSTALLMENT]]=3),1,0)</f>
        <v>0</v>
      </c>
      <c r="F168" s="1">
        <f>IF(OR(Table4[[#This Row],[INSTALLMENT]]=2,Table4[[#This Row],[INSTALLMENT]]=3),2,0)</f>
        <v>0</v>
      </c>
      <c r="G168" s="1">
        <f>IF(OR(Table4[[#This Row],[INSTALLMENT]]=3),3,0)</f>
        <v>0</v>
      </c>
    </row>
    <row r="169" spans="1:7">
      <c r="A169" s="1">
        <v>168</v>
      </c>
      <c r="B169" s="1" t="s">
        <v>2082</v>
      </c>
      <c r="C169" s="1" t="s">
        <v>548</v>
      </c>
      <c r="D169" s="1">
        <f>COUNTIFS('Raw Entries'!B:B,Table4[[#This Row],[Name]],'Raw Entries'!I:I,Table4[[#This Row],[BOOK No.]])</f>
        <v>0</v>
      </c>
      <c r="E169" s="1">
        <f t="array" ref="E169">IF(OR(Table4[[#This Row],[INSTALLMENT]]=1,Table4[[#This Row],[INSTALLMENT]]=2,Table4[[#This Row],[INSTALLMENT]]=3),1,0)</f>
        <v>0</v>
      </c>
      <c r="F169" s="1">
        <f>IF(OR(Table4[[#This Row],[INSTALLMENT]]=2,Table4[[#This Row],[INSTALLMENT]]=3),2,0)</f>
        <v>0</v>
      </c>
      <c r="G169" s="1">
        <f>IF(OR(Table4[[#This Row],[INSTALLMENT]]=3),3,0)</f>
        <v>0</v>
      </c>
    </row>
    <row r="170" spans="1:7">
      <c r="A170" s="1">
        <v>169</v>
      </c>
      <c r="B170" s="1" t="s">
        <v>2083</v>
      </c>
      <c r="C170" s="1" t="s">
        <v>548</v>
      </c>
      <c r="D170" s="1">
        <f>COUNTIFS('Raw Entries'!B:B,Table4[[#This Row],[Name]],'Raw Entries'!I:I,Table4[[#This Row],[BOOK No.]])</f>
        <v>0</v>
      </c>
      <c r="E170" s="1">
        <f t="array" ref="E170">IF(OR(Table4[[#This Row],[INSTALLMENT]]=1,Table4[[#This Row],[INSTALLMENT]]=2,Table4[[#This Row],[INSTALLMENT]]=3),1,0)</f>
        <v>0</v>
      </c>
      <c r="F170" s="1">
        <f>IF(OR(Table4[[#This Row],[INSTALLMENT]]=2,Table4[[#This Row],[INSTALLMENT]]=3),2,0)</f>
        <v>0</v>
      </c>
      <c r="G170" s="1">
        <f>IF(OR(Table4[[#This Row],[INSTALLMENT]]=3),3,0)</f>
        <v>0</v>
      </c>
    </row>
    <row r="171" spans="1:7">
      <c r="A171" s="1">
        <v>170</v>
      </c>
      <c r="B171" s="1" t="s">
        <v>551</v>
      </c>
      <c r="C171" s="1" t="s">
        <v>548</v>
      </c>
      <c r="D171" s="1">
        <f>COUNTIFS('Raw Entries'!B:B,Table4[[#This Row],[Name]],'Raw Entries'!I:I,Table4[[#This Row],[BOOK No.]])</f>
        <v>1</v>
      </c>
      <c r="E171" s="1">
        <f t="array" ref="E171">IF(OR(Table4[[#This Row],[INSTALLMENT]]=1,Table4[[#This Row],[INSTALLMENT]]=2,Table4[[#This Row],[INSTALLMENT]]=3),1,0)</f>
        <v>1</v>
      </c>
      <c r="F171" s="1">
        <f>IF(OR(Table4[[#This Row],[INSTALLMENT]]=2,Table4[[#This Row],[INSTALLMENT]]=3),2,0)</f>
        <v>0</v>
      </c>
      <c r="G171" s="1">
        <f>IF(OR(Table4[[#This Row],[INSTALLMENT]]=3),3,0)</f>
        <v>0</v>
      </c>
    </row>
    <row r="172" spans="1:7">
      <c r="A172" s="1">
        <v>171</v>
      </c>
      <c r="B172" s="1" t="s">
        <v>2084</v>
      </c>
      <c r="C172" s="1" t="s">
        <v>548</v>
      </c>
      <c r="D172" s="1">
        <f>COUNTIFS('Raw Entries'!B:B,Table4[[#This Row],[Name]],'Raw Entries'!I:I,Table4[[#This Row],[BOOK No.]])</f>
        <v>0</v>
      </c>
      <c r="E172" s="1">
        <f t="array" ref="E172">IF(OR(Table4[[#This Row],[INSTALLMENT]]=1,Table4[[#This Row],[INSTALLMENT]]=2,Table4[[#This Row],[INSTALLMENT]]=3),1,0)</f>
        <v>0</v>
      </c>
      <c r="F172" s="1">
        <f>IF(OR(Table4[[#This Row],[INSTALLMENT]]=2,Table4[[#This Row],[INSTALLMENT]]=3),2,0)</f>
        <v>0</v>
      </c>
      <c r="G172" s="1">
        <f>IF(OR(Table4[[#This Row],[INSTALLMENT]]=3),3,0)</f>
        <v>0</v>
      </c>
    </row>
    <row r="173" spans="1:7">
      <c r="A173" s="1">
        <v>172</v>
      </c>
      <c r="B173" s="1" t="s">
        <v>2085</v>
      </c>
      <c r="C173" s="1" t="s">
        <v>548</v>
      </c>
      <c r="D173" s="1">
        <f>COUNTIFS('Raw Entries'!B:B,Table4[[#This Row],[Name]],'Raw Entries'!I:I,Table4[[#This Row],[BOOK No.]])</f>
        <v>0</v>
      </c>
      <c r="E173" s="1">
        <f t="array" ref="E173">IF(OR(Table4[[#This Row],[INSTALLMENT]]=1,Table4[[#This Row],[INSTALLMENT]]=2,Table4[[#This Row],[INSTALLMENT]]=3),1,0)</f>
        <v>0</v>
      </c>
      <c r="F173" s="1">
        <f>IF(OR(Table4[[#This Row],[INSTALLMENT]]=2,Table4[[#This Row],[INSTALLMENT]]=3),2,0)</f>
        <v>0</v>
      </c>
      <c r="G173" s="1">
        <f>IF(OR(Table4[[#This Row],[INSTALLMENT]]=3),3,0)</f>
        <v>0</v>
      </c>
    </row>
    <row r="174" spans="1:7">
      <c r="A174" s="1">
        <v>173</v>
      </c>
      <c r="B174" s="1" t="s">
        <v>2086</v>
      </c>
      <c r="C174" s="1" t="s">
        <v>548</v>
      </c>
      <c r="D174" s="1">
        <f>COUNTIFS('Raw Entries'!B:B,Table4[[#This Row],[Name]],'Raw Entries'!I:I,Table4[[#This Row],[BOOK No.]])</f>
        <v>0</v>
      </c>
      <c r="E174" s="1">
        <f t="array" ref="E174">IF(OR(Table4[[#This Row],[INSTALLMENT]]=1,Table4[[#This Row],[INSTALLMENT]]=2,Table4[[#This Row],[INSTALLMENT]]=3),1,0)</f>
        <v>0</v>
      </c>
      <c r="F174" s="1">
        <f>IF(OR(Table4[[#This Row],[INSTALLMENT]]=2,Table4[[#This Row],[INSTALLMENT]]=3),2,0)</f>
        <v>0</v>
      </c>
      <c r="G174" s="1">
        <f>IF(OR(Table4[[#This Row],[INSTALLMENT]]=3),3,0)</f>
        <v>0</v>
      </c>
    </row>
    <row r="175" spans="1:7">
      <c r="A175" s="1">
        <v>174</v>
      </c>
      <c r="B175" s="1" t="s">
        <v>555</v>
      </c>
      <c r="C175" s="1" t="s">
        <v>548</v>
      </c>
      <c r="D175" s="1">
        <f>COUNTIFS('Raw Entries'!B:B,Table4[[#This Row],[Name]],'Raw Entries'!I:I,Table4[[#This Row],[BOOK No.]])</f>
        <v>1</v>
      </c>
      <c r="E175" s="1">
        <f t="array" ref="E175">IF(OR(Table4[[#This Row],[INSTALLMENT]]=1,Table4[[#This Row],[INSTALLMENT]]=2,Table4[[#This Row],[INSTALLMENT]]=3),1,0)</f>
        <v>1</v>
      </c>
      <c r="F175" s="1">
        <f>IF(OR(Table4[[#This Row],[INSTALLMENT]]=2,Table4[[#This Row],[INSTALLMENT]]=3),2,0)</f>
        <v>0</v>
      </c>
      <c r="G175" s="1">
        <f>IF(OR(Table4[[#This Row],[INSTALLMENT]]=3),3,0)</f>
        <v>0</v>
      </c>
    </row>
    <row r="176" spans="1:7">
      <c r="A176" s="1">
        <v>175</v>
      </c>
      <c r="B176" s="1" t="s">
        <v>2087</v>
      </c>
      <c r="C176" s="1" t="s">
        <v>548</v>
      </c>
      <c r="D176" s="1">
        <f>COUNTIFS('Raw Entries'!B:B,Table4[[#This Row],[Name]],'Raw Entries'!I:I,Table4[[#This Row],[BOOK No.]])</f>
        <v>0</v>
      </c>
      <c r="E176" s="1">
        <f t="array" ref="E176">IF(OR(Table4[[#This Row],[INSTALLMENT]]=1,Table4[[#This Row],[INSTALLMENT]]=2,Table4[[#This Row],[INSTALLMENT]]=3),1,0)</f>
        <v>0</v>
      </c>
      <c r="F176" s="1">
        <f>IF(OR(Table4[[#This Row],[INSTALLMENT]]=2,Table4[[#This Row],[INSTALLMENT]]=3),2,0)</f>
        <v>0</v>
      </c>
      <c r="G176" s="1">
        <f>IF(OR(Table4[[#This Row],[INSTALLMENT]]=3),3,0)</f>
        <v>0</v>
      </c>
    </row>
    <row r="177" spans="1:7">
      <c r="A177" s="1">
        <v>176</v>
      </c>
      <c r="B177" s="1" t="s">
        <v>2088</v>
      </c>
      <c r="C177" s="1" t="s">
        <v>548</v>
      </c>
      <c r="D177" s="1">
        <f>COUNTIFS('Raw Entries'!B:B,Table4[[#This Row],[Name]],'Raw Entries'!I:I,Table4[[#This Row],[BOOK No.]])</f>
        <v>0</v>
      </c>
      <c r="E177" s="1">
        <f t="array" ref="E177">IF(OR(Table4[[#This Row],[INSTALLMENT]]=1,Table4[[#This Row],[INSTALLMENT]]=2,Table4[[#This Row],[INSTALLMENT]]=3),1,0)</f>
        <v>0</v>
      </c>
      <c r="F177" s="1">
        <f>IF(OR(Table4[[#This Row],[INSTALLMENT]]=2,Table4[[#This Row],[INSTALLMENT]]=3),2,0)</f>
        <v>0</v>
      </c>
      <c r="G177" s="1">
        <f>IF(OR(Table4[[#This Row],[INSTALLMENT]]=3),3,0)</f>
        <v>0</v>
      </c>
    </row>
    <row r="178" spans="1:7">
      <c r="A178" s="1">
        <v>177</v>
      </c>
      <c r="B178" s="1" t="s">
        <v>682</v>
      </c>
      <c r="C178" s="1" t="s">
        <v>548</v>
      </c>
      <c r="D178" s="1">
        <f>COUNTIFS('Raw Entries'!B:B,Table4[[#This Row],[Name]],'Raw Entries'!I:I,Table4[[#This Row],[BOOK No.]])</f>
        <v>1</v>
      </c>
      <c r="E178" s="1">
        <f t="array" ref="E178">IF(OR(Table4[[#This Row],[INSTALLMENT]]=1,Table4[[#This Row],[INSTALLMENT]]=2,Table4[[#This Row],[INSTALLMENT]]=3),1,0)</f>
        <v>1</v>
      </c>
      <c r="F178" s="1">
        <f>IF(OR(Table4[[#This Row],[INSTALLMENT]]=2,Table4[[#This Row],[INSTALLMENT]]=3),2,0)</f>
        <v>0</v>
      </c>
      <c r="G178" s="1">
        <f>IF(OR(Table4[[#This Row],[INSTALLMENT]]=3),3,0)</f>
        <v>0</v>
      </c>
    </row>
    <row r="179" spans="1:7">
      <c r="A179" s="1">
        <v>178</v>
      </c>
      <c r="B179" s="1" t="s">
        <v>552</v>
      </c>
      <c r="C179" s="1" t="s">
        <v>548</v>
      </c>
      <c r="D179" s="1">
        <f>COUNTIFS('Raw Entries'!B:B,Table4[[#This Row],[Name]],'Raw Entries'!I:I,Table4[[#This Row],[BOOK No.]])</f>
        <v>3</v>
      </c>
      <c r="E179" s="1">
        <f t="array" ref="E179">IF(OR(Table4[[#This Row],[INSTALLMENT]]=1,Table4[[#This Row],[INSTALLMENT]]=2,Table4[[#This Row],[INSTALLMENT]]=3),1,0)</f>
        <v>1</v>
      </c>
      <c r="F179" s="1">
        <f>IF(OR(Table4[[#This Row],[INSTALLMENT]]=2,Table4[[#This Row],[INSTALLMENT]]=3),2,0)</f>
        <v>2</v>
      </c>
      <c r="G179" s="1">
        <f>IF(OR(Table4[[#This Row],[INSTALLMENT]]=3),3,0)</f>
        <v>3</v>
      </c>
    </row>
    <row r="180" spans="1:7">
      <c r="A180" s="1">
        <v>179</v>
      </c>
      <c r="B180" s="1" t="s">
        <v>2089</v>
      </c>
      <c r="C180" s="1" t="s">
        <v>548</v>
      </c>
      <c r="D180" s="1">
        <f>COUNTIFS('Raw Entries'!B:B,Table4[[#This Row],[Name]],'Raw Entries'!I:I,Table4[[#This Row],[BOOK No.]])</f>
        <v>0</v>
      </c>
      <c r="E180" s="1">
        <f t="array" ref="E180">IF(OR(Table4[[#This Row],[INSTALLMENT]]=1,Table4[[#This Row],[INSTALLMENT]]=2,Table4[[#This Row],[INSTALLMENT]]=3),1,0)</f>
        <v>0</v>
      </c>
      <c r="F180" s="1">
        <f>IF(OR(Table4[[#This Row],[INSTALLMENT]]=2,Table4[[#This Row],[INSTALLMENT]]=3),2,0)</f>
        <v>0</v>
      </c>
      <c r="G180" s="1">
        <f>IF(OR(Table4[[#This Row],[INSTALLMENT]]=3),3,0)</f>
        <v>0</v>
      </c>
    </row>
    <row r="181" spans="1:7">
      <c r="A181" s="1">
        <v>180</v>
      </c>
      <c r="B181" s="1" t="s">
        <v>495</v>
      </c>
      <c r="C181" s="1" t="s">
        <v>548</v>
      </c>
      <c r="D181" s="1">
        <f>COUNTIFS('Raw Entries'!B:B,Table4[[#This Row],[Name]],'Raw Entries'!I:I,Table4[[#This Row],[BOOK No.]])</f>
        <v>0</v>
      </c>
      <c r="E181" s="1">
        <f t="array" ref="E181">IF(OR(Table4[[#This Row],[INSTALLMENT]]=1,Table4[[#This Row],[INSTALLMENT]]=2,Table4[[#This Row],[INSTALLMENT]]=3),1,0)</f>
        <v>0</v>
      </c>
      <c r="F181" s="1">
        <f>IF(OR(Table4[[#This Row],[INSTALLMENT]]=2,Table4[[#This Row],[INSTALLMENT]]=3),2,0)</f>
        <v>0</v>
      </c>
      <c r="G181" s="1">
        <f>IF(OR(Table4[[#This Row],[INSTALLMENT]]=3),3,0)</f>
        <v>0</v>
      </c>
    </row>
    <row r="182" spans="1:7">
      <c r="A182" s="1">
        <v>181</v>
      </c>
      <c r="B182" s="1" t="s">
        <v>2090</v>
      </c>
      <c r="C182" s="1" t="s">
        <v>548</v>
      </c>
      <c r="D182" s="1">
        <f>COUNTIFS('Raw Entries'!B:B,Table4[[#This Row],[Name]],'Raw Entries'!I:I,Table4[[#This Row],[BOOK No.]])</f>
        <v>0</v>
      </c>
      <c r="E182" s="1">
        <f t="array" ref="E182">IF(OR(Table4[[#This Row],[INSTALLMENT]]=1,Table4[[#This Row],[INSTALLMENT]]=2,Table4[[#This Row],[INSTALLMENT]]=3),1,0)</f>
        <v>0</v>
      </c>
      <c r="F182" s="1">
        <f>IF(OR(Table4[[#This Row],[INSTALLMENT]]=2,Table4[[#This Row],[INSTALLMENT]]=3),2,0)</f>
        <v>0</v>
      </c>
      <c r="G182" s="1">
        <f>IF(OR(Table4[[#This Row],[INSTALLMENT]]=3),3,0)</f>
        <v>0</v>
      </c>
    </row>
    <row r="183" spans="1:7">
      <c r="A183" s="1">
        <v>182</v>
      </c>
      <c r="B183" s="1" t="s">
        <v>2091</v>
      </c>
      <c r="C183" s="1" t="s">
        <v>548</v>
      </c>
      <c r="D183" s="1">
        <f>COUNTIFS('Raw Entries'!B:B,Table4[[#This Row],[Name]],'Raw Entries'!I:I,Table4[[#This Row],[BOOK No.]])</f>
        <v>0</v>
      </c>
      <c r="E183" s="1">
        <f t="array" ref="E183">IF(OR(Table4[[#This Row],[INSTALLMENT]]=1,Table4[[#This Row],[INSTALLMENT]]=2,Table4[[#This Row],[INSTALLMENT]]=3),1,0)</f>
        <v>0</v>
      </c>
      <c r="F183" s="1">
        <f>IF(OR(Table4[[#This Row],[INSTALLMENT]]=2,Table4[[#This Row],[INSTALLMENT]]=3),2,0)</f>
        <v>0</v>
      </c>
      <c r="G183" s="1">
        <f>IF(OR(Table4[[#This Row],[INSTALLMENT]]=3),3,0)</f>
        <v>0</v>
      </c>
    </row>
    <row r="184" spans="1:7">
      <c r="A184" s="1">
        <v>183</v>
      </c>
      <c r="B184" s="1" t="s">
        <v>2092</v>
      </c>
      <c r="C184" s="1" t="s">
        <v>548</v>
      </c>
      <c r="D184" s="1">
        <f>COUNTIFS('Raw Entries'!B:B,Table4[[#This Row],[Name]],'Raw Entries'!I:I,Table4[[#This Row],[BOOK No.]])</f>
        <v>0</v>
      </c>
      <c r="E184" s="1">
        <f t="array" ref="E184">IF(OR(Table4[[#This Row],[INSTALLMENT]]=1,Table4[[#This Row],[INSTALLMENT]]=2,Table4[[#This Row],[INSTALLMENT]]=3),1,0)</f>
        <v>0</v>
      </c>
      <c r="F184" s="1">
        <f>IF(OR(Table4[[#This Row],[INSTALLMENT]]=2,Table4[[#This Row],[INSTALLMENT]]=3),2,0)</f>
        <v>0</v>
      </c>
      <c r="G184" s="1">
        <f>IF(OR(Table4[[#This Row],[INSTALLMENT]]=3),3,0)</f>
        <v>0</v>
      </c>
    </row>
    <row r="185" spans="1:7">
      <c r="A185" s="1">
        <v>184</v>
      </c>
      <c r="B185" s="1" t="s">
        <v>634</v>
      </c>
      <c r="C185" s="1" t="s">
        <v>548</v>
      </c>
      <c r="D185" s="1">
        <f>COUNTIFS('Raw Entries'!B:B,Table4[[#This Row],[Name]],'Raw Entries'!I:I,Table4[[#This Row],[BOOK No.]])</f>
        <v>3</v>
      </c>
      <c r="E185" s="1">
        <f t="array" ref="E185">IF(OR(Table4[[#This Row],[INSTALLMENT]]=1,Table4[[#This Row],[INSTALLMENT]]=2,Table4[[#This Row],[INSTALLMENT]]=3),1,0)</f>
        <v>1</v>
      </c>
      <c r="F185" s="1">
        <f>IF(OR(Table4[[#This Row],[INSTALLMENT]]=2,Table4[[#This Row],[INSTALLMENT]]=3),2,0)</f>
        <v>2</v>
      </c>
      <c r="G185" s="1">
        <f>IF(OR(Table4[[#This Row],[INSTALLMENT]]=3),3,0)</f>
        <v>3</v>
      </c>
    </row>
    <row r="186" spans="1:7">
      <c r="A186" s="1">
        <v>185</v>
      </c>
      <c r="B186" s="1" t="s">
        <v>646</v>
      </c>
      <c r="C186" s="1" t="s">
        <v>548</v>
      </c>
      <c r="D186" s="1">
        <f>COUNTIFS('Raw Entries'!B:B,Table4[[#This Row],[Name]],'Raw Entries'!I:I,Table4[[#This Row],[BOOK No.]])</f>
        <v>1</v>
      </c>
      <c r="E186" s="1">
        <f t="array" ref="E186">IF(OR(Table4[[#This Row],[INSTALLMENT]]=1,Table4[[#This Row],[INSTALLMENT]]=2,Table4[[#This Row],[INSTALLMENT]]=3),1,0)</f>
        <v>1</v>
      </c>
      <c r="F186" s="1">
        <f>IF(OR(Table4[[#This Row],[INSTALLMENT]]=2,Table4[[#This Row],[INSTALLMENT]]=3),2,0)</f>
        <v>0</v>
      </c>
      <c r="G186" s="1">
        <f>IF(OR(Table4[[#This Row],[INSTALLMENT]]=3),3,0)</f>
        <v>0</v>
      </c>
    </row>
    <row r="187" spans="1:7">
      <c r="A187" s="1">
        <v>186</v>
      </c>
      <c r="B187" s="1" t="s">
        <v>2093</v>
      </c>
      <c r="C187" s="1" t="s">
        <v>548</v>
      </c>
      <c r="D187" s="1">
        <f>COUNTIFS('Raw Entries'!B:B,Table4[[#This Row],[Name]],'Raw Entries'!I:I,Table4[[#This Row],[BOOK No.]])</f>
        <v>0</v>
      </c>
      <c r="E187" s="1">
        <f t="array" ref="E187">IF(OR(Table4[[#This Row],[INSTALLMENT]]=1,Table4[[#This Row],[INSTALLMENT]]=2,Table4[[#This Row],[INSTALLMENT]]=3),1,0)</f>
        <v>0</v>
      </c>
      <c r="F187" s="1">
        <f>IF(OR(Table4[[#This Row],[INSTALLMENT]]=2,Table4[[#This Row],[INSTALLMENT]]=3),2,0)</f>
        <v>0</v>
      </c>
      <c r="G187" s="1">
        <f>IF(OR(Table4[[#This Row],[INSTALLMENT]]=3),3,0)</f>
        <v>0</v>
      </c>
    </row>
    <row r="188" spans="1:7">
      <c r="A188" s="1">
        <v>187</v>
      </c>
      <c r="B188" s="1" t="s">
        <v>2094</v>
      </c>
      <c r="C188" s="1" t="s">
        <v>548</v>
      </c>
      <c r="D188" s="1">
        <f>COUNTIFS('Raw Entries'!B:B,Table4[[#This Row],[Name]],'Raw Entries'!I:I,Table4[[#This Row],[BOOK No.]])</f>
        <v>0</v>
      </c>
      <c r="E188" s="1">
        <f t="array" ref="E188">IF(OR(Table4[[#This Row],[INSTALLMENT]]=1,Table4[[#This Row],[INSTALLMENT]]=2,Table4[[#This Row],[INSTALLMENT]]=3),1,0)</f>
        <v>0</v>
      </c>
      <c r="F188" s="1">
        <f>IF(OR(Table4[[#This Row],[INSTALLMENT]]=2,Table4[[#This Row],[INSTALLMENT]]=3),2,0)</f>
        <v>0</v>
      </c>
      <c r="G188" s="1">
        <f>IF(OR(Table4[[#This Row],[INSTALLMENT]]=3),3,0)</f>
        <v>0</v>
      </c>
    </row>
    <row r="189" spans="1:7">
      <c r="A189" s="1">
        <v>188</v>
      </c>
      <c r="B189" s="1" t="s">
        <v>2095</v>
      </c>
      <c r="C189" s="1" t="s">
        <v>548</v>
      </c>
      <c r="D189" s="1">
        <f>COUNTIFS('Raw Entries'!B:B,Table4[[#This Row],[Name]],'Raw Entries'!I:I,Table4[[#This Row],[BOOK No.]])</f>
        <v>0</v>
      </c>
      <c r="E189" s="1">
        <f t="array" ref="E189">IF(OR(Table4[[#This Row],[INSTALLMENT]]=1,Table4[[#This Row],[INSTALLMENT]]=2,Table4[[#This Row],[INSTALLMENT]]=3),1,0)</f>
        <v>0</v>
      </c>
      <c r="F189" s="1">
        <f>IF(OR(Table4[[#This Row],[INSTALLMENT]]=2,Table4[[#This Row],[INSTALLMENT]]=3),2,0)</f>
        <v>0</v>
      </c>
      <c r="G189" s="1">
        <f>IF(OR(Table4[[#This Row],[INSTALLMENT]]=3),3,0)</f>
        <v>0</v>
      </c>
    </row>
    <row r="190" spans="1:7">
      <c r="A190" s="1">
        <v>189</v>
      </c>
      <c r="B190" s="1" t="s">
        <v>2096</v>
      </c>
      <c r="C190" s="1" t="s">
        <v>548</v>
      </c>
      <c r="D190" s="1">
        <f>COUNTIFS('Raw Entries'!B:B,Table4[[#This Row],[Name]],'Raw Entries'!I:I,Table4[[#This Row],[BOOK No.]])</f>
        <v>0</v>
      </c>
      <c r="E190" s="1">
        <f t="array" ref="E190">IF(OR(Table4[[#This Row],[INSTALLMENT]]=1,Table4[[#This Row],[INSTALLMENT]]=2,Table4[[#This Row],[INSTALLMENT]]=3),1,0)</f>
        <v>0</v>
      </c>
      <c r="F190" s="1">
        <f>IF(OR(Table4[[#This Row],[INSTALLMENT]]=2,Table4[[#This Row],[INSTALLMENT]]=3),2,0)</f>
        <v>0</v>
      </c>
      <c r="G190" s="1">
        <f>IF(OR(Table4[[#This Row],[INSTALLMENT]]=3),3,0)</f>
        <v>0</v>
      </c>
    </row>
    <row r="191" spans="1:7">
      <c r="A191" s="1">
        <v>190</v>
      </c>
      <c r="B191" s="1" t="s">
        <v>2097</v>
      </c>
      <c r="C191" s="1" t="s">
        <v>548</v>
      </c>
      <c r="D191" s="1">
        <f>COUNTIFS('Raw Entries'!B:B,Table4[[#This Row],[Name]],'Raw Entries'!I:I,Table4[[#This Row],[BOOK No.]])</f>
        <v>0</v>
      </c>
      <c r="E191" s="1">
        <f t="array" ref="E191">IF(OR(Table4[[#This Row],[INSTALLMENT]]=1,Table4[[#This Row],[INSTALLMENT]]=2,Table4[[#This Row],[INSTALLMENT]]=3),1,0)</f>
        <v>0</v>
      </c>
      <c r="F191" s="1">
        <f>IF(OR(Table4[[#This Row],[INSTALLMENT]]=2,Table4[[#This Row],[INSTALLMENT]]=3),2,0)</f>
        <v>0</v>
      </c>
      <c r="G191" s="1">
        <f>IF(OR(Table4[[#This Row],[INSTALLMENT]]=3),3,0)</f>
        <v>0</v>
      </c>
    </row>
    <row r="192" spans="1:7">
      <c r="A192" s="1">
        <v>191</v>
      </c>
      <c r="B192" s="1" t="s">
        <v>2098</v>
      </c>
      <c r="C192" s="1" t="s">
        <v>548</v>
      </c>
      <c r="D192" s="1">
        <f>COUNTIFS('Raw Entries'!B:B,Table4[[#This Row],[Name]],'Raw Entries'!I:I,Table4[[#This Row],[BOOK No.]])</f>
        <v>0</v>
      </c>
      <c r="E192" s="1">
        <f t="array" ref="E192">IF(OR(Table4[[#This Row],[INSTALLMENT]]=1,Table4[[#This Row],[INSTALLMENT]]=2,Table4[[#This Row],[INSTALLMENT]]=3),1,0)</f>
        <v>0</v>
      </c>
      <c r="F192" s="1">
        <f>IF(OR(Table4[[#This Row],[INSTALLMENT]]=2,Table4[[#This Row],[INSTALLMENT]]=3),2,0)</f>
        <v>0</v>
      </c>
      <c r="G192" s="1">
        <f>IF(OR(Table4[[#This Row],[INSTALLMENT]]=3),3,0)</f>
        <v>0</v>
      </c>
    </row>
    <row r="193" spans="1:7">
      <c r="A193" s="1">
        <v>192</v>
      </c>
      <c r="B193" s="1" t="s">
        <v>553</v>
      </c>
      <c r="C193" s="1" t="s">
        <v>548</v>
      </c>
      <c r="D193" s="1">
        <f>COUNTIFS('Raw Entries'!B:B,Table4[[#This Row],[Name]],'Raw Entries'!I:I,Table4[[#This Row],[BOOK No.]])</f>
        <v>3</v>
      </c>
      <c r="E193" s="1">
        <f t="array" ref="E193">IF(OR(Table4[[#This Row],[INSTALLMENT]]=1,Table4[[#This Row],[INSTALLMENT]]=2,Table4[[#This Row],[INSTALLMENT]]=3),1,0)</f>
        <v>1</v>
      </c>
      <c r="F193" s="1">
        <f>IF(OR(Table4[[#This Row],[INSTALLMENT]]=2,Table4[[#This Row],[INSTALLMENT]]=3),2,0)</f>
        <v>2</v>
      </c>
      <c r="G193" s="1">
        <f>IF(OR(Table4[[#This Row],[INSTALLMENT]]=3),3,0)</f>
        <v>3</v>
      </c>
    </row>
    <row r="194" spans="1:7">
      <c r="A194" s="1">
        <v>193</v>
      </c>
      <c r="B194" s="1" t="s">
        <v>2099</v>
      </c>
      <c r="C194" s="1" t="s">
        <v>548</v>
      </c>
      <c r="D194" s="1">
        <f>COUNTIFS('Raw Entries'!B:B,Table4[[#This Row],[Name]],'Raw Entries'!I:I,Table4[[#This Row],[BOOK No.]])</f>
        <v>0</v>
      </c>
      <c r="E194" s="1">
        <f t="array" ref="E194">IF(OR(Table4[[#This Row],[INSTALLMENT]]=1,Table4[[#This Row],[INSTALLMENT]]=2,Table4[[#This Row],[INSTALLMENT]]=3),1,0)</f>
        <v>0</v>
      </c>
      <c r="F194" s="1">
        <f>IF(OR(Table4[[#This Row],[INSTALLMENT]]=2,Table4[[#This Row],[INSTALLMENT]]=3),2,0)</f>
        <v>0</v>
      </c>
      <c r="G194" s="1">
        <f>IF(OR(Table4[[#This Row],[INSTALLMENT]]=3),3,0)</f>
        <v>0</v>
      </c>
    </row>
    <row r="195" spans="1:7">
      <c r="A195" s="1">
        <v>194</v>
      </c>
      <c r="B195" s="1" t="s">
        <v>2100</v>
      </c>
      <c r="C195" s="1" t="s">
        <v>548</v>
      </c>
      <c r="D195" s="1">
        <f>COUNTIFS('Raw Entries'!B:B,Table4[[#This Row],[Name]],'Raw Entries'!I:I,Table4[[#This Row],[BOOK No.]])</f>
        <v>0</v>
      </c>
      <c r="E195" s="1">
        <f t="array" ref="E195">IF(OR(Table4[[#This Row],[INSTALLMENT]]=1,Table4[[#This Row],[INSTALLMENT]]=2,Table4[[#This Row],[INSTALLMENT]]=3),1,0)</f>
        <v>0</v>
      </c>
      <c r="F195" s="1">
        <f>IF(OR(Table4[[#This Row],[INSTALLMENT]]=2,Table4[[#This Row],[INSTALLMENT]]=3),2,0)</f>
        <v>0</v>
      </c>
      <c r="G195" s="1">
        <f>IF(OR(Table4[[#This Row],[INSTALLMENT]]=3),3,0)</f>
        <v>0</v>
      </c>
    </row>
    <row r="196" spans="1:7">
      <c r="A196" s="1">
        <v>195</v>
      </c>
      <c r="B196" s="1" t="s">
        <v>554</v>
      </c>
      <c r="C196" s="1" t="s">
        <v>548</v>
      </c>
      <c r="D196" s="1">
        <f>COUNTIFS('Raw Entries'!B:B,Table4[[#This Row],[Name]],'Raw Entries'!I:I,Table4[[#This Row],[BOOK No.]])</f>
        <v>1</v>
      </c>
      <c r="E196" s="1">
        <f t="array" ref="E196">IF(OR(Table4[[#This Row],[INSTALLMENT]]=1,Table4[[#This Row],[INSTALLMENT]]=2,Table4[[#This Row],[INSTALLMENT]]=3),1,0)</f>
        <v>1</v>
      </c>
      <c r="F196" s="1">
        <f>IF(OR(Table4[[#This Row],[INSTALLMENT]]=2,Table4[[#This Row],[INSTALLMENT]]=3),2,0)</f>
        <v>0</v>
      </c>
      <c r="G196" s="1">
        <f>IF(OR(Table4[[#This Row],[INSTALLMENT]]=3),3,0)</f>
        <v>0</v>
      </c>
    </row>
    <row r="197" spans="1:7">
      <c r="A197" s="1">
        <v>196</v>
      </c>
      <c r="B197" s="1" t="s">
        <v>2101</v>
      </c>
      <c r="C197" s="1" t="s">
        <v>548</v>
      </c>
      <c r="D197" s="1">
        <f>COUNTIFS('Raw Entries'!B:B,Table4[[#This Row],[Name]],'Raw Entries'!I:I,Table4[[#This Row],[BOOK No.]])</f>
        <v>0</v>
      </c>
      <c r="E197" s="1">
        <f t="array" ref="E197">IF(OR(Table4[[#This Row],[INSTALLMENT]]=1,Table4[[#This Row],[INSTALLMENT]]=2,Table4[[#This Row],[INSTALLMENT]]=3),1,0)</f>
        <v>0</v>
      </c>
      <c r="F197" s="1">
        <f>IF(OR(Table4[[#This Row],[INSTALLMENT]]=2,Table4[[#This Row],[INSTALLMENT]]=3),2,0)</f>
        <v>0</v>
      </c>
      <c r="G197" s="1">
        <f>IF(OR(Table4[[#This Row],[INSTALLMENT]]=3),3,0)</f>
        <v>0</v>
      </c>
    </row>
    <row r="198" spans="1:7">
      <c r="A198" s="1">
        <v>197</v>
      </c>
      <c r="B198" s="1" t="s">
        <v>2102</v>
      </c>
      <c r="C198" s="1" t="s">
        <v>548</v>
      </c>
      <c r="D198" s="1">
        <f>COUNTIFS('Raw Entries'!B:B,Table4[[#This Row],[Name]],'Raw Entries'!I:I,Table4[[#This Row],[BOOK No.]])</f>
        <v>0</v>
      </c>
      <c r="E198" s="1">
        <f t="array" ref="E198">IF(OR(Table4[[#This Row],[INSTALLMENT]]=1,Table4[[#This Row],[INSTALLMENT]]=2,Table4[[#This Row],[INSTALLMENT]]=3),1,0)</f>
        <v>0</v>
      </c>
      <c r="F198" s="1">
        <f>IF(OR(Table4[[#This Row],[INSTALLMENT]]=2,Table4[[#This Row],[INSTALLMENT]]=3),2,0)</f>
        <v>0</v>
      </c>
      <c r="G198" s="1">
        <f>IF(OR(Table4[[#This Row],[INSTALLMENT]]=3),3,0)</f>
        <v>0</v>
      </c>
    </row>
    <row r="199" spans="1:7">
      <c r="A199" s="1">
        <v>198</v>
      </c>
      <c r="B199" s="1" t="s">
        <v>2103</v>
      </c>
      <c r="C199" s="1" t="s">
        <v>548</v>
      </c>
      <c r="D199" s="1">
        <f>COUNTIFS('Raw Entries'!B:B,Table4[[#This Row],[Name]],'Raw Entries'!I:I,Table4[[#This Row],[BOOK No.]])</f>
        <v>0</v>
      </c>
      <c r="E199" s="1">
        <f t="array" ref="E199">IF(OR(Table4[[#This Row],[INSTALLMENT]]=1,Table4[[#This Row],[INSTALLMENT]]=2,Table4[[#This Row],[INSTALLMENT]]=3),1,0)</f>
        <v>0</v>
      </c>
      <c r="F199" s="1">
        <f>IF(OR(Table4[[#This Row],[INSTALLMENT]]=2,Table4[[#This Row],[INSTALLMENT]]=3),2,0)</f>
        <v>0</v>
      </c>
      <c r="G199" s="1">
        <f>IF(OR(Table4[[#This Row],[INSTALLMENT]]=3),3,0)</f>
        <v>0</v>
      </c>
    </row>
    <row r="200" spans="1:7">
      <c r="A200" s="1">
        <v>199</v>
      </c>
      <c r="B200" s="1" t="s">
        <v>2104</v>
      </c>
      <c r="C200" s="1" t="s">
        <v>556</v>
      </c>
      <c r="D200" s="1">
        <f>COUNTIFS('Raw Entries'!B:B,Table4[[#This Row],[Name]],'Raw Entries'!I:I,Table4[[#This Row],[BOOK No.]])</f>
        <v>1</v>
      </c>
      <c r="E200" s="1">
        <f t="array" ref="E200">IF(OR(Table4[[#This Row],[INSTALLMENT]]=1,Table4[[#This Row],[INSTALLMENT]]=2,Table4[[#This Row],[INSTALLMENT]]=3),1,0)</f>
        <v>1</v>
      </c>
      <c r="F200" s="1">
        <f>IF(OR(Table4[[#This Row],[INSTALLMENT]]=2,Table4[[#This Row],[INSTALLMENT]]=3),2,0)</f>
        <v>0</v>
      </c>
      <c r="G200" s="1">
        <f>IF(OR(Table4[[#This Row],[INSTALLMENT]]=3),3,0)</f>
        <v>0</v>
      </c>
    </row>
    <row r="201" spans="1:7">
      <c r="A201" s="1">
        <v>200</v>
      </c>
      <c r="B201" s="1" t="s">
        <v>3940</v>
      </c>
      <c r="C201" s="1" t="s">
        <v>556</v>
      </c>
      <c r="D201" s="1">
        <f>COUNTIFS('Raw Entries'!B:B,Table4[[#This Row],[Name]],'Raw Entries'!I:I,Table4[[#This Row],[BOOK No.]])</f>
        <v>0</v>
      </c>
      <c r="E201" s="1">
        <f t="array" ref="E201">IF(OR(Table4[[#This Row],[INSTALLMENT]]=1,Table4[[#This Row],[INSTALLMENT]]=2,Table4[[#This Row],[INSTALLMENT]]=3),1,0)</f>
        <v>0</v>
      </c>
      <c r="F201" s="1">
        <f>IF(OR(Table4[[#This Row],[INSTALLMENT]]=2,Table4[[#This Row],[INSTALLMENT]]=3),2,0)</f>
        <v>0</v>
      </c>
      <c r="G201" s="1">
        <f>IF(OR(Table4[[#This Row],[INSTALLMENT]]=3),3,0)</f>
        <v>0</v>
      </c>
    </row>
    <row r="202" spans="1:7">
      <c r="A202" s="1">
        <v>201</v>
      </c>
      <c r="B202" s="1" t="s">
        <v>2105</v>
      </c>
      <c r="C202" s="1" t="s">
        <v>556</v>
      </c>
      <c r="D202" s="1">
        <f>COUNTIFS('Raw Entries'!B:B,Table4[[#This Row],[Name]],'Raw Entries'!I:I,Table4[[#This Row],[BOOK No.]])</f>
        <v>1</v>
      </c>
      <c r="E202" s="1">
        <f t="array" ref="E202">IF(OR(Table4[[#This Row],[INSTALLMENT]]=1,Table4[[#This Row],[INSTALLMENT]]=2,Table4[[#This Row],[INSTALLMENT]]=3),1,0)</f>
        <v>1</v>
      </c>
      <c r="F202" s="1">
        <f>IF(OR(Table4[[#This Row],[INSTALLMENT]]=2,Table4[[#This Row],[INSTALLMENT]]=3),2,0)</f>
        <v>0</v>
      </c>
      <c r="G202" s="1">
        <f>IF(OR(Table4[[#This Row],[INSTALLMENT]]=3),3,0)</f>
        <v>0</v>
      </c>
    </row>
    <row r="203" spans="1:7">
      <c r="A203" s="1">
        <v>202</v>
      </c>
      <c r="B203" s="1" t="s">
        <v>2106</v>
      </c>
      <c r="C203" s="1" t="s">
        <v>556</v>
      </c>
      <c r="D203" s="1">
        <f>COUNTIFS('Raw Entries'!B:B,Table4[[#This Row],[Name]],'Raw Entries'!I:I,Table4[[#This Row],[BOOK No.]])</f>
        <v>0</v>
      </c>
      <c r="E203" s="1">
        <f t="array" ref="E203">IF(OR(Table4[[#This Row],[INSTALLMENT]]=1,Table4[[#This Row],[INSTALLMENT]]=2,Table4[[#This Row],[INSTALLMENT]]=3),1,0)</f>
        <v>0</v>
      </c>
      <c r="F203" s="1">
        <f>IF(OR(Table4[[#This Row],[INSTALLMENT]]=2,Table4[[#This Row],[INSTALLMENT]]=3),2,0)</f>
        <v>0</v>
      </c>
      <c r="G203" s="1">
        <f>IF(OR(Table4[[#This Row],[INSTALLMENT]]=3),3,0)</f>
        <v>0</v>
      </c>
    </row>
    <row r="204" spans="1:7">
      <c r="A204" s="1">
        <v>203</v>
      </c>
      <c r="B204" s="1" t="s">
        <v>2107</v>
      </c>
      <c r="C204" s="1" t="s">
        <v>556</v>
      </c>
      <c r="D204" s="1">
        <f>COUNTIFS('Raw Entries'!B:B,Table4[[#This Row],[Name]],'Raw Entries'!I:I,Table4[[#This Row],[BOOK No.]])</f>
        <v>0</v>
      </c>
      <c r="E204" s="1">
        <f t="array" ref="E204">IF(OR(Table4[[#This Row],[INSTALLMENT]]=1,Table4[[#This Row],[INSTALLMENT]]=2,Table4[[#This Row],[INSTALLMENT]]=3),1,0)</f>
        <v>0</v>
      </c>
      <c r="F204" s="1">
        <f>IF(OR(Table4[[#This Row],[INSTALLMENT]]=2,Table4[[#This Row],[INSTALLMENT]]=3),2,0)</f>
        <v>0</v>
      </c>
      <c r="G204" s="1">
        <f>IF(OR(Table4[[#This Row],[INSTALLMENT]]=3),3,0)</f>
        <v>0</v>
      </c>
    </row>
    <row r="205" spans="1:7">
      <c r="A205" s="1">
        <v>204</v>
      </c>
      <c r="B205" s="1" t="s">
        <v>2108</v>
      </c>
      <c r="C205" s="1" t="s">
        <v>556</v>
      </c>
      <c r="D205" s="1">
        <f>COUNTIFS('Raw Entries'!B:B,Table4[[#This Row],[Name]],'Raw Entries'!I:I,Table4[[#This Row],[BOOK No.]])</f>
        <v>3</v>
      </c>
      <c r="E205" s="1">
        <f t="array" ref="E205">IF(OR(Table4[[#This Row],[INSTALLMENT]]=1,Table4[[#This Row],[INSTALLMENT]]=2,Table4[[#This Row],[INSTALLMENT]]=3),1,0)</f>
        <v>1</v>
      </c>
      <c r="F205" s="1">
        <f>IF(OR(Table4[[#This Row],[INSTALLMENT]]=2,Table4[[#This Row],[INSTALLMENT]]=3),2,0)</f>
        <v>2</v>
      </c>
      <c r="G205" s="1">
        <f>IF(OR(Table4[[#This Row],[INSTALLMENT]]=3),3,0)</f>
        <v>3</v>
      </c>
    </row>
    <row r="206" spans="1:7">
      <c r="A206" s="1">
        <v>205</v>
      </c>
      <c r="B206" s="1" t="s">
        <v>2109</v>
      </c>
      <c r="C206" s="1" t="s">
        <v>556</v>
      </c>
      <c r="D206" s="1">
        <f>COUNTIFS('Raw Entries'!B:B,Table4[[#This Row],[Name]],'Raw Entries'!I:I,Table4[[#This Row],[BOOK No.]])</f>
        <v>0</v>
      </c>
      <c r="E206" s="1">
        <f t="array" ref="E206">IF(OR(Table4[[#This Row],[INSTALLMENT]]=1,Table4[[#This Row],[INSTALLMENT]]=2,Table4[[#This Row],[INSTALLMENT]]=3),1,0)</f>
        <v>0</v>
      </c>
      <c r="F206" s="1">
        <f>IF(OR(Table4[[#This Row],[INSTALLMENT]]=2,Table4[[#This Row],[INSTALLMENT]]=3),2,0)</f>
        <v>0</v>
      </c>
      <c r="G206" s="1">
        <f>IF(OR(Table4[[#This Row],[INSTALLMENT]]=3),3,0)</f>
        <v>0</v>
      </c>
    </row>
    <row r="207" spans="1:7">
      <c r="A207" s="1">
        <v>206</v>
      </c>
      <c r="B207" s="1" t="s">
        <v>2110</v>
      </c>
      <c r="C207" s="1" t="s">
        <v>556</v>
      </c>
      <c r="D207" s="1">
        <f>COUNTIFS('Raw Entries'!B:B,Table4[[#This Row],[Name]],'Raw Entries'!I:I,Table4[[#This Row],[BOOK No.]])</f>
        <v>0</v>
      </c>
      <c r="E207" s="1">
        <f t="array" ref="E207">IF(OR(Table4[[#This Row],[INSTALLMENT]]=1,Table4[[#This Row],[INSTALLMENT]]=2,Table4[[#This Row],[INSTALLMENT]]=3),1,0)</f>
        <v>0</v>
      </c>
      <c r="F207" s="1">
        <f>IF(OR(Table4[[#This Row],[INSTALLMENT]]=2,Table4[[#This Row],[INSTALLMENT]]=3),2,0)</f>
        <v>0</v>
      </c>
      <c r="G207" s="1">
        <f>IF(OR(Table4[[#This Row],[INSTALLMENT]]=3),3,0)</f>
        <v>0</v>
      </c>
    </row>
    <row r="208" spans="1:7">
      <c r="A208" s="1">
        <v>207</v>
      </c>
      <c r="B208" s="1" t="s">
        <v>2111</v>
      </c>
      <c r="C208" s="1" t="s">
        <v>556</v>
      </c>
      <c r="D208" s="1">
        <f>COUNTIFS('Raw Entries'!B:B,Table4[[#This Row],[Name]],'Raw Entries'!I:I,Table4[[#This Row],[BOOK No.]])</f>
        <v>0</v>
      </c>
      <c r="E208" s="1">
        <f t="array" ref="E208">IF(OR(Table4[[#This Row],[INSTALLMENT]]=1,Table4[[#This Row],[INSTALLMENT]]=2,Table4[[#This Row],[INSTALLMENT]]=3),1,0)</f>
        <v>0</v>
      </c>
      <c r="F208" s="1">
        <f>IF(OR(Table4[[#This Row],[INSTALLMENT]]=2,Table4[[#This Row],[INSTALLMENT]]=3),2,0)</f>
        <v>0</v>
      </c>
      <c r="G208" s="1">
        <f>IF(OR(Table4[[#This Row],[INSTALLMENT]]=3),3,0)</f>
        <v>0</v>
      </c>
    </row>
    <row r="209" spans="1:7">
      <c r="A209" s="1">
        <v>208</v>
      </c>
      <c r="B209" s="1" t="s">
        <v>2112</v>
      </c>
      <c r="C209" s="1" t="s">
        <v>556</v>
      </c>
      <c r="D209" s="1">
        <f>COUNTIFS('Raw Entries'!B:B,Table4[[#This Row],[Name]],'Raw Entries'!I:I,Table4[[#This Row],[BOOK No.]])</f>
        <v>0</v>
      </c>
      <c r="E209" s="1">
        <f t="array" ref="E209">IF(OR(Table4[[#This Row],[INSTALLMENT]]=1,Table4[[#This Row],[INSTALLMENT]]=2,Table4[[#This Row],[INSTALLMENT]]=3),1,0)</f>
        <v>0</v>
      </c>
      <c r="F209" s="1">
        <f>IF(OR(Table4[[#This Row],[INSTALLMENT]]=2,Table4[[#This Row],[INSTALLMENT]]=3),2,0)</f>
        <v>0</v>
      </c>
      <c r="G209" s="1">
        <f>IF(OR(Table4[[#This Row],[INSTALLMENT]]=3),3,0)</f>
        <v>0</v>
      </c>
    </row>
    <row r="210" spans="1:7">
      <c r="A210" s="1">
        <v>209</v>
      </c>
      <c r="B210" s="1" t="s">
        <v>2113</v>
      </c>
      <c r="C210" s="1" t="s">
        <v>556</v>
      </c>
      <c r="D210" s="1">
        <f>COUNTIFS('Raw Entries'!B:B,Table4[[#This Row],[Name]],'Raw Entries'!I:I,Table4[[#This Row],[BOOK No.]])</f>
        <v>0</v>
      </c>
      <c r="E210" s="1">
        <f t="array" ref="E210">IF(OR(Table4[[#This Row],[INSTALLMENT]]=1,Table4[[#This Row],[INSTALLMENT]]=2,Table4[[#This Row],[INSTALLMENT]]=3),1,0)</f>
        <v>0</v>
      </c>
      <c r="F210" s="1">
        <f>IF(OR(Table4[[#This Row],[INSTALLMENT]]=2,Table4[[#This Row],[INSTALLMENT]]=3),2,0)</f>
        <v>0</v>
      </c>
      <c r="G210" s="1">
        <f>IF(OR(Table4[[#This Row],[INSTALLMENT]]=3),3,0)</f>
        <v>0</v>
      </c>
    </row>
    <row r="211" spans="1:7">
      <c r="A211" s="1">
        <v>210</v>
      </c>
      <c r="B211" s="1" t="s">
        <v>2114</v>
      </c>
      <c r="C211" s="1" t="s">
        <v>556</v>
      </c>
      <c r="D211" s="1">
        <f>COUNTIFS('Raw Entries'!B:B,Table4[[#This Row],[Name]],'Raw Entries'!I:I,Table4[[#This Row],[BOOK No.]])</f>
        <v>0</v>
      </c>
      <c r="E211" s="1">
        <f t="array" ref="E211">IF(OR(Table4[[#This Row],[INSTALLMENT]]=1,Table4[[#This Row],[INSTALLMENT]]=2,Table4[[#This Row],[INSTALLMENT]]=3),1,0)</f>
        <v>0</v>
      </c>
      <c r="F211" s="1">
        <f>IF(OR(Table4[[#This Row],[INSTALLMENT]]=2,Table4[[#This Row],[INSTALLMENT]]=3),2,0)</f>
        <v>0</v>
      </c>
      <c r="G211" s="1">
        <f>IF(OR(Table4[[#This Row],[INSTALLMENT]]=3),3,0)</f>
        <v>0</v>
      </c>
    </row>
    <row r="212" spans="1:7">
      <c r="A212" s="1">
        <v>211</v>
      </c>
      <c r="B212" s="1" t="s">
        <v>638</v>
      </c>
      <c r="C212" s="1" t="s">
        <v>556</v>
      </c>
      <c r="D212" s="1">
        <f>COUNTIFS('Raw Entries'!B:B,Table4[[#This Row],[Name]],'Raw Entries'!I:I,Table4[[#This Row],[BOOK No.]])</f>
        <v>1</v>
      </c>
      <c r="E212" s="1">
        <f t="array" ref="E212">IF(OR(Table4[[#This Row],[INSTALLMENT]]=1,Table4[[#This Row],[INSTALLMENT]]=2,Table4[[#This Row],[INSTALLMENT]]=3),1,0)</f>
        <v>1</v>
      </c>
      <c r="F212" s="1">
        <f>IF(OR(Table4[[#This Row],[INSTALLMENT]]=2,Table4[[#This Row],[INSTALLMENT]]=3),2,0)</f>
        <v>0</v>
      </c>
      <c r="G212" s="1">
        <f>IF(OR(Table4[[#This Row],[INSTALLMENT]]=3),3,0)</f>
        <v>0</v>
      </c>
    </row>
    <row r="213" spans="1:7">
      <c r="A213" s="1">
        <v>212</v>
      </c>
      <c r="B213" s="1" t="s">
        <v>2115</v>
      </c>
      <c r="C213" s="1" t="s">
        <v>556</v>
      </c>
      <c r="D213" s="1">
        <f>COUNTIFS('Raw Entries'!B:B,Table4[[#This Row],[Name]],'Raw Entries'!I:I,Table4[[#This Row],[BOOK No.]])</f>
        <v>0</v>
      </c>
      <c r="E213" s="1">
        <f t="array" ref="E213">IF(OR(Table4[[#This Row],[INSTALLMENT]]=1,Table4[[#This Row],[INSTALLMENT]]=2,Table4[[#This Row],[INSTALLMENT]]=3),1,0)</f>
        <v>0</v>
      </c>
      <c r="F213" s="1">
        <f>IF(OR(Table4[[#This Row],[INSTALLMENT]]=2,Table4[[#This Row],[INSTALLMENT]]=3),2,0)</f>
        <v>0</v>
      </c>
      <c r="G213" s="1">
        <f>IF(OR(Table4[[#This Row],[INSTALLMENT]]=3),3,0)</f>
        <v>0</v>
      </c>
    </row>
    <row r="214" spans="1:7">
      <c r="A214" s="1">
        <v>213</v>
      </c>
      <c r="B214" s="1" t="s">
        <v>2116</v>
      </c>
      <c r="C214" s="1" t="s">
        <v>556</v>
      </c>
      <c r="D214" s="1">
        <f>COUNTIFS('Raw Entries'!B:B,Table4[[#This Row],[Name]],'Raw Entries'!I:I,Table4[[#This Row],[BOOK No.]])</f>
        <v>0</v>
      </c>
      <c r="E214" s="1">
        <f t="array" ref="E214">IF(OR(Table4[[#This Row],[INSTALLMENT]]=1,Table4[[#This Row],[INSTALLMENT]]=2,Table4[[#This Row],[INSTALLMENT]]=3),1,0)</f>
        <v>0</v>
      </c>
      <c r="F214" s="1">
        <f>IF(OR(Table4[[#This Row],[INSTALLMENT]]=2,Table4[[#This Row],[INSTALLMENT]]=3),2,0)</f>
        <v>0</v>
      </c>
      <c r="G214" s="1">
        <f>IF(OR(Table4[[#This Row],[INSTALLMENT]]=3),3,0)</f>
        <v>0</v>
      </c>
    </row>
    <row r="215" spans="1:7">
      <c r="A215" s="1">
        <v>214</v>
      </c>
      <c r="B215" s="1" t="s">
        <v>2117</v>
      </c>
      <c r="C215" s="1" t="s">
        <v>556</v>
      </c>
      <c r="D215" s="1">
        <f>COUNTIFS('Raw Entries'!B:B,Table4[[#This Row],[Name]],'Raw Entries'!I:I,Table4[[#This Row],[BOOK No.]])</f>
        <v>0</v>
      </c>
      <c r="E215" s="1">
        <f t="array" ref="E215">IF(OR(Table4[[#This Row],[INSTALLMENT]]=1,Table4[[#This Row],[INSTALLMENT]]=2,Table4[[#This Row],[INSTALLMENT]]=3),1,0)</f>
        <v>0</v>
      </c>
      <c r="F215" s="1">
        <f>IF(OR(Table4[[#This Row],[INSTALLMENT]]=2,Table4[[#This Row],[INSTALLMENT]]=3),2,0)</f>
        <v>0</v>
      </c>
      <c r="G215" s="1">
        <f>IF(OR(Table4[[#This Row],[INSTALLMENT]]=3),3,0)</f>
        <v>0</v>
      </c>
    </row>
    <row r="216" spans="1:7">
      <c r="A216" s="1">
        <v>215</v>
      </c>
      <c r="B216" s="1" t="s">
        <v>2118</v>
      </c>
      <c r="C216" s="1" t="s">
        <v>556</v>
      </c>
      <c r="D216" s="1">
        <f>COUNTIFS('Raw Entries'!B:B,Table4[[#This Row],[Name]],'Raw Entries'!I:I,Table4[[#This Row],[BOOK No.]])</f>
        <v>0</v>
      </c>
      <c r="E216" s="1">
        <f t="array" ref="E216">IF(OR(Table4[[#This Row],[INSTALLMENT]]=1,Table4[[#This Row],[INSTALLMENT]]=2,Table4[[#This Row],[INSTALLMENT]]=3),1,0)</f>
        <v>0</v>
      </c>
      <c r="F216" s="1">
        <f>IF(OR(Table4[[#This Row],[INSTALLMENT]]=2,Table4[[#This Row],[INSTALLMENT]]=3),2,0)</f>
        <v>0</v>
      </c>
      <c r="G216" s="1">
        <f>IF(OR(Table4[[#This Row],[INSTALLMENT]]=3),3,0)</f>
        <v>0</v>
      </c>
    </row>
    <row r="217" spans="1:7">
      <c r="A217" s="1">
        <v>216</v>
      </c>
      <c r="B217" s="1" t="s">
        <v>2119</v>
      </c>
      <c r="C217" s="1" t="s">
        <v>556</v>
      </c>
      <c r="D217" s="1">
        <f>COUNTIFS('Raw Entries'!B:B,Table4[[#This Row],[Name]],'Raw Entries'!I:I,Table4[[#This Row],[BOOK No.]])</f>
        <v>0</v>
      </c>
      <c r="E217" s="1">
        <f t="array" ref="E217">IF(OR(Table4[[#This Row],[INSTALLMENT]]=1,Table4[[#This Row],[INSTALLMENT]]=2,Table4[[#This Row],[INSTALLMENT]]=3),1,0)</f>
        <v>0</v>
      </c>
      <c r="F217" s="1">
        <f>IF(OR(Table4[[#This Row],[INSTALLMENT]]=2,Table4[[#This Row],[INSTALLMENT]]=3),2,0)</f>
        <v>0</v>
      </c>
      <c r="G217" s="1">
        <f>IF(OR(Table4[[#This Row],[INSTALLMENT]]=3),3,0)</f>
        <v>0</v>
      </c>
    </row>
    <row r="218" spans="1:7">
      <c r="A218" s="1">
        <v>217</v>
      </c>
      <c r="B218" s="1" t="s">
        <v>2120</v>
      </c>
      <c r="C218" s="1" t="s">
        <v>556</v>
      </c>
      <c r="D218" s="1">
        <f>COUNTIFS('Raw Entries'!B:B,Table4[[#This Row],[Name]],'Raw Entries'!I:I,Table4[[#This Row],[BOOK No.]])</f>
        <v>1</v>
      </c>
      <c r="E218" s="1">
        <f t="array" ref="E218">IF(OR(Table4[[#This Row],[INSTALLMENT]]=1,Table4[[#This Row],[INSTALLMENT]]=2,Table4[[#This Row],[INSTALLMENT]]=3),1,0)</f>
        <v>1</v>
      </c>
      <c r="F218" s="1">
        <f>IF(OR(Table4[[#This Row],[INSTALLMENT]]=2,Table4[[#This Row],[INSTALLMENT]]=3),2,0)</f>
        <v>0</v>
      </c>
      <c r="G218" s="1">
        <f>IF(OR(Table4[[#This Row],[INSTALLMENT]]=3),3,0)</f>
        <v>0</v>
      </c>
    </row>
    <row r="219" spans="1:7">
      <c r="A219" s="1">
        <v>218</v>
      </c>
      <c r="B219" s="1" t="s">
        <v>2121</v>
      </c>
      <c r="C219" s="1" t="s">
        <v>556</v>
      </c>
      <c r="D219" s="1">
        <f>COUNTIFS('Raw Entries'!B:B,Table4[[#This Row],[Name]],'Raw Entries'!I:I,Table4[[#This Row],[BOOK No.]])</f>
        <v>0</v>
      </c>
      <c r="E219" s="1">
        <f t="array" ref="E219">IF(OR(Table4[[#This Row],[INSTALLMENT]]=1,Table4[[#This Row],[INSTALLMENT]]=2,Table4[[#This Row],[INSTALLMENT]]=3),1,0)</f>
        <v>0</v>
      </c>
      <c r="F219" s="1">
        <f>IF(OR(Table4[[#This Row],[INSTALLMENT]]=2,Table4[[#This Row],[INSTALLMENT]]=3),2,0)</f>
        <v>0</v>
      </c>
      <c r="G219" s="1">
        <f>IF(OR(Table4[[#This Row],[INSTALLMENT]]=3),3,0)</f>
        <v>0</v>
      </c>
    </row>
    <row r="220" spans="1:7">
      <c r="A220" s="1">
        <v>219</v>
      </c>
      <c r="B220" s="1" t="s">
        <v>2122</v>
      </c>
      <c r="C220" s="1" t="s">
        <v>556</v>
      </c>
      <c r="D220" s="1">
        <f>COUNTIFS('Raw Entries'!B:B,Table4[[#This Row],[Name]],'Raw Entries'!I:I,Table4[[#This Row],[BOOK No.]])</f>
        <v>0</v>
      </c>
      <c r="E220" s="1">
        <f t="array" ref="E220">IF(OR(Table4[[#This Row],[INSTALLMENT]]=1,Table4[[#This Row],[INSTALLMENT]]=2,Table4[[#This Row],[INSTALLMENT]]=3),1,0)</f>
        <v>0</v>
      </c>
      <c r="F220" s="1">
        <f>IF(OR(Table4[[#This Row],[INSTALLMENT]]=2,Table4[[#This Row],[INSTALLMENT]]=3),2,0)</f>
        <v>0</v>
      </c>
      <c r="G220" s="1">
        <f>IF(OR(Table4[[#This Row],[INSTALLMENT]]=3),3,0)</f>
        <v>0</v>
      </c>
    </row>
    <row r="221" spans="1:7">
      <c r="A221" s="1">
        <v>220</v>
      </c>
      <c r="B221" s="1" t="s">
        <v>2123</v>
      </c>
      <c r="C221" s="1" t="s">
        <v>556</v>
      </c>
      <c r="D221" s="1">
        <f>COUNTIFS('Raw Entries'!B:B,Table4[[#This Row],[Name]],'Raw Entries'!I:I,Table4[[#This Row],[BOOK No.]])</f>
        <v>0</v>
      </c>
      <c r="E221" s="1">
        <f t="array" ref="E221">IF(OR(Table4[[#This Row],[INSTALLMENT]]=1,Table4[[#This Row],[INSTALLMENT]]=2,Table4[[#This Row],[INSTALLMENT]]=3),1,0)</f>
        <v>0</v>
      </c>
      <c r="F221" s="1">
        <f>IF(OR(Table4[[#This Row],[INSTALLMENT]]=2,Table4[[#This Row],[INSTALLMENT]]=3),2,0)</f>
        <v>0</v>
      </c>
      <c r="G221" s="1">
        <f>IF(OR(Table4[[#This Row],[INSTALLMENT]]=3),3,0)</f>
        <v>0</v>
      </c>
    </row>
    <row r="222" spans="1:7">
      <c r="A222" s="1">
        <v>221</v>
      </c>
      <c r="B222" s="1" t="s">
        <v>2124</v>
      </c>
      <c r="C222" s="1" t="s">
        <v>556</v>
      </c>
      <c r="D222" s="1">
        <f>COUNTIFS('Raw Entries'!B:B,Table4[[#This Row],[Name]],'Raw Entries'!I:I,Table4[[#This Row],[BOOK No.]])</f>
        <v>0</v>
      </c>
      <c r="E222" s="1">
        <f t="array" ref="E222">IF(OR(Table4[[#This Row],[INSTALLMENT]]=1,Table4[[#This Row],[INSTALLMENT]]=2,Table4[[#This Row],[INSTALLMENT]]=3),1,0)</f>
        <v>0</v>
      </c>
      <c r="F222" s="1">
        <f>IF(OR(Table4[[#This Row],[INSTALLMENT]]=2,Table4[[#This Row],[INSTALLMENT]]=3),2,0)</f>
        <v>0</v>
      </c>
      <c r="G222" s="1">
        <f>IF(OR(Table4[[#This Row],[INSTALLMENT]]=3),3,0)</f>
        <v>0</v>
      </c>
    </row>
    <row r="223" spans="1:7">
      <c r="A223" s="1">
        <v>222</v>
      </c>
      <c r="B223" s="1" t="s">
        <v>2125</v>
      </c>
      <c r="C223" s="1" t="s">
        <v>556</v>
      </c>
      <c r="D223" s="1">
        <f>COUNTIFS('Raw Entries'!B:B,Table4[[#This Row],[Name]],'Raw Entries'!I:I,Table4[[#This Row],[BOOK No.]])</f>
        <v>0</v>
      </c>
      <c r="E223" s="1">
        <f t="array" ref="E223">IF(OR(Table4[[#This Row],[INSTALLMENT]]=1,Table4[[#This Row],[INSTALLMENT]]=2,Table4[[#This Row],[INSTALLMENT]]=3),1,0)</f>
        <v>0</v>
      </c>
      <c r="F223" s="1">
        <f>IF(OR(Table4[[#This Row],[INSTALLMENT]]=2,Table4[[#This Row],[INSTALLMENT]]=3),2,0)</f>
        <v>0</v>
      </c>
      <c r="G223" s="1">
        <f>IF(OR(Table4[[#This Row],[INSTALLMENT]]=3),3,0)</f>
        <v>0</v>
      </c>
    </row>
    <row r="224" spans="1:7">
      <c r="A224" s="1">
        <v>223</v>
      </c>
      <c r="B224" s="1" t="s">
        <v>2126</v>
      </c>
      <c r="C224" s="1" t="s">
        <v>556</v>
      </c>
      <c r="D224" s="1">
        <f>COUNTIFS('Raw Entries'!B:B,Table4[[#This Row],[Name]],'Raw Entries'!I:I,Table4[[#This Row],[BOOK No.]])</f>
        <v>0</v>
      </c>
      <c r="E224" s="1">
        <f t="array" ref="E224">IF(OR(Table4[[#This Row],[INSTALLMENT]]=1,Table4[[#This Row],[INSTALLMENT]]=2,Table4[[#This Row],[INSTALLMENT]]=3),1,0)</f>
        <v>0</v>
      </c>
      <c r="F224" s="1">
        <f>IF(OR(Table4[[#This Row],[INSTALLMENT]]=2,Table4[[#This Row],[INSTALLMENT]]=3),2,0)</f>
        <v>0</v>
      </c>
      <c r="G224" s="1">
        <f>IF(OR(Table4[[#This Row],[INSTALLMENT]]=3),3,0)</f>
        <v>0</v>
      </c>
    </row>
    <row r="225" spans="1:7">
      <c r="A225" s="1">
        <v>224</v>
      </c>
      <c r="B225" s="1" t="s">
        <v>2127</v>
      </c>
      <c r="C225" s="1" t="s">
        <v>556</v>
      </c>
      <c r="D225" s="1">
        <f>COUNTIFS('Raw Entries'!B:B,Table4[[#This Row],[Name]],'Raw Entries'!I:I,Table4[[#This Row],[BOOK No.]])</f>
        <v>1</v>
      </c>
      <c r="E225" s="1">
        <f t="array" ref="E225">IF(OR(Table4[[#This Row],[INSTALLMENT]]=1,Table4[[#This Row],[INSTALLMENT]]=2,Table4[[#This Row],[INSTALLMENT]]=3),1,0)</f>
        <v>1</v>
      </c>
      <c r="F225" s="1">
        <f>IF(OR(Table4[[#This Row],[INSTALLMENT]]=2,Table4[[#This Row],[INSTALLMENT]]=3),2,0)</f>
        <v>0</v>
      </c>
      <c r="G225" s="1">
        <f>IF(OR(Table4[[#This Row],[INSTALLMENT]]=3),3,0)</f>
        <v>0</v>
      </c>
    </row>
    <row r="226" spans="1:7">
      <c r="A226" s="1">
        <v>225</v>
      </c>
      <c r="B226" s="1" t="s">
        <v>2128</v>
      </c>
      <c r="C226" s="1" t="s">
        <v>556</v>
      </c>
      <c r="D226" s="1">
        <f>COUNTIFS('Raw Entries'!B:B,Table4[[#This Row],[Name]],'Raw Entries'!I:I,Table4[[#This Row],[BOOK No.]])</f>
        <v>3</v>
      </c>
      <c r="E226" s="1">
        <f t="array" ref="E226">IF(OR(Table4[[#This Row],[INSTALLMENT]]=1,Table4[[#This Row],[INSTALLMENT]]=2,Table4[[#This Row],[INSTALLMENT]]=3),1,0)</f>
        <v>1</v>
      </c>
      <c r="F226" s="1">
        <f>IF(OR(Table4[[#This Row],[INSTALLMENT]]=2,Table4[[#This Row],[INSTALLMENT]]=3),2,0)</f>
        <v>2</v>
      </c>
      <c r="G226" s="1">
        <f>IF(OR(Table4[[#This Row],[INSTALLMENT]]=3),3,0)</f>
        <v>3</v>
      </c>
    </row>
    <row r="227" spans="1:7">
      <c r="A227" s="1">
        <v>226</v>
      </c>
      <c r="B227" s="1" t="s">
        <v>2129</v>
      </c>
      <c r="C227" s="1" t="s">
        <v>556</v>
      </c>
      <c r="D227" s="1">
        <f>COUNTIFS('Raw Entries'!B:B,Table4[[#This Row],[Name]],'Raw Entries'!I:I,Table4[[#This Row],[BOOK No.]])</f>
        <v>3</v>
      </c>
      <c r="E227" s="1">
        <f t="array" ref="E227">IF(OR(Table4[[#This Row],[INSTALLMENT]]=1,Table4[[#This Row],[INSTALLMENT]]=2,Table4[[#This Row],[INSTALLMENT]]=3),1,0)</f>
        <v>1</v>
      </c>
      <c r="F227" s="1">
        <f>IF(OR(Table4[[#This Row],[INSTALLMENT]]=2,Table4[[#This Row],[INSTALLMENT]]=3),2,0)</f>
        <v>2</v>
      </c>
      <c r="G227" s="1">
        <f>IF(OR(Table4[[#This Row],[INSTALLMENT]]=3),3,0)</f>
        <v>3</v>
      </c>
    </row>
    <row r="228" spans="1:7">
      <c r="A228" s="1">
        <v>227</v>
      </c>
      <c r="B228" s="1" t="s">
        <v>2130</v>
      </c>
      <c r="C228" s="1" t="s">
        <v>556</v>
      </c>
      <c r="D228" s="1">
        <f>COUNTIFS('Raw Entries'!B:B,Table4[[#This Row],[Name]],'Raw Entries'!I:I,Table4[[#This Row],[BOOK No.]])</f>
        <v>0</v>
      </c>
      <c r="E228" s="1">
        <f t="array" ref="E228">IF(OR(Table4[[#This Row],[INSTALLMENT]]=1,Table4[[#This Row],[INSTALLMENT]]=2,Table4[[#This Row],[INSTALLMENT]]=3),1,0)</f>
        <v>0</v>
      </c>
      <c r="F228" s="1">
        <f>IF(OR(Table4[[#This Row],[INSTALLMENT]]=2,Table4[[#This Row],[INSTALLMENT]]=3),2,0)</f>
        <v>0</v>
      </c>
      <c r="G228" s="1">
        <f>IF(OR(Table4[[#This Row],[INSTALLMENT]]=3),3,0)</f>
        <v>0</v>
      </c>
    </row>
    <row r="229" spans="1:7">
      <c r="A229" s="1">
        <v>228</v>
      </c>
      <c r="B229" s="1" t="s">
        <v>2131</v>
      </c>
      <c r="C229" s="1" t="s">
        <v>556</v>
      </c>
      <c r="D229" s="1">
        <f>COUNTIFS('Raw Entries'!B:B,Table4[[#This Row],[Name]],'Raw Entries'!I:I,Table4[[#This Row],[BOOK No.]])</f>
        <v>2</v>
      </c>
      <c r="E229" s="1">
        <f t="array" ref="E229">IF(OR(Table4[[#This Row],[INSTALLMENT]]=1,Table4[[#This Row],[INSTALLMENT]]=2,Table4[[#This Row],[INSTALLMENT]]=3),1,0)</f>
        <v>1</v>
      </c>
      <c r="F229" s="1">
        <f>IF(OR(Table4[[#This Row],[INSTALLMENT]]=2,Table4[[#This Row],[INSTALLMENT]]=3),2,0)</f>
        <v>2</v>
      </c>
      <c r="G229" s="1">
        <f>IF(OR(Table4[[#This Row],[INSTALLMENT]]=3),3,0)</f>
        <v>0</v>
      </c>
    </row>
    <row r="230" spans="1:7">
      <c r="A230" s="1">
        <v>229</v>
      </c>
      <c r="B230" s="1" t="s">
        <v>2132</v>
      </c>
      <c r="C230" s="1" t="s">
        <v>556</v>
      </c>
      <c r="D230" s="1">
        <f>COUNTIFS('Raw Entries'!B:B,Table4[[#This Row],[Name]],'Raw Entries'!I:I,Table4[[#This Row],[BOOK No.]])</f>
        <v>0</v>
      </c>
      <c r="E230" s="1">
        <f t="array" ref="E230">IF(OR(Table4[[#This Row],[INSTALLMENT]]=1,Table4[[#This Row],[INSTALLMENT]]=2,Table4[[#This Row],[INSTALLMENT]]=3),1,0)</f>
        <v>0</v>
      </c>
      <c r="F230" s="1">
        <f>IF(OR(Table4[[#This Row],[INSTALLMENT]]=2,Table4[[#This Row],[INSTALLMENT]]=3),2,0)</f>
        <v>0</v>
      </c>
      <c r="G230" s="1">
        <f>IF(OR(Table4[[#This Row],[INSTALLMENT]]=3),3,0)</f>
        <v>0</v>
      </c>
    </row>
    <row r="231" spans="1:7">
      <c r="A231" s="1">
        <v>230</v>
      </c>
      <c r="B231" s="1" t="s">
        <v>2133</v>
      </c>
      <c r="C231" s="1" t="s">
        <v>556</v>
      </c>
      <c r="D231" s="1">
        <f>COUNTIFS('Raw Entries'!B:B,Table4[[#This Row],[Name]],'Raw Entries'!I:I,Table4[[#This Row],[BOOK No.]])</f>
        <v>3</v>
      </c>
      <c r="E231" s="1">
        <f t="array" ref="E231">IF(OR(Table4[[#This Row],[INSTALLMENT]]=1,Table4[[#This Row],[INSTALLMENT]]=2,Table4[[#This Row],[INSTALLMENT]]=3),1,0)</f>
        <v>1</v>
      </c>
      <c r="F231" s="1">
        <f>IF(OR(Table4[[#This Row],[INSTALLMENT]]=2,Table4[[#This Row],[INSTALLMENT]]=3),2,0)</f>
        <v>2</v>
      </c>
      <c r="G231" s="1">
        <f>IF(OR(Table4[[#This Row],[INSTALLMENT]]=3),3,0)</f>
        <v>3</v>
      </c>
    </row>
    <row r="232" spans="1:7">
      <c r="A232" s="1">
        <v>231</v>
      </c>
      <c r="B232" s="1" t="s">
        <v>2134</v>
      </c>
      <c r="C232" s="1" t="s">
        <v>556</v>
      </c>
      <c r="D232" s="1">
        <f>COUNTIFS('Raw Entries'!B:B,Table4[[#This Row],[Name]],'Raw Entries'!I:I,Table4[[#This Row],[BOOK No.]])</f>
        <v>0</v>
      </c>
      <c r="E232" s="1">
        <f t="array" ref="E232">IF(OR(Table4[[#This Row],[INSTALLMENT]]=1,Table4[[#This Row],[INSTALLMENT]]=2,Table4[[#This Row],[INSTALLMENT]]=3),1,0)</f>
        <v>0</v>
      </c>
      <c r="F232" s="1">
        <f>IF(OR(Table4[[#This Row],[INSTALLMENT]]=2,Table4[[#This Row],[INSTALLMENT]]=3),2,0)</f>
        <v>0</v>
      </c>
      <c r="G232" s="1">
        <f>IF(OR(Table4[[#This Row],[INSTALLMENT]]=3),3,0)</f>
        <v>0</v>
      </c>
    </row>
    <row r="233" spans="1:7">
      <c r="A233" s="1">
        <v>232</v>
      </c>
      <c r="B233" s="1" t="s">
        <v>2135</v>
      </c>
      <c r="C233" s="1" t="s">
        <v>556</v>
      </c>
      <c r="D233" s="1">
        <f>COUNTIFS('Raw Entries'!B:B,Table4[[#This Row],[Name]],'Raw Entries'!I:I,Table4[[#This Row],[BOOK No.]])</f>
        <v>0</v>
      </c>
      <c r="E233" s="1">
        <f t="array" ref="E233">IF(OR(Table4[[#This Row],[INSTALLMENT]]=1,Table4[[#This Row],[INSTALLMENT]]=2,Table4[[#This Row],[INSTALLMENT]]=3),1,0)</f>
        <v>0</v>
      </c>
      <c r="F233" s="1">
        <f>IF(OR(Table4[[#This Row],[INSTALLMENT]]=2,Table4[[#This Row],[INSTALLMENT]]=3),2,0)</f>
        <v>0</v>
      </c>
      <c r="G233" s="1">
        <f>IF(OR(Table4[[#This Row],[INSTALLMENT]]=3),3,0)</f>
        <v>0</v>
      </c>
    </row>
    <row r="234" spans="1:7">
      <c r="A234" s="1">
        <v>233</v>
      </c>
      <c r="B234" s="1" t="s">
        <v>2136</v>
      </c>
      <c r="C234" s="1" t="s">
        <v>520</v>
      </c>
      <c r="D234" s="1">
        <f>COUNTIFS('Raw Entries'!B:B,Table4[[#This Row],[Name]],'Raw Entries'!I:I,Table4[[#This Row],[BOOK No.]])</f>
        <v>0</v>
      </c>
      <c r="E234" s="1">
        <f t="array" ref="E234">IF(OR(Table4[[#This Row],[INSTALLMENT]]=1,Table4[[#This Row],[INSTALLMENT]]=2,Table4[[#This Row],[INSTALLMENT]]=3),1,0)</f>
        <v>0</v>
      </c>
      <c r="F234" s="1">
        <f>IF(OR(Table4[[#This Row],[INSTALLMENT]]=2,Table4[[#This Row],[INSTALLMENT]]=3),2,0)</f>
        <v>0</v>
      </c>
      <c r="G234" s="1">
        <f>IF(OR(Table4[[#This Row],[INSTALLMENT]]=3),3,0)</f>
        <v>0</v>
      </c>
    </row>
    <row r="235" spans="1:7">
      <c r="A235" s="1">
        <v>234</v>
      </c>
      <c r="B235" s="1" t="s">
        <v>2137</v>
      </c>
      <c r="C235" s="1" t="s">
        <v>520</v>
      </c>
      <c r="D235" s="1">
        <f>COUNTIFS('Raw Entries'!B:B,Table4[[#This Row],[Name]],'Raw Entries'!I:I,Table4[[#This Row],[BOOK No.]])</f>
        <v>0</v>
      </c>
      <c r="E235" s="1">
        <f t="array" ref="E235">IF(OR(Table4[[#This Row],[INSTALLMENT]]=1,Table4[[#This Row],[INSTALLMENT]]=2,Table4[[#This Row],[INSTALLMENT]]=3),1,0)</f>
        <v>0</v>
      </c>
      <c r="F235" s="1">
        <f>IF(OR(Table4[[#This Row],[INSTALLMENT]]=2,Table4[[#This Row],[INSTALLMENT]]=3),2,0)</f>
        <v>0</v>
      </c>
      <c r="G235" s="1">
        <f>IF(OR(Table4[[#This Row],[INSTALLMENT]]=3),3,0)</f>
        <v>0</v>
      </c>
    </row>
    <row r="236" spans="1:7">
      <c r="A236" s="1">
        <v>235</v>
      </c>
      <c r="B236" s="1" t="s">
        <v>2138</v>
      </c>
      <c r="C236" s="1" t="s">
        <v>520</v>
      </c>
      <c r="D236" s="1">
        <f>COUNTIFS('Raw Entries'!B:B,Table4[[#This Row],[Name]],'Raw Entries'!I:I,Table4[[#This Row],[BOOK No.]])</f>
        <v>0</v>
      </c>
      <c r="E236" s="1">
        <f t="array" ref="E236">IF(OR(Table4[[#This Row],[INSTALLMENT]]=1,Table4[[#This Row],[INSTALLMENT]]=2,Table4[[#This Row],[INSTALLMENT]]=3),1,0)</f>
        <v>0</v>
      </c>
      <c r="F236" s="1">
        <f>IF(OR(Table4[[#This Row],[INSTALLMENT]]=2,Table4[[#This Row],[INSTALLMENT]]=3),2,0)</f>
        <v>0</v>
      </c>
      <c r="G236" s="1">
        <f>IF(OR(Table4[[#This Row],[INSTALLMENT]]=3),3,0)</f>
        <v>0</v>
      </c>
    </row>
    <row r="237" spans="1:7">
      <c r="A237" s="1">
        <v>240</v>
      </c>
      <c r="B237" s="1" t="s">
        <v>2139</v>
      </c>
      <c r="C237" s="1" t="s">
        <v>467</v>
      </c>
      <c r="D237" s="1">
        <f>COUNTIFS('Raw Entries'!B:B,Table4[[#This Row],[Name]],'Raw Entries'!I:I,Table4[[#This Row],[BOOK No.]])</f>
        <v>3</v>
      </c>
      <c r="E237" s="1">
        <f t="array" ref="E237">IF(OR(Table4[[#This Row],[INSTALLMENT]]=1,Table4[[#This Row],[INSTALLMENT]]=2,Table4[[#This Row],[INSTALLMENT]]=3),1,0)</f>
        <v>1</v>
      </c>
      <c r="F237" s="1">
        <f>IF(OR(Table4[[#This Row],[INSTALLMENT]]=2,Table4[[#This Row],[INSTALLMENT]]=3),2,0)</f>
        <v>2</v>
      </c>
      <c r="G237" s="1">
        <f>IF(OR(Table4[[#This Row],[INSTALLMENT]]=3),3,0)</f>
        <v>3</v>
      </c>
    </row>
    <row r="238" spans="1:7">
      <c r="A238" s="1">
        <v>241</v>
      </c>
      <c r="B238" s="1" t="s">
        <v>478</v>
      </c>
      <c r="C238" s="1" t="s">
        <v>467</v>
      </c>
      <c r="D238" s="1">
        <f>COUNTIFS('Raw Entries'!B:B,Table4[[#This Row],[Name]],'Raw Entries'!I:I,Table4[[#This Row],[BOOK No.]])</f>
        <v>2</v>
      </c>
      <c r="E238" s="1">
        <f t="array" ref="E238">IF(OR(Table4[[#This Row],[INSTALLMENT]]=1,Table4[[#This Row],[INSTALLMENT]]=2,Table4[[#This Row],[INSTALLMENT]]=3),1,0)</f>
        <v>1</v>
      </c>
      <c r="F238" s="1">
        <f>IF(OR(Table4[[#This Row],[INSTALLMENT]]=2,Table4[[#This Row],[INSTALLMENT]]=3),2,0)</f>
        <v>2</v>
      </c>
      <c r="G238" s="1">
        <f>IF(OR(Table4[[#This Row],[INSTALLMENT]]=3),3,0)</f>
        <v>0</v>
      </c>
    </row>
    <row r="239" spans="1:7">
      <c r="A239" s="1">
        <v>242</v>
      </c>
      <c r="B239" s="1" t="s">
        <v>2140</v>
      </c>
      <c r="C239" s="1" t="s">
        <v>467</v>
      </c>
      <c r="D239" s="1">
        <f>COUNTIFS('Raw Entries'!B:B,Table4[[#This Row],[Name]],'Raw Entries'!I:I,Table4[[#This Row],[BOOK No.]])</f>
        <v>0</v>
      </c>
      <c r="E239" s="1">
        <f t="array" ref="E239">IF(OR(Table4[[#This Row],[INSTALLMENT]]=1,Table4[[#This Row],[INSTALLMENT]]=2,Table4[[#This Row],[INSTALLMENT]]=3),1,0)</f>
        <v>0</v>
      </c>
      <c r="F239" s="1">
        <f>IF(OR(Table4[[#This Row],[INSTALLMENT]]=2,Table4[[#This Row],[INSTALLMENT]]=3),2,0)</f>
        <v>0</v>
      </c>
      <c r="G239" s="1">
        <f>IF(OR(Table4[[#This Row],[INSTALLMENT]]=3),3,0)</f>
        <v>0</v>
      </c>
    </row>
    <row r="240" spans="1:7">
      <c r="A240" s="1">
        <v>243</v>
      </c>
      <c r="B240" s="1" t="s">
        <v>472</v>
      </c>
      <c r="C240" s="1" t="s">
        <v>467</v>
      </c>
      <c r="D240" s="1">
        <f>COUNTIFS('Raw Entries'!B:B,Table4[[#This Row],[Name]],'Raw Entries'!I:I,Table4[[#This Row],[BOOK No.]])</f>
        <v>3</v>
      </c>
      <c r="E240" s="1">
        <f t="array" ref="E240">IF(OR(Table4[[#This Row],[INSTALLMENT]]=1,Table4[[#This Row],[INSTALLMENT]]=2,Table4[[#This Row],[INSTALLMENT]]=3),1,0)</f>
        <v>1</v>
      </c>
      <c r="F240" s="1">
        <f>IF(OR(Table4[[#This Row],[INSTALLMENT]]=2,Table4[[#This Row],[INSTALLMENT]]=3),2,0)</f>
        <v>2</v>
      </c>
      <c r="G240" s="1">
        <f>IF(OR(Table4[[#This Row],[INSTALLMENT]]=3),3,0)</f>
        <v>3</v>
      </c>
    </row>
    <row r="241" spans="1:7">
      <c r="A241" s="1">
        <v>244</v>
      </c>
      <c r="B241" s="1" t="s">
        <v>2141</v>
      </c>
      <c r="C241" s="1" t="s">
        <v>467</v>
      </c>
      <c r="D241" s="1">
        <f>COUNTIFS('Raw Entries'!B:B,Table4[[#This Row],[Name]],'Raw Entries'!I:I,Table4[[#This Row],[BOOK No.]])</f>
        <v>0</v>
      </c>
      <c r="E241" s="1">
        <f t="array" ref="E241">IF(OR(Table4[[#This Row],[INSTALLMENT]]=1,Table4[[#This Row],[INSTALLMENT]]=2,Table4[[#This Row],[INSTALLMENT]]=3),1,0)</f>
        <v>0</v>
      </c>
      <c r="F241" s="1">
        <f>IF(OR(Table4[[#This Row],[INSTALLMENT]]=2,Table4[[#This Row],[INSTALLMENT]]=3),2,0)</f>
        <v>0</v>
      </c>
      <c r="G241" s="1">
        <f>IF(OR(Table4[[#This Row],[INSTALLMENT]]=3),3,0)</f>
        <v>0</v>
      </c>
    </row>
    <row r="242" spans="1:7">
      <c r="A242" s="1">
        <v>245</v>
      </c>
      <c r="B242" s="1" t="s">
        <v>471</v>
      </c>
      <c r="C242" s="1" t="s">
        <v>467</v>
      </c>
      <c r="D242" s="1">
        <f>COUNTIFS('Raw Entries'!B:B,Table4[[#This Row],[Name]],'Raw Entries'!I:I,Table4[[#This Row],[BOOK No.]])</f>
        <v>2</v>
      </c>
      <c r="E242" s="1">
        <f t="array" ref="E242">IF(OR(Table4[[#This Row],[INSTALLMENT]]=1,Table4[[#This Row],[INSTALLMENT]]=2,Table4[[#This Row],[INSTALLMENT]]=3),1,0)</f>
        <v>1</v>
      </c>
      <c r="F242" s="1">
        <f>IF(OR(Table4[[#This Row],[INSTALLMENT]]=2,Table4[[#This Row],[INSTALLMENT]]=3),2,0)</f>
        <v>2</v>
      </c>
      <c r="G242" s="1">
        <f>IF(OR(Table4[[#This Row],[INSTALLMENT]]=3),3,0)</f>
        <v>0</v>
      </c>
    </row>
    <row r="243" spans="1:7">
      <c r="A243" s="1">
        <v>246</v>
      </c>
      <c r="B243" s="1" t="s">
        <v>469</v>
      </c>
      <c r="C243" s="1" t="s">
        <v>467</v>
      </c>
      <c r="D243" s="1">
        <f>COUNTIFS('Raw Entries'!B:B,Table4[[#This Row],[Name]],'Raw Entries'!I:I,Table4[[#This Row],[BOOK No.]])</f>
        <v>1</v>
      </c>
      <c r="E243" s="1">
        <f t="array" ref="E243">IF(OR(Table4[[#This Row],[INSTALLMENT]]=1,Table4[[#This Row],[INSTALLMENT]]=2,Table4[[#This Row],[INSTALLMENT]]=3),1,0)</f>
        <v>1</v>
      </c>
      <c r="F243" s="1">
        <f>IF(OR(Table4[[#This Row],[INSTALLMENT]]=2,Table4[[#This Row],[INSTALLMENT]]=3),2,0)</f>
        <v>0</v>
      </c>
      <c r="G243" s="1">
        <f>IF(OR(Table4[[#This Row],[INSTALLMENT]]=3),3,0)</f>
        <v>0</v>
      </c>
    </row>
    <row r="244" spans="1:7">
      <c r="A244" s="1">
        <v>247</v>
      </c>
      <c r="B244" s="1" t="s">
        <v>2142</v>
      </c>
      <c r="C244" s="1" t="s">
        <v>467</v>
      </c>
      <c r="D244" s="1">
        <f>COUNTIFS('Raw Entries'!B:B,Table4[[#This Row],[Name]],'Raw Entries'!I:I,Table4[[#This Row],[BOOK No.]])</f>
        <v>0</v>
      </c>
      <c r="E244" s="1">
        <f t="array" ref="E244">IF(OR(Table4[[#This Row],[INSTALLMENT]]=1,Table4[[#This Row],[INSTALLMENT]]=2,Table4[[#This Row],[INSTALLMENT]]=3),1,0)</f>
        <v>0</v>
      </c>
      <c r="F244" s="1">
        <f>IF(OR(Table4[[#This Row],[INSTALLMENT]]=2,Table4[[#This Row],[INSTALLMENT]]=3),2,0)</f>
        <v>0</v>
      </c>
      <c r="G244" s="1">
        <f>IF(OR(Table4[[#This Row],[INSTALLMENT]]=3),3,0)</f>
        <v>0</v>
      </c>
    </row>
    <row r="245" spans="1:7">
      <c r="A245" s="1">
        <v>248</v>
      </c>
      <c r="B245" s="1" t="s">
        <v>479</v>
      </c>
      <c r="C245" s="1" t="s">
        <v>467</v>
      </c>
      <c r="D245" s="1">
        <f>COUNTIFS('Raw Entries'!B:B,Table4[[#This Row],[Name]],'Raw Entries'!I:I,Table4[[#This Row],[BOOK No.]])</f>
        <v>1</v>
      </c>
      <c r="E245" s="1">
        <f t="array" ref="E245">IF(OR(Table4[[#This Row],[INSTALLMENT]]=1,Table4[[#This Row],[INSTALLMENT]]=2,Table4[[#This Row],[INSTALLMENT]]=3),1,0)</f>
        <v>1</v>
      </c>
      <c r="F245" s="1">
        <f>IF(OR(Table4[[#This Row],[INSTALLMENT]]=2,Table4[[#This Row],[INSTALLMENT]]=3),2,0)</f>
        <v>0</v>
      </c>
      <c r="G245" s="1">
        <f>IF(OR(Table4[[#This Row],[INSTALLMENT]]=3),3,0)</f>
        <v>0</v>
      </c>
    </row>
    <row r="246" spans="1:7">
      <c r="A246" s="1">
        <v>249</v>
      </c>
      <c r="B246" s="1" t="s">
        <v>477</v>
      </c>
      <c r="C246" s="1" t="s">
        <v>467</v>
      </c>
      <c r="D246" s="1">
        <f>COUNTIFS('Raw Entries'!B:B,Table4[[#This Row],[Name]],'Raw Entries'!I:I,Table4[[#This Row],[BOOK No.]])</f>
        <v>3</v>
      </c>
      <c r="E246" s="1">
        <f t="array" ref="E246">IF(OR(Table4[[#This Row],[INSTALLMENT]]=1,Table4[[#This Row],[INSTALLMENT]]=2,Table4[[#This Row],[INSTALLMENT]]=3),1,0)</f>
        <v>1</v>
      </c>
      <c r="F246" s="1">
        <f>IF(OR(Table4[[#This Row],[INSTALLMENT]]=2,Table4[[#This Row],[INSTALLMENT]]=3),2,0)</f>
        <v>2</v>
      </c>
      <c r="G246" s="1">
        <f>IF(OR(Table4[[#This Row],[INSTALLMENT]]=3),3,0)</f>
        <v>3</v>
      </c>
    </row>
    <row r="247" spans="1:7">
      <c r="A247" s="1">
        <v>250</v>
      </c>
      <c r="B247" s="1" t="s">
        <v>2143</v>
      </c>
      <c r="C247" s="1" t="s">
        <v>467</v>
      </c>
      <c r="D247" s="1">
        <f>COUNTIFS('Raw Entries'!B:B,Table4[[#This Row],[Name]],'Raw Entries'!I:I,Table4[[#This Row],[BOOK No.]])</f>
        <v>0</v>
      </c>
      <c r="E247" s="1">
        <f t="array" ref="E247">IF(OR(Table4[[#This Row],[INSTALLMENT]]=1,Table4[[#This Row],[INSTALLMENT]]=2,Table4[[#This Row],[INSTALLMENT]]=3),1,0)</f>
        <v>0</v>
      </c>
      <c r="F247" s="1">
        <f>IF(OR(Table4[[#This Row],[INSTALLMENT]]=2,Table4[[#This Row],[INSTALLMENT]]=3),2,0)</f>
        <v>0</v>
      </c>
      <c r="G247" s="1">
        <f>IF(OR(Table4[[#This Row],[INSTALLMENT]]=3),3,0)</f>
        <v>0</v>
      </c>
    </row>
    <row r="248" spans="1:7">
      <c r="A248" s="1">
        <v>251</v>
      </c>
      <c r="B248" s="1" t="s">
        <v>2144</v>
      </c>
      <c r="C248" s="1" t="s">
        <v>467</v>
      </c>
      <c r="D248" s="1">
        <f>COUNTIFS('Raw Entries'!B:B,Table4[[#This Row],[Name]],'Raw Entries'!I:I,Table4[[#This Row],[BOOK No.]])</f>
        <v>0</v>
      </c>
      <c r="E248" s="1">
        <f t="array" ref="E248">IF(OR(Table4[[#This Row],[INSTALLMENT]]=1,Table4[[#This Row],[INSTALLMENT]]=2,Table4[[#This Row],[INSTALLMENT]]=3),1,0)</f>
        <v>0</v>
      </c>
      <c r="F248" s="1">
        <f>IF(OR(Table4[[#This Row],[INSTALLMENT]]=2,Table4[[#This Row],[INSTALLMENT]]=3),2,0)</f>
        <v>0</v>
      </c>
      <c r="G248" s="1">
        <f>IF(OR(Table4[[#This Row],[INSTALLMENT]]=3),3,0)</f>
        <v>0</v>
      </c>
    </row>
    <row r="249" spans="1:7">
      <c r="A249" s="1">
        <v>252</v>
      </c>
      <c r="B249" s="1" t="s">
        <v>2145</v>
      </c>
      <c r="C249" s="1" t="s">
        <v>467</v>
      </c>
      <c r="D249" s="1">
        <f>COUNTIFS('Raw Entries'!B:B,Table4[[#This Row],[Name]],'Raw Entries'!I:I,Table4[[#This Row],[BOOK No.]])</f>
        <v>0</v>
      </c>
      <c r="E249" s="1">
        <f t="array" ref="E249">IF(OR(Table4[[#This Row],[INSTALLMENT]]=1,Table4[[#This Row],[INSTALLMENT]]=2,Table4[[#This Row],[INSTALLMENT]]=3),1,0)</f>
        <v>0</v>
      </c>
      <c r="F249" s="1">
        <f>IF(OR(Table4[[#This Row],[INSTALLMENT]]=2,Table4[[#This Row],[INSTALLMENT]]=3),2,0)</f>
        <v>0</v>
      </c>
      <c r="G249" s="1">
        <f>IF(OR(Table4[[#This Row],[INSTALLMENT]]=3),3,0)</f>
        <v>0</v>
      </c>
    </row>
    <row r="250" spans="1:7">
      <c r="A250" s="1">
        <v>253</v>
      </c>
      <c r="B250" s="1" t="s">
        <v>2146</v>
      </c>
      <c r="C250" s="1" t="s">
        <v>467</v>
      </c>
      <c r="D250" s="1">
        <f>COUNTIFS('Raw Entries'!B:B,Table4[[#This Row],[Name]],'Raw Entries'!I:I,Table4[[#This Row],[BOOK No.]])</f>
        <v>0</v>
      </c>
      <c r="E250" s="1">
        <f t="array" ref="E250">IF(OR(Table4[[#This Row],[INSTALLMENT]]=1,Table4[[#This Row],[INSTALLMENT]]=2,Table4[[#This Row],[INSTALLMENT]]=3),1,0)</f>
        <v>0</v>
      </c>
      <c r="F250" s="1">
        <f>IF(OR(Table4[[#This Row],[INSTALLMENT]]=2,Table4[[#This Row],[INSTALLMENT]]=3),2,0)</f>
        <v>0</v>
      </c>
      <c r="G250" s="1">
        <f>IF(OR(Table4[[#This Row],[INSTALLMENT]]=3),3,0)</f>
        <v>0</v>
      </c>
    </row>
    <row r="251" spans="1:7">
      <c r="A251" s="1">
        <v>254</v>
      </c>
      <c r="B251" s="1" t="s">
        <v>476</v>
      </c>
      <c r="C251" s="1" t="s">
        <v>467</v>
      </c>
      <c r="D251" s="1">
        <f>COUNTIFS('Raw Entries'!B:B,Table4[[#This Row],[Name]],'Raw Entries'!I:I,Table4[[#This Row],[BOOK No.]])</f>
        <v>1</v>
      </c>
      <c r="E251" s="1">
        <f t="array" ref="E251">IF(OR(Table4[[#This Row],[INSTALLMENT]]=1,Table4[[#This Row],[INSTALLMENT]]=2,Table4[[#This Row],[INSTALLMENT]]=3),1,0)</f>
        <v>1</v>
      </c>
      <c r="F251" s="1">
        <f>IF(OR(Table4[[#This Row],[INSTALLMENT]]=2,Table4[[#This Row],[INSTALLMENT]]=3),2,0)</f>
        <v>0</v>
      </c>
      <c r="G251" s="1">
        <f>IF(OR(Table4[[#This Row],[INSTALLMENT]]=3),3,0)</f>
        <v>0</v>
      </c>
    </row>
    <row r="252" spans="1:7">
      <c r="A252" s="1">
        <v>255</v>
      </c>
      <c r="B252" s="1" t="s">
        <v>473</v>
      </c>
      <c r="C252" s="1" t="s">
        <v>467</v>
      </c>
      <c r="D252" s="1">
        <f>COUNTIFS('Raw Entries'!B:B,Table4[[#This Row],[Name]],'Raw Entries'!I:I,Table4[[#This Row],[BOOK No.]])</f>
        <v>3</v>
      </c>
      <c r="E252" s="1">
        <f t="array" ref="E252">IF(OR(Table4[[#This Row],[INSTALLMENT]]=1,Table4[[#This Row],[INSTALLMENT]]=2,Table4[[#This Row],[INSTALLMENT]]=3),1,0)</f>
        <v>1</v>
      </c>
      <c r="F252" s="1">
        <f>IF(OR(Table4[[#This Row],[INSTALLMENT]]=2,Table4[[#This Row],[INSTALLMENT]]=3),2,0)</f>
        <v>2</v>
      </c>
      <c r="G252" s="1">
        <f>IF(OR(Table4[[#This Row],[INSTALLMENT]]=3),3,0)</f>
        <v>3</v>
      </c>
    </row>
    <row r="253" spans="1:7">
      <c r="A253" s="1">
        <v>256</v>
      </c>
      <c r="B253" s="1" t="s">
        <v>2147</v>
      </c>
      <c r="C253" s="1" t="s">
        <v>467</v>
      </c>
      <c r="D253" s="1">
        <f>COUNTIFS('Raw Entries'!B:B,Table4[[#This Row],[Name]],'Raw Entries'!I:I,Table4[[#This Row],[BOOK No.]])</f>
        <v>0</v>
      </c>
      <c r="E253" s="1">
        <f t="array" ref="E253">IF(OR(Table4[[#This Row],[INSTALLMENT]]=1,Table4[[#This Row],[INSTALLMENT]]=2,Table4[[#This Row],[INSTALLMENT]]=3),1,0)</f>
        <v>0</v>
      </c>
      <c r="F253" s="1">
        <f>IF(OR(Table4[[#This Row],[INSTALLMENT]]=2,Table4[[#This Row],[INSTALLMENT]]=3),2,0)</f>
        <v>0</v>
      </c>
      <c r="G253" s="1">
        <f>IF(OR(Table4[[#This Row],[INSTALLMENT]]=3),3,0)</f>
        <v>0</v>
      </c>
    </row>
    <row r="254" spans="1:7">
      <c r="A254" s="1">
        <v>257</v>
      </c>
      <c r="B254" s="1" t="s">
        <v>673</v>
      </c>
      <c r="C254" s="1" t="s">
        <v>467</v>
      </c>
      <c r="D254" s="1">
        <f>COUNTIFS('Raw Entries'!B:B,Table4[[#This Row],[Name]],'Raw Entries'!I:I,Table4[[#This Row],[BOOK No.]])</f>
        <v>1</v>
      </c>
      <c r="E254" s="1">
        <f t="array" ref="E254">IF(OR(Table4[[#This Row],[INSTALLMENT]]=1,Table4[[#This Row],[INSTALLMENT]]=2,Table4[[#This Row],[INSTALLMENT]]=3),1,0)</f>
        <v>1</v>
      </c>
      <c r="F254" s="1">
        <f>IF(OR(Table4[[#This Row],[INSTALLMENT]]=2,Table4[[#This Row],[INSTALLMENT]]=3),2,0)</f>
        <v>0</v>
      </c>
      <c r="G254" s="1">
        <f>IF(OR(Table4[[#This Row],[INSTALLMENT]]=3),3,0)</f>
        <v>0</v>
      </c>
    </row>
    <row r="255" spans="1:7">
      <c r="A255" s="1">
        <v>258</v>
      </c>
      <c r="B255" s="1" t="s">
        <v>2148</v>
      </c>
      <c r="C255" s="1" t="s">
        <v>467</v>
      </c>
      <c r="D255" s="1">
        <f>COUNTIFS('Raw Entries'!B:B,Table4[[#This Row],[Name]],'Raw Entries'!I:I,Table4[[#This Row],[BOOK No.]])</f>
        <v>1</v>
      </c>
      <c r="E255" s="1">
        <f t="array" ref="E255">IF(OR(Table4[[#This Row],[INSTALLMENT]]=1,Table4[[#This Row],[INSTALLMENT]]=2,Table4[[#This Row],[INSTALLMENT]]=3),1,0)</f>
        <v>1</v>
      </c>
      <c r="F255" s="1">
        <f>IF(OR(Table4[[#This Row],[INSTALLMENT]]=2,Table4[[#This Row],[INSTALLMENT]]=3),2,0)</f>
        <v>0</v>
      </c>
      <c r="G255" s="1">
        <f>IF(OR(Table4[[#This Row],[INSTALLMENT]]=3),3,0)</f>
        <v>0</v>
      </c>
    </row>
    <row r="256" spans="1:7">
      <c r="A256" s="1">
        <v>259</v>
      </c>
      <c r="B256" s="1" t="s">
        <v>2149</v>
      </c>
      <c r="C256" s="1" t="s">
        <v>467</v>
      </c>
      <c r="D256" s="1">
        <f>COUNTIFS('Raw Entries'!B:B,Table4[[#This Row],[Name]],'Raw Entries'!I:I,Table4[[#This Row],[BOOK No.]])</f>
        <v>0</v>
      </c>
      <c r="E256" s="1">
        <f t="array" ref="E256">IF(OR(Table4[[#This Row],[INSTALLMENT]]=1,Table4[[#This Row],[INSTALLMENT]]=2,Table4[[#This Row],[INSTALLMENT]]=3),1,0)</f>
        <v>0</v>
      </c>
      <c r="F256" s="1">
        <f>IF(OR(Table4[[#This Row],[INSTALLMENT]]=2,Table4[[#This Row],[INSTALLMENT]]=3),2,0)</f>
        <v>0</v>
      </c>
      <c r="G256" s="1">
        <f>IF(OR(Table4[[#This Row],[INSTALLMENT]]=3),3,0)</f>
        <v>0</v>
      </c>
    </row>
    <row r="257" spans="1:7">
      <c r="A257" s="1">
        <v>260</v>
      </c>
      <c r="B257" s="1" t="s">
        <v>637</v>
      </c>
      <c r="C257" s="1" t="s">
        <v>467</v>
      </c>
      <c r="D257" s="1">
        <f>COUNTIFS('Raw Entries'!B:B,Table4[[#This Row],[Name]],'Raw Entries'!I:I,Table4[[#This Row],[BOOK No.]])</f>
        <v>1</v>
      </c>
      <c r="E257" s="1">
        <f t="array" ref="E257">IF(OR(Table4[[#This Row],[INSTALLMENT]]=1,Table4[[#This Row],[INSTALLMENT]]=2,Table4[[#This Row],[INSTALLMENT]]=3),1,0)</f>
        <v>1</v>
      </c>
      <c r="F257" s="1">
        <f>IF(OR(Table4[[#This Row],[INSTALLMENT]]=2,Table4[[#This Row],[INSTALLMENT]]=3),2,0)</f>
        <v>0</v>
      </c>
      <c r="G257" s="1">
        <f>IF(OR(Table4[[#This Row],[INSTALLMENT]]=3),3,0)</f>
        <v>0</v>
      </c>
    </row>
    <row r="258" spans="1:7">
      <c r="A258" s="1">
        <v>261</v>
      </c>
      <c r="B258" s="1" t="s">
        <v>2150</v>
      </c>
      <c r="C258" s="1" t="s">
        <v>467</v>
      </c>
      <c r="D258" s="1">
        <f>COUNTIFS('Raw Entries'!B:B,Table4[[#This Row],[Name]],'Raw Entries'!I:I,Table4[[#This Row],[BOOK No.]])</f>
        <v>0</v>
      </c>
      <c r="E258" s="1">
        <f t="array" ref="E258">IF(OR(Table4[[#This Row],[INSTALLMENT]]=1,Table4[[#This Row],[INSTALLMENT]]=2,Table4[[#This Row],[INSTALLMENT]]=3),1,0)</f>
        <v>0</v>
      </c>
      <c r="F258" s="1">
        <f>IF(OR(Table4[[#This Row],[INSTALLMENT]]=2,Table4[[#This Row],[INSTALLMENT]]=3),2,0)</f>
        <v>0</v>
      </c>
      <c r="G258" s="1">
        <f>IF(OR(Table4[[#This Row],[INSTALLMENT]]=3),3,0)</f>
        <v>0</v>
      </c>
    </row>
    <row r="259" spans="1:7">
      <c r="A259" s="1">
        <v>262</v>
      </c>
      <c r="B259" s="1" t="s">
        <v>2151</v>
      </c>
      <c r="C259" s="1" t="s">
        <v>467</v>
      </c>
      <c r="D259" s="1">
        <f>COUNTIFS('Raw Entries'!B:B,Table4[[#This Row],[Name]],'Raw Entries'!I:I,Table4[[#This Row],[BOOK No.]])</f>
        <v>0</v>
      </c>
      <c r="E259" s="1">
        <f t="array" ref="E259">IF(OR(Table4[[#This Row],[INSTALLMENT]]=1,Table4[[#This Row],[INSTALLMENT]]=2,Table4[[#This Row],[INSTALLMENT]]=3),1,0)</f>
        <v>0</v>
      </c>
      <c r="F259" s="1">
        <f>IF(OR(Table4[[#This Row],[INSTALLMENT]]=2,Table4[[#This Row],[INSTALLMENT]]=3),2,0)</f>
        <v>0</v>
      </c>
      <c r="G259" s="1">
        <f>IF(OR(Table4[[#This Row],[INSTALLMENT]]=3),3,0)</f>
        <v>0</v>
      </c>
    </row>
    <row r="260" spans="1:7">
      <c r="A260" s="1">
        <v>263</v>
      </c>
      <c r="B260" s="1" t="s">
        <v>470</v>
      </c>
      <c r="C260" s="1" t="s">
        <v>467</v>
      </c>
      <c r="D260" s="1">
        <f>COUNTIFS('Raw Entries'!B:B,Table4[[#This Row],[Name]],'Raw Entries'!I:I,Table4[[#This Row],[BOOK No.]])</f>
        <v>1</v>
      </c>
      <c r="E260" s="1">
        <f t="array" ref="E260">IF(OR(Table4[[#This Row],[INSTALLMENT]]=1,Table4[[#This Row],[INSTALLMENT]]=2,Table4[[#This Row],[INSTALLMENT]]=3),1,0)</f>
        <v>1</v>
      </c>
      <c r="F260" s="1">
        <f>IF(OR(Table4[[#This Row],[INSTALLMENT]]=2,Table4[[#This Row],[INSTALLMENT]]=3),2,0)</f>
        <v>0</v>
      </c>
      <c r="G260" s="1">
        <f>IF(OR(Table4[[#This Row],[INSTALLMENT]]=3),3,0)</f>
        <v>0</v>
      </c>
    </row>
    <row r="261" spans="1:7">
      <c r="A261" s="1">
        <v>264</v>
      </c>
      <c r="B261" s="1" t="s">
        <v>2152</v>
      </c>
      <c r="C261" s="1" t="s">
        <v>467</v>
      </c>
      <c r="D261" s="1">
        <f>COUNTIFS('Raw Entries'!B:B,Table4[[#This Row],[Name]],'Raw Entries'!I:I,Table4[[#This Row],[BOOK No.]])</f>
        <v>0</v>
      </c>
      <c r="E261" s="1">
        <f t="array" ref="E261">IF(OR(Table4[[#This Row],[INSTALLMENT]]=1,Table4[[#This Row],[INSTALLMENT]]=2,Table4[[#This Row],[INSTALLMENT]]=3),1,0)</f>
        <v>0</v>
      </c>
      <c r="F261" s="1">
        <f>IF(OR(Table4[[#This Row],[INSTALLMENT]]=2,Table4[[#This Row],[INSTALLMENT]]=3),2,0)</f>
        <v>0</v>
      </c>
      <c r="G261" s="1">
        <f>IF(OR(Table4[[#This Row],[INSTALLMENT]]=3),3,0)</f>
        <v>0</v>
      </c>
    </row>
    <row r="262" spans="1:7">
      <c r="A262" s="1">
        <v>265</v>
      </c>
      <c r="B262" s="1" t="s">
        <v>468</v>
      </c>
      <c r="C262" s="1" t="s">
        <v>467</v>
      </c>
      <c r="D262" s="1">
        <f>COUNTIFS('Raw Entries'!B:B,Table4[[#This Row],[Name]],'Raw Entries'!I:I,Table4[[#This Row],[BOOK No.]])</f>
        <v>3</v>
      </c>
      <c r="E262" s="1">
        <f t="array" ref="E262">IF(OR(Table4[[#This Row],[INSTALLMENT]]=1,Table4[[#This Row],[INSTALLMENT]]=2,Table4[[#This Row],[INSTALLMENT]]=3),1,0)</f>
        <v>1</v>
      </c>
      <c r="F262" s="1">
        <f>IF(OR(Table4[[#This Row],[INSTALLMENT]]=2,Table4[[#This Row],[INSTALLMENT]]=3),2,0)</f>
        <v>2</v>
      </c>
      <c r="G262" s="1">
        <f>IF(OR(Table4[[#This Row],[INSTALLMENT]]=3),3,0)</f>
        <v>3</v>
      </c>
    </row>
    <row r="263" spans="1:7">
      <c r="A263" s="1">
        <v>266</v>
      </c>
      <c r="B263" s="1" t="s">
        <v>2153</v>
      </c>
      <c r="C263" s="1" t="s">
        <v>467</v>
      </c>
      <c r="D263" s="1">
        <f>COUNTIFS('Raw Entries'!B:B,Table4[[#This Row],[Name]],'Raw Entries'!I:I,Table4[[#This Row],[BOOK No.]])</f>
        <v>0</v>
      </c>
      <c r="E263" s="1">
        <f t="array" ref="E263">IF(OR(Table4[[#This Row],[INSTALLMENT]]=1,Table4[[#This Row],[INSTALLMENT]]=2,Table4[[#This Row],[INSTALLMENT]]=3),1,0)</f>
        <v>0</v>
      </c>
      <c r="F263" s="1">
        <f>IF(OR(Table4[[#This Row],[INSTALLMENT]]=2,Table4[[#This Row],[INSTALLMENT]]=3),2,0)</f>
        <v>0</v>
      </c>
      <c r="G263" s="1">
        <f>IF(OR(Table4[[#This Row],[INSTALLMENT]]=3),3,0)</f>
        <v>0</v>
      </c>
    </row>
    <row r="264" spans="1:7">
      <c r="A264" s="1">
        <v>267</v>
      </c>
      <c r="B264" s="1" t="s">
        <v>2154</v>
      </c>
      <c r="C264" s="1" t="s">
        <v>480</v>
      </c>
      <c r="D264" s="1">
        <f>COUNTIFS('Raw Entries'!B:B,Table4[[#This Row],[Name]],'Raw Entries'!I:I,Table4[[#This Row],[BOOK No.]])</f>
        <v>0</v>
      </c>
      <c r="E264" s="1">
        <f t="array" ref="E264">IF(OR(Table4[[#This Row],[INSTALLMENT]]=1,Table4[[#This Row],[INSTALLMENT]]=2,Table4[[#This Row],[INSTALLMENT]]=3),1,0)</f>
        <v>0</v>
      </c>
      <c r="F264" s="1">
        <f>IF(OR(Table4[[#This Row],[INSTALLMENT]]=2,Table4[[#This Row],[INSTALLMENT]]=3),2,0)</f>
        <v>0</v>
      </c>
      <c r="G264" s="1">
        <f>IF(OR(Table4[[#This Row],[INSTALLMENT]]=3),3,0)</f>
        <v>0</v>
      </c>
    </row>
    <row r="265" spans="1:7">
      <c r="A265" s="1">
        <v>268</v>
      </c>
      <c r="B265" s="1" t="s">
        <v>2155</v>
      </c>
      <c r="C265" s="1" t="s">
        <v>480</v>
      </c>
      <c r="D265" s="1">
        <f>COUNTIFS('Raw Entries'!B:B,Table4[[#This Row],[Name]],'Raw Entries'!I:I,Table4[[#This Row],[BOOK No.]])</f>
        <v>0</v>
      </c>
      <c r="E265" s="1">
        <f t="array" ref="E265">IF(OR(Table4[[#This Row],[INSTALLMENT]]=1,Table4[[#This Row],[INSTALLMENT]]=2,Table4[[#This Row],[INSTALLMENT]]=3),1,0)</f>
        <v>0</v>
      </c>
      <c r="F265" s="1">
        <f>IF(OR(Table4[[#This Row],[INSTALLMENT]]=2,Table4[[#This Row],[INSTALLMENT]]=3),2,0)</f>
        <v>0</v>
      </c>
      <c r="G265" s="1">
        <f>IF(OR(Table4[[#This Row],[INSTALLMENT]]=3),3,0)</f>
        <v>0</v>
      </c>
    </row>
    <row r="266" spans="1:7">
      <c r="A266" s="1">
        <v>269</v>
      </c>
      <c r="B266" s="1" t="s">
        <v>482</v>
      </c>
      <c r="C266" s="1" t="s">
        <v>480</v>
      </c>
      <c r="D266" s="1">
        <f>COUNTIFS('Raw Entries'!B:B,Table4[[#This Row],[Name]],'Raw Entries'!I:I,Table4[[#This Row],[BOOK No.]])</f>
        <v>3</v>
      </c>
      <c r="E266" s="1">
        <f t="array" ref="E266">IF(OR(Table4[[#This Row],[INSTALLMENT]]=1,Table4[[#This Row],[INSTALLMENT]]=2,Table4[[#This Row],[INSTALLMENT]]=3),1,0)</f>
        <v>1</v>
      </c>
      <c r="F266" s="1">
        <f>IF(OR(Table4[[#This Row],[INSTALLMENT]]=2,Table4[[#This Row],[INSTALLMENT]]=3),2,0)</f>
        <v>2</v>
      </c>
      <c r="G266" s="1">
        <f>IF(OR(Table4[[#This Row],[INSTALLMENT]]=3),3,0)</f>
        <v>3</v>
      </c>
    </row>
    <row r="267" spans="1:7">
      <c r="A267" s="1">
        <v>270</v>
      </c>
      <c r="B267" s="1" t="s">
        <v>2156</v>
      </c>
      <c r="C267" s="1" t="s">
        <v>480</v>
      </c>
      <c r="D267" s="1">
        <f>COUNTIFS('Raw Entries'!B:B,Table4[[#This Row],[Name]],'Raw Entries'!I:I,Table4[[#This Row],[BOOK No.]])</f>
        <v>0</v>
      </c>
      <c r="E267" s="1">
        <f t="array" ref="E267">IF(OR(Table4[[#This Row],[INSTALLMENT]]=1,Table4[[#This Row],[INSTALLMENT]]=2,Table4[[#This Row],[INSTALLMENT]]=3),1,0)</f>
        <v>0</v>
      </c>
      <c r="F267" s="1">
        <f>IF(OR(Table4[[#This Row],[INSTALLMENT]]=2,Table4[[#This Row],[INSTALLMENT]]=3),2,0)</f>
        <v>0</v>
      </c>
      <c r="G267" s="1">
        <f>IF(OR(Table4[[#This Row],[INSTALLMENT]]=3),3,0)</f>
        <v>0</v>
      </c>
    </row>
    <row r="268" spans="1:7">
      <c r="A268" s="1">
        <v>271</v>
      </c>
      <c r="B268" s="1" t="s">
        <v>2157</v>
      </c>
      <c r="C268" s="1" t="s">
        <v>480</v>
      </c>
      <c r="D268" s="1">
        <f>COUNTIFS('Raw Entries'!B:B,Table4[[#This Row],[Name]],'Raw Entries'!I:I,Table4[[#This Row],[BOOK No.]])</f>
        <v>0</v>
      </c>
      <c r="E268" s="1">
        <f t="array" ref="E268">IF(OR(Table4[[#This Row],[INSTALLMENT]]=1,Table4[[#This Row],[INSTALLMENT]]=2,Table4[[#This Row],[INSTALLMENT]]=3),1,0)</f>
        <v>0</v>
      </c>
      <c r="F268" s="1">
        <f>IF(OR(Table4[[#This Row],[INSTALLMENT]]=2,Table4[[#This Row],[INSTALLMENT]]=3),2,0)</f>
        <v>0</v>
      </c>
      <c r="G268" s="1">
        <f>IF(OR(Table4[[#This Row],[INSTALLMENT]]=3),3,0)</f>
        <v>0</v>
      </c>
    </row>
    <row r="269" spans="1:7">
      <c r="A269" s="1">
        <v>272</v>
      </c>
      <c r="B269" s="1" t="s">
        <v>486</v>
      </c>
      <c r="C269" s="1" t="s">
        <v>480</v>
      </c>
      <c r="D269" s="1">
        <f>COUNTIFS('Raw Entries'!B:B,Table4[[#This Row],[Name]],'Raw Entries'!I:I,Table4[[#This Row],[BOOK No.]])</f>
        <v>2</v>
      </c>
      <c r="E269" s="1">
        <f t="array" ref="E269">IF(OR(Table4[[#This Row],[INSTALLMENT]]=1,Table4[[#This Row],[INSTALLMENT]]=2,Table4[[#This Row],[INSTALLMENT]]=3),1,0)</f>
        <v>1</v>
      </c>
      <c r="F269" s="1">
        <f>IF(OR(Table4[[#This Row],[INSTALLMENT]]=2,Table4[[#This Row],[INSTALLMENT]]=3),2,0)</f>
        <v>2</v>
      </c>
      <c r="G269" s="1">
        <f>IF(OR(Table4[[#This Row],[INSTALLMENT]]=3),3,0)</f>
        <v>0</v>
      </c>
    </row>
    <row r="270" spans="1:7">
      <c r="A270" s="1">
        <v>273</v>
      </c>
      <c r="B270" s="1" t="s">
        <v>2158</v>
      </c>
      <c r="C270" s="1" t="s">
        <v>480</v>
      </c>
      <c r="D270" s="1">
        <f>COUNTIFS('Raw Entries'!B:B,Table4[[#This Row],[Name]],'Raw Entries'!I:I,Table4[[#This Row],[BOOK No.]])</f>
        <v>0</v>
      </c>
      <c r="E270" s="1">
        <f t="array" ref="E270">IF(OR(Table4[[#This Row],[INSTALLMENT]]=1,Table4[[#This Row],[INSTALLMENT]]=2,Table4[[#This Row],[INSTALLMENT]]=3),1,0)</f>
        <v>0</v>
      </c>
      <c r="F270" s="1">
        <f>IF(OR(Table4[[#This Row],[INSTALLMENT]]=2,Table4[[#This Row],[INSTALLMENT]]=3),2,0)</f>
        <v>0</v>
      </c>
      <c r="G270" s="1">
        <f>IF(OR(Table4[[#This Row],[INSTALLMENT]]=3),3,0)</f>
        <v>0</v>
      </c>
    </row>
    <row r="271" spans="1:7">
      <c r="A271" s="1">
        <v>274</v>
      </c>
      <c r="B271" s="1" t="s">
        <v>2159</v>
      </c>
      <c r="C271" s="1" t="s">
        <v>480</v>
      </c>
      <c r="D271" s="1">
        <f>COUNTIFS('Raw Entries'!B:B,Table4[[#This Row],[Name]],'Raw Entries'!I:I,Table4[[#This Row],[BOOK No.]])</f>
        <v>0</v>
      </c>
      <c r="E271" s="1">
        <f t="array" ref="E271">IF(OR(Table4[[#This Row],[INSTALLMENT]]=1,Table4[[#This Row],[INSTALLMENT]]=2,Table4[[#This Row],[INSTALLMENT]]=3),1,0)</f>
        <v>0</v>
      </c>
      <c r="F271" s="1">
        <f>IF(OR(Table4[[#This Row],[INSTALLMENT]]=2,Table4[[#This Row],[INSTALLMENT]]=3),2,0)</f>
        <v>0</v>
      </c>
      <c r="G271" s="1">
        <f>IF(OR(Table4[[#This Row],[INSTALLMENT]]=3),3,0)</f>
        <v>0</v>
      </c>
    </row>
    <row r="272" spans="1:7">
      <c r="A272" s="1">
        <v>275</v>
      </c>
      <c r="B272" s="1" t="s">
        <v>670</v>
      </c>
      <c r="C272" s="1" t="s">
        <v>480</v>
      </c>
      <c r="D272" s="1">
        <f>COUNTIFS('Raw Entries'!B:B,Table4[[#This Row],[Name]],'Raw Entries'!I:I,Table4[[#This Row],[BOOK No.]])</f>
        <v>3</v>
      </c>
      <c r="E272" s="1">
        <f t="array" ref="E272">IF(OR(Table4[[#This Row],[INSTALLMENT]]=1,Table4[[#This Row],[INSTALLMENT]]=2,Table4[[#This Row],[INSTALLMENT]]=3),1,0)</f>
        <v>1</v>
      </c>
      <c r="F272" s="1">
        <f>IF(OR(Table4[[#This Row],[INSTALLMENT]]=2,Table4[[#This Row],[INSTALLMENT]]=3),2,0)</f>
        <v>2</v>
      </c>
      <c r="G272" s="1">
        <f>IF(OR(Table4[[#This Row],[INSTALLMENT]]=3),3,0)</f>
        <v>3</v>
      </c>
    </row>
    <row r="273" spans="1:7">
      <c r="A273" s="1">
        <v>276</v>
      </c>
      <c r="B273" s="1" t="s">
        <v>484</v>
      </c>
      <c r="C273" s="1" t="s">
        <v>480</v>
      </c>
      <c r="D273" s="1">
        <f>COUNTIFS('Raw Entries'!B:B,Table4[[#This Row],[Name]],'Raw Entries'!I:I,Table4[[#This Row],[BOOK No.]])</f>
        <v>1</v>
      </c>
      <c r="E273" s="1">
        <f t="array" ref="E273">IF(OR(Table4[[#This Row],[INSTALLMENT]]=1,Table4[[#This Row],[INSTALLMENT]]=2,Table4[[#This Row],[INSTALLMENT]]=3),1,0)</f>
        <v>1</v>
      </c>
      <c r="F273" s="1">
        <f>IF(OR(Table4[[#This Row],[INSTALLMENT]]=2,Table4[[#This Row],[INSTALLMENT]]=3),2,0)</f>
        <v>0</v>
      </c>
      <c r="G273" s="1">
        <f>IF(OR(Table4[[#This Row],[INSTALLMENT]]=3),3,0)</f>
        <v>0</v>
      </c>
    </row>
    <row r="274" spans="1:7">
      <c r="A274" s="1">
        <v>277</v>
      </c>
      <c r="B274" s="1" t="s">
        <v>485</v>
      </c>
      <c r="C274" s="1" t="s">
        <v>480</v>
      </c>
      <c r="D274" s="1">
        <f>COUNTIFS('Raw Entries'!B:B,Table4[[#This Row],[Name]],'Raw Entries'!I:I,Table4[[#This Row],[BOOK No.]])</f>
        <v>1</v>
      </c>
      <c r="E274" s="1">
        <f t="array" ref="E274">IF(OR(Table4[[#This Row],[INSTALLMENT]]=1,Table4[[#This Row],[INSTALLMENT]]=2,Table4[[#This Row],[INSTALLMENT]]=3),1,0)</f>
        <v>1</v>
      </c>
      <c r="F274" s="1">
        <f>IF(OR(Table4[[#This Row],[INSTALLMENT]]=2,Table4[[#This Row],[INSTALLMENT]]=3),2,0)</f>
        <v>0</v>
      </c>
      <c r="G274" s="1">
        <f>IF(OR(Table4[[#This Row],[INSTALLMENT]]=3),3,0)</f>
        <v>0</v>
      </c>
    </row>
    <row r="275" spans="1:7">
      <c r="A275" s="1">
        <v>278</v>
      </c>
      <c r="B275" s="1" t="s">
        <v>2160</v>
      </c>
      <c r="C275" s="1" t="s">
        <v>480</v>
      </c>
      <c r="D275" s="1">
        <f>COUNTIFS('Raw Entries'!B:B,Table4[[#This Row],[Name]],'Raw Entries'!I:I,Table4[[#This Row],[BOOK No.]])</f>
        <v>0</v>
      </c>
      <c r="E275" s="1">
        <f t="array" ref="E275">IF(OR(Table4[[#This Row],[INSTALLMENT]]=1,Table4[[#This Row],[INSTALLMENT]]=2,Table4[[#This Row],[INSTALLMENT]]=3),1,0)</f>
        <v>0</v>
      </c>
      <c r="F275" s="1">
        <f>IF(OR(Table4[[#This Row],[INSTALLMENT]]=2,Table4[[#This Row],[INSTALLMENT]]=3),2,0)</f>
        <v>0</v>
      </c>
      <c r="G275" s="1">
        <f>IF(OR(Table4[[#This Row],[INSTALLMENT]]=3),3,0)</f>
        <v>0</v>
      </c>
    </row>
    <row r="276" spans="1:7">
      <c r="A276" s="1">
        <v>279</v>
      </c>
      <c r="B276" s="1" t="s">
        <v>2161</v>
      </c>
      <c r="C276" s="1" t="s">
        <v>480</v>
      </c>
      <c r="D276" s="1">
        <f>COUNTIFS('Raw Entries'!B:B,Table4[[#This Row],[Name]],'Raw Entries'!I:I,Table4[[#This Row],[BOOK No.]])</f>
        <v>0</v>
      </c>
      <c r="E276" s="1">
        <f t="array" ref="E276">IF(OR(Table4[[#This Row],[INSTALLMENT]]=1,Table4[[#This Row],[INSTALLMENT]]=2,Table4[[#This Row],[INSTALLMENT]]=3),1,0)</f>
        <v>0</v>
      </c>
      <c r="F276" s="1">
        <f>IF(OR(Table4[[#This Row],[INSTALLMENT]]=2,Table4[[#This Row],[INSTALLMENT]]=3),2,0)</f>
        <v>0</v>
      </c>
      <c r="G276" s="1">
        <f>IF(OR(Table4[[#This Row],[INSTALLMENT]]=3),3,0)</f>
        <v>0</v>
      </c>
    </row>
    <row r="277" spans="1:7">
      <c r="A277" s="1">
        <v>280</v>
      </c>
      <c r="B277" s="1" t="s">
        <v>487</v>
      </c>
      <c r="C277" s="1" t="s">
        <v>480</v>
      </c>
      <c r="D277" s="1">
        <f>COUNTIFS('Raw Entries'!B:B,Table4[[#This Row],[Name]],'Raw Entries'!I:I,Table4[[#This Row],[BOOK No.]])</f>
        <v>1</v>
      </c>
      <c r="E277" s="1">
        <f t="array" ref="E277">IF(OR(Table4[[#This Row],[INSTALLMENT]]=1,Table4[[#This Row],[INSTALLMENT]]=2,Table4[[#This Row],[INSTALLMENT]]=3),1,0)</f>
        <v>1</v>
      </c>
      <c r="F277" s="1">
        <f>IF(OR(Table4[[#This Row],[INSTALLMENT]]=2,Table4[[#This Row],[INSTALLMENT]]=3),2,0)</f>
        <v>0</v>
      </c>
      <c r="G277" s="1">
        <f>IF(OR(Table4[[#This Row],[INSTALLMENT]]=3),3,0)</f>
        <v>0</v>
      </c>
    </row>
    <row r="278" spans="1:7">
      <c r="A278" s="1">
        <v>281</v>
      </c>
      <c r="B278" s="1" t="s">
        <v>652</v>
      </c>
      <c r="C278" s="1" t="s">
        <v>480</v>
      </c>
      <c r="D278" s="1">
        <f>COUNTIFS('Raw Entries'!B:B,Table4[[#This Row],[Name]],'Raw Entries'!I:I,Table4[[#This Row],[BOOK No.]])</f>
        <v>3</v>
      </c>
      <c r="E278" s="1">
        <f t="array" ref="E278">IF(OR(Table4[[#This Row],[INSTALLMENT]]=1,Table4[[#This Row],[INSTALLMENT]]=2,Table4[[#This Row],[INSTALLMENT]]=3),1,0)</f>
        <v>1</v>
      </c>
      <c r="F278" s="1">
        <f>IF(OR(Table4[[#This Row],[INSTALLMENT]]=2,Table4[[#This Row],[INSTALLMENT]]=3),2,0)</f>
        <v>2</v>
      </c>
      <c r="G278" s="1">
        <f>IF(OR(Table4[[#This Row],[INSTALLMENT]]=3),3,0)</f>
        <v>3</v>
      </c>
    </row>
    <row r="279" spans="1:7">
      <c r="A279" s="1">
        <v>282</v>
      </c>
      <c r="B279" s="1" t="s">
        <v>2162</v>
      </c>
      <c r="C279" s="1" t="s">
        <v>480</v>
      </c>
      <c r="D279" s="1">
        <f>COUNTIFS('Raw Entries'!B:B,Table4[[#This Row],[Name]],'Raw Entries'!I:I,Table4[[#This Row],[BOOK No.]])</f>
        <v>0</v>
      </c>
      <c r="E279" s="1">
        <f t="array" ref="E279">IF(OR(Table4[[#This Row],[INSTALLMENT]]=1,Table4[[#This Row],[INSTALLMENT]]=2,Table4[[#This Row],[INSTALLMENT]]=3),1,0)</f>
        <v>0</v>
      </c>
      <c r="F279" s="1">
        <f>IF(OR(Table4[[#This Row],[INSTALLMENT]]=2,Table4[[#This Row],[INSTALLMENT]]=3),2,0)</f>
        <v>0</v>
      </c>
      <c r="G279" s="1">
        <f>IF(OR(Table4[[#This Row],[INSTALLMENT]]=3),3,0)</f>
        <v>0</v>
      </c>
    </row>
    <row r="280" spans="1:7">
      <c r="A280" s="1">
        <v>283</v>
      </c>
      <c r="B280" s="1" t="s">
        <v>649</v>
      </c>
      <c r="C280" s="1" t="s">
        <v>480</v>
      </c>
      <c r="D280" s="1">
        <f>COUNTIFS('Raw Entries'!B:B,Table4[[#This Row],[Name]],'Raw Entries'!I:I,Table4[[#This Row],[BOOK No.]])</f>
        <v>1</v>
      </c>
      <c r="E280" s="1">
        <f t="array" ref="E280">IF(OR(Table4[[#This Row],[INSTALLMENT]]=1,Table4[[#This Row],[INSTALLMENT]]=2,Table4[[#This Row],[INSTALLMENT]]=3),1,0)</f>
        <v>1</v>
      </c>
      <c r="F280" s="1">
        <f>IF(OR(Table4[[#This Row],[INSTALLMENT]]=2,Table4[[#This Row],[INSTALLMENT]]=3),2,0)</f>
        <v>0</v>
      </c>
      <c r="G280" s="1">
        <f>IF(OR(Table4[[#This Row],[INSTALLMENT]]=3),3,0)</f>
        <v>0</v>
      </c>
    </row>
    <row r="281" spans="1:7">
      <c r="A281" s="1">
        <v>284</v>
      </c>
      <c r="B281" s="1" t="s">
        <v>2163</v>
      </c>
      <c r="C281" s="1" t="s">
        <v>480</v>
      </c>
      <c r="D281" s="1">
        <f>COUNTIFS('Raw Entries'!B:B,Table4[[#This Row],[Name]],'Raw Entries'!I:I,Table4[[#This Row],[BOOK No.]])</f>
        <v>0</v>
      </c>
      <c r="E281" s="1">
        <f t="array" ref="E281">IF(OR(Table4[[#This Row],[INSTALLMENT]]=1,Table4[[#This Row],[INSTALLMENT]]=2,Table4[[#This Row],[INSTALLMENT]]=3),1,0)</f>
        <v>0</v>
      </c>
      <c r="F281" s="1">
        <f>IF(OR(Table4[[#This Row],[INSTALLMENT]]=2,Table4[[#This Row],[INSTALLMENT]]=3),2,0)</f>
        <v>0</v>
      </c>
      <c r="G281" s="1">
        <f>IF(OR(Table4[[#This Row],[INSTALLMENT]]=3),3,0)</f>
        <v>0</v>
      </c>
    </row>
    <row r="282" spans="1:7">
      <c r="A282" s="1">
        <v>285</v>
      </c>
      <c r="B282" s="1" t="s">
        <v>2164</v>
      </c>
      <c r="C282" s="1" t="s">
        <v>480</v>
      </c>
      <c r="D282" s="1">
        <f>COUNTIFS('Raw Entries'!B:B,Table4[[#This Row],[Name]],'Raw Entries'!I:I,Table4[[#This Row],[BOOK No.]])</f>
        <v>0</v>
      </c>
      <c r="E282" s="1">
        <f t="array" ref="E282">IF(OR(Table4[[#This Row],[INSTALLMENT]]=1,Table4[[#This Row],[INSTALLMENT]]=2,Table4[[#This Row],[INSTALLMENT]]=3),1,0)</f>
        <v>0</v>
      </c>
      <c r="F282" s="1">
        <f>IF(OR(Table4[[#This Row],[INSTALLMENT]]=2,Table4[[#This Row],[INSTALLMENT]]=3),2,0)</f>
        <v>0</v>
      </c>
      <c r="G282" s="1">
        <f>IF(OR(Table4[[#This Row],[INSTALLMENT]]=3),3,0)</f>
        <v>0</v>
      </c>
    </row>
    <row r="283" spans="1:7">
      <c r="A283" s="1">
        <v>286</v>
      </c>
      <c r="B283" s="1" t="s">
        <v>2165</v>
      </c>
      <c r="C283" s="1" t="s">
        <v>480</v>
      </c>
      <c r="D283" s="1">
        <f>COUNTIFS('Raw Entries'!B:B,Table4[[#This Row],[Name]],'Raw Entries'!I:I,Table4[[#This Row],[BOOK No.]])</f>
        <v>0</v>
      </c>
      <c r="E283" s="1">
        <f t="array" ref="E283">IF(OR(Table4[[#This Row],[INSTALLMENT]]=1,Table4[[#This Row],[INSTALLMENT]]=2,Table4[[#This Row],[INSTALLMENT]]=3),1,0)</f>
        <v>0</v>
      </c>
      <c r="F283" s="1">
        <f>IF(OR(Table4[[#This Row],[INSTALLMENT]]=2,Table4[[#This Row],[INSTALLMENT]]=3),2,0)</f>
        <v>0</v>
      </c>
      <c r="G283" s="1">
        <f>IF(OR(Table4[[#This Row],[INSTALLMENT]]=3),3,0)</f>
        <v>0</v>
      </c>
    </row>
    <row r="284" spans="1:7">
      <c r="A284" s="1">
        <v>287</v>
      </c>
      <c r="B284" s="1" t="s">
        <v>2166</v>
      </c>
      <c r="C284" s="1" t="s">
        <v>480</v>
      </c>
      <c r="D284" s="1">
        <f>COUNTIFS('Raw Entries'!B:B,Table4[[#This Row],[Name]],'Raw Entries'!I:I,Table4[[#This Row],[BOOK No.]])</f>
        <v>0</v>
      </c>
      <c r="E284" s="1">
        <f t="array" ref="E284">IF(OR(Table4[[#This Row],[INSTALLMENT]]=1,Table4[[#This Row],[INSTALLMENT]]=2,Table4[[#This Row],[INSTALLMENT]]=3),1,0)</f>
        <v>0</v>
      </c>
      <c r="F284" s="1">
        <f>IF(OR(Table4[[#This Row],[INSTALLMENT]]=2,Table4[[#This Row],[INSTALLMENT]]=3),2,0)</f>
        <v>0</v>
      </c>
      <c r="G284" s="1">
        <f>IF(OR(Table4[[#This Row],[INSTALLMENT]]=3),3,0)</f>
        <v>0</v>
      </c>
    </row>
    <row r="285" spans="1:7">
      <c r="A285" s="1">
        <v>288</v>
      </c>
      <c r="B285" s="1" t="s">
        <v>481</v>
      </c>
      <c r="C285" s="1" t="s">
        <v>480</v>
      </c>
      <c r="D285" s="1">
        <f>COUNTIFS('Raw Entries'!B:B,Table4[[#This Row],[Name]],'Raw Entries'!I:I,Table4[[#This Row],[BOOK No.]])</f>
        <v>1</v>
      </c>
      <c r="E285" s="1">
        <f t="array" ref="E285">IF(OR(Table4[[#This Row],[INSTALLMENT]]=1,Table4[[#This Row],[INSTALLMENT]]=2,Table4[[#This Row],[INSTALLMENT]]=3),1,0)</f>
        <v>1</v>
      </c>
      <c r="F285" s="1">
        <f>IF(OR(Table4[[#This Row],[INSTALLMENT]]=2,Table4[[#This Row],[INSTALLMENT]]=3),2,0)</f>
        <v>0</v>
      </c>
      <c r="G285" s="1">
        <f>IF(OR(Table4[[#This Row],[INSTALLMENT]]=3),3,0)</f>
        <v>0</v>
      </c>
    </row>
    <row r="286" spans="1:7">
      <c r="A286" s="1">
        <v>289</v>
      </c>
      <c r="B286" s="1" t="s">
        <v>2167</v>
      </c>
      <c r="C286" s="1" t="s">
        <v>480</v>
      </c>
      <c r="D286" s="1">
        <f>COUNTIFS('Raw Entries'!B:B,Table4[[#This Row],[Name]],'Raw Entries'!I:I,Table4[[#This Row],[BOOK No.]])</f>
        <v>0</v>
      </c>
      <c r="E286" s="1">
        <f t="array" ref="E286">IF(OR(Table4[[#This Row],[INSTALLMENT]]=1,Table4[[#This Row],[INSTALLMENT]]=2,Table4[[#This Row],[INSTALLMENT]]=3),1,0)</f>
        <v>0</v>
      </c>
      <c r="F286" s="1">
        <f>IF(OR(Table4[[#This Row],[INSTALLMENT]]=2,Table4[[#This Row],[INSTALLMENT]]=3),2,0)</f>
        <v>0</v>
      </c>
      <c r="G286" s="1">
        <f>IF(OR(Table4[[#This Row],[INSTALLMENT]]=3),3,0)</f>
        <v>0</v>
      </c>
    </row>
    <row r="287" spans="1:7">
      <c r="A287" s="1">
        <v>290</v>
      </c>
      <c r="B287" s="1" t="s">
        <v>2168</v>
      </c>
      <c r="C287" s="1" t="s">
        <v>480</v>
      </c>
      <c r="D287" s="1">
        <f>COUNTIFS('Raw Entries'!B:B,Table4[[#This Row],[Name]],'Raw Entries'!I:I,Table4[[#This Row],[BOOK No.]])</f>
        <v>0</v>
      </c>
      <c r="E287" s="1">
        <f t="array" ref="E287">IF(OR(Table4[[#This Row],[INSTALLMENT]]=1,Table4[[#This Row],[INSTALLMENT]]=2,Table4[[#This Row],[INSTALLMENT]]=3),1,0)</f>
        <v>0</v>
      </c>
      <c r="F287" s="1">
        <f>IF(OR(Table4[[#This Row],[INSTALLMENT]]=2,Table4[[#This Row],[INSTALLMENT]]=3),2,0)</f>
        <v>0</v>
      </c>
      <c r="G287" s="1">
        <f>IF(OR(Table4[[#This Row],[INSTALLMENT]]=3),3,0)</f>
        <v>0</v>
      </c>
    </row>
    <row r="288" spans="1:7">
      <c r="A288" s="1">
        <v>291</v>
      </c>
      <c r="B288" s="1" t="s">
        <v>2169</v>
      </c>
      <c r="C288" s="1" t="s">
        <v>480</v>
      </c>
      <c r="D288" s="1">
        <f>COUNTIFS('Raw Entries'!B:B,Table4[[#This Row],[Name]],'Raw Entries'!I:I,Table4[[#This Row],[BOOK No.]])</f>
        <v>0</v>
      </c>
      <c r="E288" s="1">
        <f t="array" ref="E288">IF(OR(Table4[[#This Row],[INSTALLMENT]]=1,Table4[[#This Row],[INSTALLMENT]]=2,Table4[[#This Row],[INSTALLMENT]]=3),1,0)</f>
        <v>0</v>
      </c>
      <c r="F288" s="1">
        <f>IF(OR(Table4[[#This Row],[INSTALLMENT]]=2,Table4[[#This Row],[INSTALLMENT]]=3),2,0)</f>
        <v>0</v>
      </c>
      <c r="G288" s="1">
        <f>IF(OR(Table4[[#This Row],[INSTALLMENT]]=3),3,0)</f>
        <v>0</v>
      </c>
    </row>
    <row r="289" spans="1:7">
      <c r="A289" s="1">
        <v>292</v>
      </c>
      <c r="B289" s="1" t="s">
        <v>2170</v>
      </c>
      <c r="C289" s="1" t="s">
        <v>480</v>
      </c>
      <c r="D289" s="1">
        <f>COUNTIFS('Raw Entries'!B:B,Table4[[#This Row],[Name]],'Raw Entries'!I:I,Table4[[#This Row],[BOOK No.]])</f>
        <v>0</v>
      </c>
      <c r="E289" s="1">
        <f t="array" ref="E289">IF(OR(Table4[[#This Row],[INSTALLMENT]]=1,Table4[[#This Row],[INSTALLMENT]]=2,Table4[[#This Row],[INSTALLMENT]]=3),1,0)</f>
        <v>0</v>
      </c>
      <c r="F289" s="1">
        <f>IF(OR(Table4[[#This Row],[INSTALLMENT]]=2,Table4[[#This Row],[INSTALLMENT]]=3),2,0)</f>
        <v>0</v>
      </c>
      <c r="G289" s="1">
        <f>IF(OR(Table4[[#This Row],[INSTALLMENT]]=3),3,0)</f>
        <v>0</v>
      </c>
    </row>
    <row r="290" spans="1:7">
      <c r="A290" s="1">
        <v>293</v>
      </c>
      <c r="B290" s="1" t="s">
        <v>2171</v>
      </c>
      <c r="C290" s="1" t="s">
        <v>480</v>
      </c>
      <c r="D290" s="1">
        <f>COUNTIFS('Raw Entries'!B:B,Table4[[#This Row],[Name]],'Raw Entries'!I:I,Table4[[#This Row],[BOOK No.]])</f>
        <v>0</v>
      </c>
      <c r="E290" s="1">
        <f t="array" ref="E290">IF(OR(Table4[[#This Row],[INSTALLMENT]]=1,Table4[[#This Row],[INSTALLMENT]]=2,Table4[[#This Row],[INSTALLMENT]]=3),1,0)</f>
        <v>0</v>
      </c>
      <c r="F290" s="1">
        <f>IF(OR(Table4[[#This Row],[INSTALLMENT]]=2,Table4[[#This Row],[INSTALLMENT]]=3),2,0)</f>
        <v>0</v>
      </c>
      <c r="G290" s="1">
        <f>IF(OR(Table4[[#This Row],[INSTALLMENT]]=3),3,0)</f>
        <v>0</v>
      </c>
    </row>
    <row r="291" spans="1:7">
      <c r="A291" s="1">
        <v>294</v>
      </c>
      <c r="B291" s="1" t="s">
        <v>2172</v>
      </c>
      <c r="C291" s="1" t="s">
        <v>480</v>
      </c>
      <c r="D291" s="1">
        <f>COUNTIFS('Raw Entries'!B:B,Table4[[#This Row],[Name]],'Raw Entries'!I:I,Table4[[#This Row],[BOOK No.]])</f>
        <v>0</v>
      </c>
      <c r="E291" s="1">
        <f t="array" ref="E291">IF(OR(Table4[[#This Row],[INSTALLMENT]]=1,Table4[[#This Row],[INSTALLMENT]]=2,Table4[[#This Row],[INSTALLMENT]]=3),1,0)</f>
        <v>0</v>
      </c>
      <c r="F291" s="1">
        <f>IF(OR(Table4[[#This Row],[INSTALLMENT]]=2,Table4[[#This Row],[INSTALLMENT]]=3),2,0)</f>
        <v>0</v>
      </c>
      <c r="G291" s="1">
        <f>IF(OR(Table4[[#This Row],[INSTALLMENT]]=3),3,0)</f>
        <v>0</v>
      </c>
    </row>
    <row r="292" spans="1:7">
      <c r="A292" s="1">
        <v>295</v>
      </c>
      <c r="B292" s="1" t="s">
        <v>2173</v>
      </c>
      <c r="C292" s="1" t="s">
        <v>480</v>
      </c>
      <c r="D292" s="1">
        <f>COUNTIFS('Raw Entries'!B:B,Table4[[#This Row],[Name]],'Raw Entries'!I:I,Table4[[#This Row],[BOOK No.]])</f>
        <v>0</v>
      </c>
      <c r="E292" s="1">
        <f t="array" ref="E292">IF(OR(Table4[[#This Row],[INSTALLMENT]]=1,Table4[[#This Row],[INSTALLMENT]]=2,Table4[[#This Row],[INSTALLMENT]]=3),1,0)</f>
        <v>0</v>
      </c>
      <c r="F292" s="1">
        <f>IF(OR(Table4[[#This Row],[INSTALLMENT]]=2,Table4[[#This Row],[INSTALLMENT]]=3),2,0)</f>
        <v>0</v>
      </c>
      <c r="G292" s="1">
        <f>IF(OR(Table4[[#This Row],[INSTALLMENT]]=3),3,0)</f>
        <v>0</v>
      </c>
    </row>
    <row r="293" spans="1:7">
      <c r="A293" s="1">
        <v>296</v>
      </c>
      <c r="B293" s="1" t="s">
        <v>2174</v>
      </c>
      <c r="C293" s="1" t="s">
        <v>480</v>
      </c>
      <c r="D293" s="1">
        <f>COUNTIFS('Raw Entries'!B:B,Table4[[#This Row],[Name]],'Raw Entries'!I:I,Table4[[#This Row],[BOOK No.]])</f>
        <v>0</v>
      </c>
      <c r="E293" s="1">
        <f t="array" ref="E293">IF(OR(Table4[[#This Row],[INSTALLMENT]]=1,Table4[[#This Row],[INSTALLMENT]]=2,Table4[[#This Row],[INSTALLMENT]]=3),1,0)</f>
        <v>0</v>
      </c>
      <c r="F293" s="1">
        <f>IF(OR(Table4[[#This Row],[INSTALLMENT]]=2,Table4[[#This Row],[INSTALLMENT]]=3),2,0)</f>
        <v>0</v>
      </c>
      <c r="G293" s="1">
        <f>IF(OR(Table4[[#This Row],[INSTALLMENT]]=3),3,0)</f>
        <v>0</v>
      </c>
    </row>
    <row r="294" spans="1:7">
      <c r="A294" s="1">
        <v>297</v>
      </c>
      <c r="B294" s="1" t="s">
        <v>2175</v>
      </c>
      <c r="C294" s="1" t="s">
        <v>480</v>
      </c>
      <c r="D294" s="1">
        <f>COUNTIFS('Raw Entries'!B:B,Table4[[#This Row],[Name]],'Raw Entries'!I:I,Table4[[#This Row],[BOOK No.]])</f>
        <v>0</v>
      </c>
      <c r="E294" s="1">
        <f t="array" ref="E294">IF(OR(Table4[[#This Row],[INSTALLMENT]]=1,Table4[[#This Row],[INSTALLMENT]]=2,Table4[[#This Row],[INSTALLMENT]]=3),1,0)</f>
        <v>0</v>
      </c>
      <c r="F294" s="1">
        <f>IF(OR(Table4[[#This Row],[INSTALLMENT]]=2,Table4[[#This Row],[INSTALLMENT]]=3),2,0)</f>
        <v>0</v>
      </c>
      <c r="G294" s="1">
        <f>IF(OR(Table4[[#This Row],[INSTALLMENT]]=3),3,0)</f>
        <v>0</v>
      </c>
    </row>
    <row r="295" spans="1:7">
      <c r="A295" s="1">
        <v>298</v>
      </c>
      <c r="B295" s="1" t="s">
        <v>483</v>
      </c>
      <c r="C295" s="1" t="s">
        <v>480</v>
      </c>
      <c r="D295" s="1">
        <f>COUNTIFS('Raw Entries'!B:B,Table4[[#This Row],[Name]],'Raw Entries'!I:I,Table4[[#This Row],[BOOK No.]])</f>
        <v>1</v>
      </c>
      <c r="E295" s="1">
        <f t="array" ref="E295">IF(OR(Table4[[#This Row],[INSTALLMENT]]=1,Table4[[#This Row],[INSTALLMENT]]=2,Table4[[#This Row],[INSTALLMENT]]=3),1,0)</f>
        <v>1</v>
      </c>
      <c r="F295" s="1">
        <f>IF(OR(Table4[[#This Row],[INSTALLMENT]]=2,Table4[[#This Row],[INSTALLMENT]]=3),2,0)</f>
        <v>0</v>
      </c>
      <c r="G295" s="1">
        <f>IF(OR(Table4[[#This Row],[INSTALLMENT]]=3),3,0)</f>
        <v>0</v>
      </c>
    </row>
    <row r="296" spans="1:7">
      <c r="A296" s="1">
        <v>299</v>
      </c>
      <c r="B296" s="1" t="s">
        <v>2176</v>
      </c>
      <c r="C296" s="1" t="s">
        <v>480</v>
      </c>
      <c r="D296" s="1">
        <f>COUNTIFS('Raw Entries'!B:B,Table4[[#This Row],[Name]],'Raw Entries'!I:I,Table4[[#This Row],[BOOK No.]])</f>
        <v>0</v>
      </c>
      <c r="E296" s="1">
        <f t="array" ref="E296">IF(OR(Table4[[#This Row],[INSTALLMENT]]=1,Table4[[#This Row],[INSTALLMENT]]=2,Table4[[#This Row],[INSTALLMENT]]=3),1,0)</f>
        <v>0</v>
      </c>
      <c r="F296" s="1">
        <f>IF(OR(Table4[[#This Row],[INSTALLMENT]]=2,Table4[[#This Row],[INSTALLMENT]]=3),2,0)</f>
        <v>0</v>
      </c>
      <c r="G296" s="1">
        <f>IF(OR(Table4[[#This Row],[INSTALLMENT]]=3),3,0)</f>
        <v>0</v>
      </c>
    </row>
    <row r="297" spans="1:7">
      <c r="A297" s="1">
        <v>300</v>
      </c>
      <c r="B297" s="1" t="s">
        <v>2177</v>
      </c>
      <c r="C297" s="1" t="s">
        <v>480</v>
      </c>
      <c r="D297" s="1">
        <f>COUNTIFS('Raw Entries'!B:B,Table4[[#This Row],[Name]],'Raw Entries'!I:I,Table4[[#This Row],[BOOK No.]])</f>
        <v>0</v>
      </c>
      <c r="E297" s="1">
        <f t="array" ref="E297">IF(OR(Table4[[#This Row],[INSTALLMENT]]=1,Table4[[#This Row],[INSTALLMENT]]=2,Table4[[#This Row],[INSTALLMENT]]=3),1,0)</f>
        <v>0</v>
      </c>
      <c r="F297" s="1">
        <f>IF(OR(Table4[[#This Row],[INSTALLMENT]]=2,Table4[[#This Row],[INSTALLMENT]]=3),2,0)</f>
        <v>0</v>
      </c>
      <c r="G297" s="1">
        <f>IF(OR(Table4[[#This Row],[INSTALLMENT]]=3),3,0)</f>
        <v>0</v>
      </c>
    </row>
    <row r="298" spans="1:7">
      <c r="A298" s="1">
        <v>301</v>
      </c>
      <c r="B298" s="1" t="s">
        <v>2178</v>
      </c>
      <c r="C298" s="1" t="s">
        <v>480</v>
      </c>
      <c r="D298" s="1">
        <f>COUNTIFS('Raw Entries'!B:B,Table4[[#This Row],[Name]],'Raw Entries'!I:I,Table4[[#This Row],[BOOK No.]])</f>
        <v>0</v>
      </c>
      <c r="E298" s="1">
        <f t="array" ref="E298">IF(OR(Table4[[#This Row],[INSTALLMENT]]=1,Table4[[#This Row],[INSTALLMENT]]=2,Table4[[#This Row],[INSTALLMENT]]=3),1,0)</f>
        <v>0</v>
      </c>
      <c r="F298" s="1">
        <f>IF(OR(Table4[[#This Row],[INSTALLMENT]]=2,Table4[[#This Row],[INSTALLMENT]]=3),2,0)</f>
        <v>0</v>
      </c>
      <c r="G298" s="1">
        <f>IF(OR(Table4[[#This Row],[INSTALLMENT]]=3),3,0)</f>
        <v>0</v>
      </c>
    </row>
    <row r="299" spans="1:7">
      <c r="A299" s="1">
        <v>302</v>
      </c>
      <c r="B299" s="1" t="s">
        <v>2179</v>
      </c>
      <c r="C299" s="1" t="s">
        <v>488</v>
      </c>
      <c r="D299" s="1">
        <f>COUNTIFS('Raw Entries'!B:B,Table4[[#This Row],[Name]],'Raw Entries'!I:I,Table4[[#This Row],[BOOK No.]])</f>
        <v>0</v>
      </c>
      <c r="E299" s="1">
        <f t="array" ref="E299">IF(OR(Table4[[#This Row],[INSTALLMENT]]=1,Table4[[#This Row],[INSTALLMENT]]=2,Table4[[#This Row],[INSTALLMENT]]=3),1,0)</f>
        <v>0</v>
      </c>
      <c r="F299" s="1">
        <f>IF(OR(Table4[[#This Row],[INSTALLMENT]]=2,Table4[[#This Row],[INSTALLMENT]]=3),2,0)</f>
        <v>0</v>
      </c>
      <c r="G299" s="1">
        <f>IF(OR(Table4[[#This Row],[INSTALLMENT]]=3),3,0)</f>
        <v>0</v>
      </c>
    </row>
    <row r="300" spans="1:7">
      <c r="A300" s="1">
        <v>303</v>
      </c>
      <c r="B300" s="1" t="s">
        <v>2180</v>
      </c>
      <c r="C300" s="1" t="s">
        <v>488</v>
      </c>
      <c r="D300" s="1">
        <f>COUNTIFS('Raw Entries'!B:B,Table4[[#This Row],[Name]],'Raw Entries'!I:I,Table4[[#This Row],[BOOK No.]])</f>
        <v>0</v>
      </c>
      <c r="E300" s="1">
        <f t="array" ref="E300">IF(OR(Table4[[#This Row],[INSTALLMENT]]=1,Table4[[#This Row],[INSTALLMENT]]=2,Table4[[#This Row],[INSTALLMENT]]=3),1,0)</f>
        <v>0</v>
      </c>
      <c r="F300" s="1">
        <f>IF(OR(Table4[[#This Row],[INSTALLMENT]]=2,Table4[[#This Row],[INSTALLMENT]]=3),2,0)</f>
        <v>0</v>
      </c>
      <c r="G300" s="1">
        <f>IF(OR(Table4[[#This Row],[INSTALLMENT]]=3),3,0)</f>
        <v>0</v>
      </c>
    </row>
    <row r="301" spans="1:7">
      <c r="A301" s="1">
        <v>304</v>
      </c>
      <c r="B301" s="1" t="s">
        <v>2181</v>
      </c>
      <c r="C301" s="1" t="s">
        <v>488</v>
      </c>
      <c r="D301" s="1">
        <f>COUNTIFS('Raw Entries'!B:B,Table4[[#This Row],[Name]],'Raw Entries'!I:I,Table4[[#This Row],[BOOK No.]])</f>
        <v>0</v>
      </c>
      <c r="E301" s="1">
        <f t="array" ref="E301">IF(OR(Table4[[#This Row],[INSTALLMENT]]=1,Table4[[#This Row],[INSTALLMENT]]=2,Table4[[#This Row],[INSTALLMENT]]=3),1,0)</f>
        <v>0</v>
      </c>
      <c r="F301" s="1">
        <f>IF(OR(Table4[[#This Row],[INSTALLMENT]]=2,Table4[[#This Row],[INSTALLMENT]]=3),2,0)</f>
        <v>0</v>
      </c>
      <c r="G301" s="1">
        <f>IF(OR(Table4[[#This Row],[INSTALLMENT]]=3),3,0)</f>
        <v>0</v>
      </c>
    </row>
    <row r="302" spans="1:7">
      <c r="A302" s="1">
        <v>305</v>
      </c>
      <c r="B302" s="1" t="s">
        <v>2182</v>
      </c>
      <c r="C302" s="1" t="s">
        <v>488</v>
      </c>
      <c r="D302" s="1">
        <f>COUNTIFS('Raw Entries'!B:B,Table4[[#This Row],[Name]],'Raw Entries'!I:I,Table4[[#This Row],[BOOK No.]])</f>
        <v>0</v>
      </c>
      <c r="E302" s="1">
        <f t="array" ref="E302">IF(OR(Table4[[#This Row],[INSTALLMENT]]=1,Table4[[#This Row],[INSTALLMENT]]=2,Table4[[#This Row],[INSTALLMENT]]=3),1,0)</f>
        <v>0</v>
      </c>
      <c r="F302" s="1">
        <f>IF(OR(Table4[[#This Row],[INSTALLMENT]]=2,Table4[[#This Row],[INSTALLMENT]]=3),2,0)</f>
        <v>0</v>
      </c>
      <c r="G302" s="1">
        <f>IF(OR(Table4[[#This Row],[INSTALLMENT]]=3),3,0)</f>
        <v>0</v>
      </c>
    </row>
    <row r="303" spans="1:7">
      <c r="A303" s="1">
        <v>306</v>
      </c>
      <c r="B303" s="1" t="s">
        <v>539</v>
      </c>
      <c r="C303" s="1" t="s">
        <v>488</v>
      </c>
      <c r="D303" s="1">
        <f>COUNTIFS('Raw Entries'!B:B,Table4[[#This Row],[Name]],'Raw Entries'!I:I,Table4[[#This Row],[BOOK No.]])</f>
        <v>0</v>
      </c>
      <c r="E303" s="1">
        <f t="array" ref="E303">IF(OR(Table4[[#This Row],[INSTALLMENT]]=1,Table4[[#This Row],[INSTALLMENT]]=2,Table4[[#This Row],[INSTALLMENT]]=3),1,0)</f>
        <v>0</v>
      </c>
      <c r="F303" s="1">
        <f>IF(OR(Table4[[#This Row],[INSTALLMENT]]=2,Table4[[#This Row],[INSTALLMENT]]=3),2,0)</f>
        <v>0</v>
      </c>
      <c r="G303" s="1">
        <f>IF(OR(Table4[[#This Row],[INSTALLMENT]]=3),3,0)</f>
        <v>0</v>
      </c>
    </row>
    <row r="304" spans="1:7">
      <c r="A304" s="1">
        <v>307</v>
      </c>
      <c r="B304" s="1" t="s">
        <v>2183</v>
      </c>
      <c r="C304" s="1" t="s">
        <v>488</v>
      </c>
      <c r="D304" s="1">
        <f>COUNTIFS('Raw Entries'!B:B,Table4[[#This Row],[Name]],'Raw Entries'!I:I,Table4[[#This Row],[BOOK No.]])</f>
        <v>0</v>
      </c>
      <c r="E304" s="1">
        <f t="array" ref="E304">IF(OR(Table4[[#This Row],[INSTALLMENT]]=1,Table4[[#This Row],[INSTALLMENT]]=2,Table4[[#This Row],[INSTALLMENT]]=3),1,0)</f>
        <v>0</v>
      </c>
      <c r="F304" s="1">
        <f>IF(OR(Table4[[#This Row],[INSTALLMENT]]=2,Table4[[#This Row],[INSTALLMENT]]=3),2,0)</f>
        <v>0</v>
      </c>
      <c r="G304" s="1">
        <f>IF(OR(Table4[[#This Row],[INSTALLMENT]]=3),3,0)</f>
        <v>0</v>
      </c>
    </row>
    <row r="305" spans="1:7">
      <c r="A305" s="1">
        <v>308</v>
      </c>
      <c r="B305" s="1" t="s">
        <v>2184</v>
      </c>
      <c r="C305" s="1" t="s">
        <v>488</v>
      </c>
      <c r="D305" s="1">
        <f>COUNTIFS('Raw Entries'!B:B,Table4[[#This Row],[Name]],'Raw Entries'!I:I,Table4[[#This Row],[BOOK No.]])</f>
        <v>0</v>
      </c>
      <c r="E305" s="1">
        <f t="array" ref="E305">IF(OR(Table4[[#This Row],[INSTALLMENT]]=1,Table4[[#This Row],[INSTALLMENT]]=2,Table4[[#This Row],[INSTALLMENT]]=3),1,0)</f>
        <v>0</v>
      </c>
      <c r="F305" s="1">
        <f>IF(OR(Table4[[#This Row],[INSTALLMENT]]=2,Table4[[#This Row],[INSTALLMENT]]=3),2,0)</f>
        <v>0</v>
      </c>
      <c r="G305" s="1">
        <f>IF(OR(Table4[[#This Row],[INSTALLMENT]]=3),3,0)</f>
        <v>0</v>
      </c>
    </row>
    <row r="306" spans="1:7">
      <c r="A306" s="1">
        <v>309</v>
      </c>
      <c r="B306" s="1" t="s">
        <v>2185</v>
      </c>
      <c r="C306" s="1" t="s">
        <v>488</v>
      </c>
      <c r="D306" s="1">
        <f>COUNTIFS('Raw Entries'!B:B,Table4[[#This Row],[Name]],'Raw Entries'!I:I,Table4[[#This Row],[BOOK No.]])</f>
        <v>0</v>
      </c>
      <c r="E306" s="1">
        <f t="array" ref="E306">IF(OR(Table4[[#This Row],[INSTALLMENT]]=1,Table4[[#This Row],[INSTALLMENT]]=2,Table4[[#This Row],[INSTALLMENT]]=3),1,0)</f>
        <v>0</v>
      </c>
      <c r="F306" s="1">
        <f>IF(OR(Table4[[#This Row],[INSTALLMENT]]=2,Table4[[#This Row],[INSTALLMENT]]=3),2,0)</f>
        <v>0</v>
      </c>
      <c r="G306" s="1">
        <f>IF(OR(Table4[[#This Row],[INSTALLMENT]]=3),3,0)</f>
        <v>0</v>
      </c>
    </row>
    <row r="307" spans="1:7">
      <c r="A307" s="1">
        <v>310</v>
      </c>
      <c r="B307" s="1" t="s">
        <v>2186</v>
      </c>
      <c r="C307" s="1" t="s">
        <v>488</v>
      </c>
      <c r="D307" s="1">
        <f>COUNTIFS('Raw Entries'!B:B,Table4[[#This Row],[Name]],'Raw Entries'!I:I,Table4[[#This Row],[BOOK No.]])</f>
        <v>0</v>
      </c>
      <c r="E307" s="1">
        <f t="array" ref="E307">IF(OR(Table4[[#This Row],[INSTALLMENT]]=1,Table4[[#This Row],[INSTALLMENT]]=2,Table4[[#This Row],[INSTALLMENT]]=3),1,0)</f>
        <v>0</v>
      </c>
      <c r="F307" s="1">
        <f>IF(OR(Table4[[#This Row],[INSTALLMENT]]=2,Table4[[#This Row],[INSTALLMENT]]=3),2,0)</f>
        <v>0</v>
      </c>
      <c r="G307" s="1">
        <f>IF(OR(Table4[[#This Row],[INSTALLMENT]]=3),3,0)</f>
        <v>0</v>
      </c>
    </row>
    <row r="308" spans="1:7">
      <c r="A308" s="1">
        <v>311</v>
      </c>
      <c r="B308" s="1" t="s">
        <v>2187</v>
      </c>
      <c r="C308" s="1" t="s">
        <v>488</v>
      </c>
      <c r="D308" s="1">
        <f>COUNTIFS('Raw Entries'!B:B,Table4[[#This Row],[Name]],'Raw Entries'!I:I,Table4[[#This Row],[BOOK No.]])</f>
        <v>0</v>
      </c>
      <c r="E308" s="1">
        <f t="array" ref="E308">IF(OR(Table4[[#This Row],[INSTALLMENT]]=1,Table4[[#This Row],[INSTALLMENT]]=2,Table4[[#This Row],[INSTALLMENT]]=3),1,0)</f>
        <v>0</v>
      </c>
      <c r="F308" s="1">
        <f>IF(OR(Table4[[#This Row],[INSTALLMENT]]=2,Table4[[#This Row],[INSTALLMENT]]=3),2,0)</f>
        <v>0</v>
      </c>
      <c r="G308" s="1">
        <f>IF(OR(Table4[[#This Row],[INSTALLMENT]]=3),3,0)</f>
        <v>0</v>
      </c>
    </row>
    <row r="309" spans="1:7">
      <c r="A309" s="1">
        <v>312</v>
      </c>
      <c r="B309" s="1" t="s">
        <v>2188</v>
      </c>
      <c r="C309" s="1" t="s">
        <v>488</v>
      </c>
      <c r="D309" s="1">
        <f>COUNTIFS('Raw Entries'!B:B,Table4[[#This Row],[Name]],'Raw Entries'!I:I,Table4[[#This Row],[BOOK No.]])</f>
        <v>0</v>
      </c>
      <c r="E309" s="1">
        <f t="array" ref="E309">IF(OR(Table4[[#This Row],[INSTALLMENT]]=1,Table4[[#This Row],[INSTALLMENT]]=2,Table4[[#This Row],[INSTALLMENT]]=3),1,0)</f>
        <v>0</v>
      </c>
      <c r="F309" s="1">
        <f>IF(OR(Table4[[#This Row],[INSTALLMENT]]=2,Table4[[#This Row],[INSTALLMENT]]=3),2,0)</f>
        <v>0</v>
      </c>
      <c r="G309" s="1">
        <f>IF(OR(Table4[[#This Row],[INSTALLMENT]]=3),3,0)</f>
        <v>0</v>
      </c>
    </row>
    <row r="310" spans="1:7">
      <c r="A310" s="1">
        <v>313</v>
      </c>
      <c r="B310" s="1" t="s">
        <v>2189</v>
      </c>
      <c r="C310" s="1" t="s">
        <v>488</v>
      </c>
      <c r="D310" s="1">
        <f>COUNTIFS('Raw Entries'!B:B,Table4[[#This Row],[Name]],'Raw Entries'!I:I,Table4[[#This Row],[BOOK No.]])</f>
        <v>0</v>
      </c>
      <c r="E310" s="1">
        <f t="array" ref="E310">IF(OR(Table4[[#This Row],[INSTALLMENT]]=1,Table4[[#This Row],[INSTALLMENT]]=2,Table4[[#This Row],[INSTALLMENT]]=3),1,0)</f>
        <v>0</v>
      </c>
      <c r="F310" s="1">
        <f>IF(OR(Table4[[#This Row],[INSTALLMENT]]=2,Table4[[#This Row],[INSTALLMENT]]=3),2,0)</f>
        <v>0</v>
      </c>
      <c r="G310" s="1">
        <f>IF(OR(Table4[[#This Row],[INSTALLMENT]]=3),3,0)</f>
        <v>0</v>
      </c>
    </row>
    <row r="311" spans="1:7">
      <c r="A311" s="1">
        <v>314</v>
      </c>
      <c r="B311" s="1" t="s">
        <v>493</v>
      </c>
      <c r="C311" s="1" t="s">
        <v>488</v>
      </c>
      <c r="D311" s="1">
        <f>COUNTIFS('Raw Entries'!B:B,Table4[[#This Row],[Name]],'Raw Entries'!I:I,Table4[[#This Row],[BOOK No.]])</f>
        <v>3</v>
      </c>
      <c r="E311" s="1">
        <f t="array" ref="E311">IF(OR(Table4[[#This Row],[INSTALLMENT]]=1,Table4[[#This Row],[INSTALLMENT]]=2,Table4[[#This Row],[INSTALLMENT]]=3),1,0)</f>
        <v>1</v>
      </c>
      <c r="F311" s="1">
        <f>IF(OR(Table4[[#This Row],[INSTALLMENT]]=2,Table4[[#This Row],[INSTALLMENT]]=3),2,0)</f>
        <v>2</v>
      </c>
      <c r="G311" s="1">
        <f>IF(OR(Table4[[#This Row],[INSTALLMENT]]=3),3,0)</f>
        <v>3</v>
      </c>
    </row>
    <row r="312" spans="1:7">
      <c r="A312" s="1">
        <v>315</v>
      </c>
      <c r="B312" s="1" t="s">
        <v>2190</v>
      </c>
      <c r="C312" s="1" t="s">
        <v>488</v>
      </c>
      <c r="D312" s="1">
        <f>COUNTIFS('Raw Entries'!B:B,Table4[[#This Row],[Name]],'Raw Entries'!I:I,Table4[[#This Row],[BOOK No.]])</f>
        <v>0</v>
      </c>
      <c r="E312" s="1">
        <f t="array" ref="E312">IF(OR(Table4[[#This Row],[INSTALLMENT]]=1,Table4[[#This Row],[INSTALLMENT]]=2,Table4[[#This Row],[INSTALLMENT]]=3),1,0)</f>
        <v>0</v>
      </c>
      <c r="F312" s="1">
        <f>IF(OR(Table4[[#This Row],[INSTALLMENT]]=2,Table4[[#This Row],[INSTALLMENT]]=3),2,0)</f>
        <v>0</v>
      </c>
      <c r="G312" s="1">
        <f>IF(OR(Table4[[#This Row],[INSTALLMENT]]=3),3,0)</f>
        <v>0</v>
      </c>
    </row>
    <row r="313" spans="1:7">
      <c r="A313" s="1">
        <v>316</v>
      </c>
      <c r="B313" s="1" t="s">
        <v>2191</v>
      </c>
      <c r="C313" s="1" t="s">
        <v>488</v>
      </c>
      <c r="D313" s="1">
        <f>COUNTIFS('Raw Entries'!B:B,Table4[[#This Row],[Name]],'Raw Entries'!I:I,Table4[[#This Row],[BOOK No.]])</f>
        <v>0</v>
      </c>
      <c r="E313" s="1">
        <f t="array" ref="E313">IF(OR(Table4[[#This Row],[INSTALLMENT]]=1,Table4[[#This Row],[INSTALLMENT]]=2,Table4[[#This Row],[INSTALLMENT]]=3),1,0)</f>
        <v>0</v>
      </c>
      <c r="F313" s="1">
        <f>IF(OR(Table4[[#This Row],[INSTALLMENT]]=2,Table4[[#This Row],[INSTALLMENT]]=3),2,0)</f>
        <v>0</v>
      </c>
      <c r="G313" s="1">
        <f>IF(OR(Table4[[#This Row],[INSTALLMENT]]=3),3,0)</f>
        <v>0</v>
      </c>
    </row>
    <row r="314" spans="1:7">
      <c r="A314" s="1">
        <v>317</v>
      </c>
      <c r="B314" s="1" t="s">
        <v>2192</v>
      </c>
      <c r="C314" s="1" t="s">
        <v>488</v>
      </c>
      <c r="D314" s="1">
        <f>COUNTIFS('Raw Entries'!B:B,Table4[[#This Row],[Name]],'Raw Entries'!I:I,Table4[[#This Row],[BOOK No.]])</f>
        <v>0</v>
      </c>
      <c r="E314" s="1">
        <f t="array" ref="E314">IF(OR(Table4[[#This Row],[INSTALLMENT]]=1,Table4[[#This Row],[INSTALLMENT]]=2,Table4[[#This Row],[INSTALLMENT]]=3),1,0)</f>
        <v>0</v>
      </c>
      <c r="F314" s="1">
        <f>IF(OR(Table4[[#This Row],[INSTALLMENT]]=2,Table4[[#This Row],[INSTALLMENT]]=3),2,0)</f>
        <v>0</v>
      </c>
      <c r="G314" s="1">
        <f>IF(OR(Table4[[#This Row],[INSTALLMENT]]=3),3,0)</f>
        <v>0</v>
      </c>
    </row>
    <row r="315" spans="1:7">
      <c r="A315" s="1">
        <v>318</v>
      </c>
      <c r="B315" s="1" t="s">
        <v>2193</v>
      </c>
      <c r="C315" s="1" t="s">
        <v>488</v>
      </c>
      <c r="D315" s="1">
        <f>COUNTIFS('Raw Entries'!B:B,Table4[[#This Row],[Name]],'Raw Entries'!I:I,Table4[[#This Row],[BOOK No.]])</f>
        <v>0</v>
      </c>
      <c r="E315" s="1">
        <f t="array" ref="E315">IF(OR(Table4[[#This Row],[INSTALLMENT]]=1,Table4[[#This Row],[INSTALLMENT]]=2,Table4[[#This Row],[INSTALLMENT]]=3),1,0)</f>
        <v>0</v>
      </c>
      <c r="F315" s="1">
        <f>IF(OR(Table4[[#This Row],[INSTALLMENT]]=2,Table4[[#This Row],[INSTALLMENT]]=3),2,0)</f>
        <v>0</v>
      </c>
      <c r="G315" s="1">
        <f>IF(OR(Table4[[#This Row],[INSTALLMENT]]=3),3,0)</f>
        <v>0</v>
      </c>
    </row>
    <row r="316" spans="1:7">
      <c r="A316" s="1">
        <v>319</v>
      </c>
      <c r="B316" s="1" t="s">
        <v>2194</v>
      </c>
      <c r="C316" s="1" t="s">
        <v>488</v>
      </c>
      <c r="D316" s="1">
        <f>COUNTIFS('Raw Entries'!B:B,Table4[[#This Row],[Name]],'Raw Entries'!I:I,Table4[[#This Row],[BOOK No.]])</f>
        <v>0</v>
      </c>
      <c r="E316" s="1">
        <f t="array" ref="E316">IF(OR(Table4[[#This Row],[INSTALLMENT]]=1,Table4[[#This Row],[INSTALLMENT]]=2,Table4[[#This Row],[INSTALLMENT]]=3),1,0)</f>
        <v>0</v>
      </c>
      <c r="F316" s="1">
        <f>IF(OR(Table4[[#This Row],[INSTALLMENT]]=2,Table4[[#This Row],[INSTALLMENT]]=3),2,0)</f>
        <v>0</v>
      </c>
      <c r="G316" s="1">
        <f>IF(OR(Table4[[#This Row],[INSTALLMENT]]=3),3,0)</f>
        <v>0</v>
      </c>
    </row>
    <row r="317" spans="1:7">
      <c r="A317" s="1">
        <v>320</v>
      </c>
      <c r="B317" s="1" t="s">
        <v>2195</v>
      </c>
      <c r="C317" s="1" t="s">
        <v>488</v>
      </c>
      <c r="D317" s="1">
        <f>COUNTIFS('Raw Entries'!B:B,Table4[[#This Row],[Name]],'Raw Entries'!I:I,Table4[[#This Row],[BOOK No.]])</f>
        <v>0</v>
      </c>
      <c r="E317" s="1">
        <f t="array" ref="E317">IF(OR(Table4[[#This Row],[INSTALLMENT]]=1,Table4[[#This Row],[INSTALLMENT]]=2,Table4[[#This Row],[INSTALLMENT]]=3),1,0)</f>
        <v>0</v>
      </c>
      <c r="F317" s="1">
        <f>IF(OR(Table4[[#This Row],[INSTALLMENT]]=2,Table4[[#This Row],[INSTALLMENT]]=3),2,0)</f>
        <v>0</v>
      </c>
      <c r="G317" s="1">
        <f>IF(OR(Table4[[#This Row],[INSTALLMENT]]=3),3,0)</f>
        <v>0</v>
      </c>
    </row>
    <row r="318" spans="1:7">
      <c r="A318" s="1">
        <v>321</v>
      </c>
      <c r="B318" s="1" t="s">
        <v>2196</v>
      </c>
      <c r="C318" s="1" t="s">
        <v>488</v>
      </c>
      <c r="D318" s="1">
        <f>COUNTIFS('Raw Entries'!B:B,Table4[[#This Row],[Name]],'Raw Entries'!I:I,Table4[[#This Row],[BOOK No.]])</f>
        <v>0</v>
      </c>
      <c r="E318" s="1">
        <f t="array" ref="E318">IF(OR(Table4[[#This Row],[INSTALLMENT]]=1,Table4[[#This Row],[INSTALLMENT]]=2,Table4[[#This Row],[INSTALLMENT]]=3),1,0)</f>
        <v>0</v>
      </c>
      <c r="F318" s="1">
        <f>IF(OR(Table4[[#This Row],[INSTALLMENT]]=2,Table4[[#This Row],[INSTALLMENT]]=3),2,0)</f>
        <v>0</v>
      </c>
      <c r="G318" s="1">
        <f>IF(OR(Table4[[#This Row],[INSTALLMENT]]=3),3,0)</f>
        <v>0</v>
      </c>
    </row>
    <row r="319" spans="1:7">
      <c r="A319" s="1">
        <v>322</v>
      </c>
      <c r="B319" s="1" t="s">
        <v>489</v>
      </c>
      <c r="C319" s="1" t="s">
        <v>488</v>
      </c>
      <c r="D319" s="1">
        <f>COUNTIFS('Raw Entries'!B:B,Table4[[#This Row],[Name]],'Raw Entries'!I:I,Table4[[#This Row],[BOOK No.]])</f>
        <v>1</v>
      </c>
      <c r="E319" s="1">
        <f t="array" ref="E319">IF(OR(Table4[[#This Row],[INSTALLMENT]]=1,Table4[[#This Row],[INSTALLMENT]]=2,Table4[[#This Row],[INSTALLMENT]]=3),1,0)</f>
        <v>1</v>
      </c>
      <c r="F319" s="1">
        <f>IF(OR(Table4[[#This Row],[INSTALLMENT]]=2,Table4[[#This Row],[INSTALLMENT]]=3),2,0)</f>
        <v>0</v>
      </c>
      <c r="G319" s="1">
        <f>IF(OR(Table4[[#This Row],[INSTALLMENT]]=3),3,0)</f>
        <v>0</v>
      </c>
    </row>
    <row r="320" spans="1:7">
      <c r="A320" s="1">
        <v>323</v>
      </c>
      <c r="B320" s="1" t="s">
        <v>2197</v>
      </c>
      <c r="C320" s="1" t="s">
        <v>488</v>
      </c>
      <c r="D320" s="1">
        <f>COUNTIFS('Raw Entries'!B:B,Table4[[#This Row],[Name]],'Raw Entries'!I:I,Table4[[#This Row],[BOOK No.]])</f>
        <v>0</v>
      </c>
      <c r="E320" s="1">
        <f t="array" ref="E320">IF(OR(Table4[[#This Row],[INSTALLMENT]]=1,Table4[[#This Row],[INSTALLMENT]]=2,Table4[[#This Row],[INSTALLMENT]]=3),1,0)</f>
        <v>0</v>
      </c>
      <c r="F320" s="1">
        <f>IF(OR(Table4[[#This Row],[INSTALLMENT]]=2,Table4[[#This Row],[INSTALLMENT]]=3),2,0)</f>
        <v>0</v>
      </c>
      <c r="G320" s="1">
        <f>IF(OR(Table4[[#This Row],[INSTALLMENT]]=3),3,0)</f>
        <v>0</v>
      </c>
    </row>
    <row r="321" spans="1:7">
      <c r="A321" s="1">
        <v>324</v>
      </c>
      <c r="B321" s="1" t="s">
        <v>2198</v>
      </c>
      <c r="C321" s="1" t="s">
        <v>488</v>
      </c>
      <c r="D321" s="1">
        <f>COUNTIFS('Raw Entries'!B:B,Table4[[#This Row],[Name]],'Raw Entries'!I:I,Table4[[#This Row],[BOOK No.]])</f>
        <v>0</v>
      </c>
      <c r="E321" s="1">
        <f t="array" ref="E321">IF(OR(Table4[[#This Row],[INSTALLMENT]]=1,Table4[[#This Row],[INSTALLMENT]]=2,Table4[[#This Row],[INSTALLMENT]]=3),1,0)</f>
        <v>0</v>
      </c>
      <c r="F321" s="1">
        <f>IF(OR(Table4[[#This Row],[INSTALLMENT]]=2,Table4[[#This Row],[INSTALLMENT]]=3),2,0)</f>
        <v>0</v>
      </c>
      <c r="G321" s="1">
        <f>IF(OR(Table4[[#This Row],[INSTALLMENT]]=3),3,0)</f>
        <v>0</v>
      </c>
    </row>
    <row r="322" spans="1:7">
      <c r="A322" s="1">
        <v>325</v>
      </c>
      <c r="B322" s="1" t="s">
        <v>495</v>
      </c>
      <c r="C322" s="1" t="s">
        <v>488</v>
      </c>
      <c r="D322" s="1">
        <f>COUNTIFS('Raw Entries'!B:B,Table4[[#This Row],[Name]],'Raw Entries'!I:I,Table4[[#This Row],[BOOK No.]])</f>
        <v>1</v>
      </c>
      <c r="E322" s="1">
        <f t="array" ref="E322">IF(OR(Table4[[#This Row],[INSTALLMENT]]=1,Table4[[#This Row],[INSTALLMENT]]=2,Table4[[#This Row],[INSTALLMENT]]=3),1,0)</f>
        <v>1</v>
      </c>
      <c r="F322" s="1">
        <f>IF(OR(Table4[[#This Row],[INSTALLMENT]]=2,Table4[[#This Row],[INSTALLMENT]]=3),2,0)</f>
        <v>0</v>
      </c>
      <c r="G322" s="1">
        <f>IF(OR(Table4[[#This Row],[INSTALLMENT]]=3),3,0)</f>
        <v>0</v>
      </c>
    </row>
    <row r="323" spans="1:7">
      <c r="A323" s="1">
        <v>326</v>
      </c>
      <c r="B323" s="1" t="s">
        <v>2199</v>
      </c>
      <c r="C323" s="1" t="s">
        <v>488</v>
      </c>
      <c r="D323" s="1">
        <f>COUNTIFS('Raw Entries'!B:B,Table4[[#This Row],[Name]],'Raw Entries'!I:I,Table4[[#This Row],[BOOK No.]])</f>
        <v>0</v>
      </c>
      <c r="E323" s="1">
        <f t="array" ref="E323">IF(OR(Table4[[#This Row],[INSTALLMENT]]=1,Table4[[#This Row],[INSTALLMENT]]=2,Table4[[#This Row],[INSTALLMENT]]=3),1,0)</f>
        <v>0</v>
      </c>
      <c r="F323" s="1">
        <f>IF(OR(Table4[[#This Row],[INSTALLMENT]]=2,Table4[[#This Row],[INSTALLMENT]]=3),2,0)</f>
        <v>0</v>
      </c>
      <c r="G323" s="1">
        <f>IF(OR(Table4[[#This Row],[INSTALLMENT]]=3),3,0)</f>
        <v>0</v>
      </c>
    </row>
    <row r="324" spans="1:7">
      <c r="A324" s="1">
        <v>327</v>
      </c>
      <c r="B324" s="1" t="s">
        <v>491</v>
      </c>
      <c r="C324" s="1" t="s">
        <v>488</v>
      </c>
      <c r="D324" s="1">
        <f>COUNTIFS('Raw Entries'!B:B,Table4[[#This Row],[Name]],'Raw Entries'!I:I,Table4[[#This Row],[BOOK No.]])</f>
        <v>3</v>
      </c>
      <c r="E324" s="1">
        <f t="array" ref="E324">IF(OR(Table4[[#This Row],[INSTALLMENT]]=1,Table4[[#This Row],[INSTALLMENT]]=2,Table4[[#This Row],[INSTALLMENT]]=3),1,0)</f>
        <v>1</v>
      </c>
      <c r="F324" s="1">
        <f>IF(OR(Table4[[#This Row],[INSTALLMENT]]=2,Table4[[#This Row],[INSTALLMENT]]=3),2,0)</f>
        <v>2</v>
      </c>
      <c r="G324" s="1">
        <f>IF(OR(Table4[[#This Row],[INSTALLMENT]]=3),3,0)</f>
        <v>3</v>
      </c>
    </row>
    <row r="325" spans="1:7">
      <c r="A325" s="1">
        <v>328</v>
      </c>
      <c r="B325" s="1" t="s">
        <v>2200</v>
      </c>
      <c r="C325" s="1" t="s">
        <v>488</v>
      </c>
      <c r="D325" s="1">
        <f>COUNTIFS('Raw Entries'!B:B,Table4[[#This Row],[Name]],'Raw Entries'!I:I,Table4[[#This Row],[BOOK No.]])</f>
        <v>0</v>
      </c>
      <c r="E325" s="1">
        <f t="array" ref="E325">IF(OR(Table4[[#This Row],[INSTALLMENT]]=1,Table4[[#This Row],[INSTALLMENT]]=2,Table4[[#This Row],[INSTALLMENT]]=3),1,0)</f>
        <v>0</v>
      </c>
      <c r="F325" s="1">
        <f>IF(OR(Table4[[#This Row],[INSTALLMENT]]=2,Table4[[#This Row],[INSTALLMENT]]=3),2,0)</f>
        <v>0</v>
      </c>
      <c r="G325" s="1">
        <f>IF(OR(Table4[[#This Row],[INSTALLMENT]]=3),3,0)</f>
        <v>0</v>
      </c>
    </row>
    <row r="326" spans="1:7">
      <c r="A326" s="1">
        <v>329</v>
      </c>
      <c r="B326" s="1" t="s">
        <v>2201</v>
      </c>
      <c r="C326" s="1" t="s">
        <v>488</v>
      </c>
      <c r="D326" s="1">
        <f>COUNTIFS('Raw Entries'!B:B,Table4[[#This Row],[Name]],'Raw Entries'!I:I,Table4[[#This Row],[BOOK No.]])</f>
        <v>0</v>
      </c>
      <c r="E326" s="1">
        <f t="array" ref="E326">IF(OR(Table4[[#This Row],[INSTALLMENT]]=1,Table4[[#This Row],[INSTALLMENT]]=2,Table4[[#This Row],[INSTALLMENT]]=3),1,0)</f>
        <v>0</v>
      </c>
      <c r="F326" s="1">
        <f>IF(OR(Table4[[#This Row],[INSTALLMENT]]=2,Table4[[#This Row],[INSTALLMENT]]=3),2,0)</f>
        <v>0</v>
      </c>
      <c r="G326" s="1">
        <f>IF(OR(Table4[[#This Row],[INSTALLMENT]]=3),3,0)</f>
        <v>0</v>
      </c>
    </row>
    <row r="327" spans="1:7">
      <c r="A327" s="1">
        <v>330</v>
      </c>
      <c r="B327" s="1" t="s">
        <v>2202</v>
      </c>
      <c r="C327" s="1" t="s">
        <v>488</v>
      </c>
      <c r="D327" s="1">
        <f>COUNTIFS('Raw Entries'!B:B,Table4[[#This Row],[Name]],'Raw Entries'!I:I,Table4[[#This Row],[BOOK No.]])</f>
        <v>0</v>
      </c>
      <c r="E327" s="1">
        <f t="array" ref="E327">IF(OR(Table4[[#This Row],[INSTALLMENT]]=1,Table4[[#This Row],[INSTALLMENT]]=2,Table4[[#This Row],[INSTALLMENT]]=3),1,0)</f>
        <v>0</v>
      </c>
      <c r="F327" s="1">
        <f>IF(OR(Table4[[#This Row],[INSTALLMENT]]=2,Table4[[#This Row],[INSTALLMENT]]=3),2,0)</f>
        <v>0</v>
      </c>
      <c r="G327" s="1">
        <f>IF(OR(Table4[[#This Row],[INSTALLMENT]]=3),3,0)</f>
        <v>0</v>
      </c>
    </row>
    <row r="328" spans="1:7">
      <c r="A328" s="1">
        <v>331</v>
      </c>
      <c r="B328" s="1" t="s">
        <v>2203</v>
      </c>
      <c r="C328" s="1" t="s">
        <v>488</v>
      </c>
      <c r="D328" s="1">
        <f>COUNTIFS('Raw Entries'!B:B,Table4[[#This Row],[Name]],'Raw Entries'!I:I,Table4[[#This Row],[BOOK No.]])</f>
        <v>0</v>
      </c>
      <c r="E328" s="1">
        <f t="array" ref="E328">IF(OR(Table4[[#This Row],[INSTALLMENT]]=1,Table4[[#This Row],[INSTALLMENT]]=2,Table4[[#This Row],[INSTALLMENT]]=3),1,0)</f>
        <v>0</v>
      </c>
      <c r="F328" s="1">
        <f>IF(OR(Table4[[#This Row],[INSTALLMENT]]=2,Table4[[#This Row],[INSTALLMENT]]=3),2,0)</f>
        <v>0</v>
      </c>
      <c r="G328" s="1">
        <f>IF(OR(Table4[[#This Row],[INSTALLMENT]]=3),3,0)</f>
        <v>0</v>
      </c>
    </row>
    <row r="329" spans="1:7">
      <c r="A329" s="1">
        <v>332</v>
      </c>
      <c r="B329" s="1" t="s">
        <v>492</v>
      </c>
      <c r="C329" s="1" t="s">
        <v>488</v>
      </c>
      <c r="D329" s="1">
        <f>COUNTIFS('Raw Entries'!B:B,Table4[[#This Row],[Name]],'Raw Entries'!I:I,Table4[[#This Row],[BOOK No.]])</f>
        <v>1</v>
      </c>
      <c r="E329" s="1">
        <f t="array" ref="E329">IF(OR(Table4[[#This Row],[INSTALLMENT]]=1,Table4[[#This Row],[INSTALLMENT]]=2,Table4[[#This Row],[INSTALLMENT]]=3),1,0)</f>
        <v>1</v>
      </c>
      <c r="F329" s="1">
        <f>IF(OR(Table4[[#This Row],[INSTALLMENT]]=2,Table4[[#This Row],[INSTALLMENT]]=3),2,0)</f>
        <v>0</v>
      </c>
      <c r="G329" s="1">
        <f>IF(OR(Table4[[#This Row],[INSTALLMENT]]=3),3,0)</f>
        <v>0</v>
      </c>
    </row>
    <row r="330" spans="1:7">
      <c r="A330" s="1">
        <v>333</v>
      </c>
      <c r="B330" s="1" t="s">
        <v>2204</v>
      </c>
      <c r="C330" s="1" t="s">
        <v>488</v>
      </c>
      <c r="D330" s="1">
        <f>COUNTIFS('Raw Entries'!B:B,Table4[[#This Row],[Name]],'Raw Entries'!I:I,Table4[[#This Row],[BOOK No.]])</f>
        <v>0</v>
      </c>
      <c r="E330" s="1">
        <f t="array" ref="E330">IF(OR(Table4[[#This Row],[INSTALLMENT]]=1,Table4[[#This Row],[INSTALLMENT]]=2,Table4[[#This Row],[INSTALLMENT]]=3),1,0)</f>
        <v>0</v>
      </c>
      <c r="F330" s="1">
        <f>IF(OR(Table4[[#This Row],[INSTALLMENT]]=2,Table4[[#This Row],[INSTALLMENT]]=3),2,0)</f>
        <v>0</v>
      </c>
      <c r="G330" s="1">
        <f>IF(OR(Table4[[#This Row],[INSTALLMENT]]=3),3,0)</f>
        <v>0</v>
      </c>
    </row>
    <row r="331" spans="1:7">
      <c r="A331" s="1">
        <v>334</v>
      </c>
      <c r="B331" s="1" t="s">
        <v>490</v>
      </c>
      <c r="C331" s="1" t="s">
        <v>488</v>
      </c>
      <c r="D331" s="1">
        <f>COUNTIFS('Raw Entries'!B:B,Table4[[#This Row],[Name]],'Raw Entries'!I:I,Table4[[#This Row],[BOOK No.]])</f>
        <v>1</v>
      </c>
      <c r="E331" s="1">
        <f t="array" ref="E331">IF(OR(Table4[[#This Row],[INSTALLMENT]]=1,Table4[[#This Row],[INSTALLMENT]]=2,Table4[[#This Row],[INSTALLMENT]]=3),1,0)</f>
        <v>1</v>
      </c>
      <c r="F331" s="1">
        <f>IF(OR(Table4[[#This Row],[INSTALLMENT]]=2,Table4[[#This Row],[INSTALLMENT]]=3),2,0)</f>
        <v>0</v>
      </c>
      <c r="G331" s="1">
        <f>IF(OR(Table4[[#This Row],[INSTALLMENT]]=3),3,0)</f>
        <v>0</v>
      </c>
    </row>
    <row r="332" spans="1:7">
      <c r="A332" s="1">
        <v>335</v>
      </c>
      <c r="B332" s="1" t="s">
        <v>2205</v>
      </c>
      <c r="C332" s="1" t="s">
        <v>488</v>
      </c>
      <c r="D332" s="1">
        <f>COUNTIFS('Raw Entries'!B:B,Table4[[#This Row],[Name]],'Raw Entries'!I:I,Table4[[#This Row],[BOOK No.]])</f>
        <v>0</v>
      </c>
      <c r="E332" s="1">
        <f t="array" ref="E332">IF(OR(Table4[[#This Row],[INSTALLMENT]]=1,Table4[[#This Row],[INSTALLMENT]]=2,Table4[[#This Row],[INSTALLMENT]]=3),1,0)</f>
        <v>0</v>
      </c>
      <c r="F332" s="1">
        <f>IF(OR(Table4[[#This Row],[INSTALLMENT]]=2,Table4[[#This Row],[INSTALLMENT]]=3),2,0)</f>
        <v>0</v>
      </c>
      <c r="G332" s="1">
        <f>IF(OR(Table4[[#This Row],[INSTALLMENT]]=3),3,0)</f>
        <v>0</v>
      </c>
    </row>
    <row r="333" spans="1:7">
      <c r="A333" s="1">
        <v>336</v>
      </c>
      <c r="B333" s="1" t="s">
        <v>2206</v>
      </c>
      <c r="C333" s="1" t="s">
        <v>488</v>
      </c>
      <c r="D333" s="1">
        <f>COUNTIFS('Raw Entries'!B:B,Table4[[#This Row],[Name]],'Raw Entries'!I:I,Table4[[#This Row],[BOOK No.]])</f>
        <v>0</v>
      </c>
      <c r="E333" s="1">
        <f t="array" ref="E333">IF(OR(Table4[[#This Row],[INSTALLMENT]]=1,Table4[[#This Row],[INSTALLMENT]]=2,Table4[[#This Row],[INSTALLMENT]]=3),1,0)</f>
        <v>0</v>
      </c>
      <c r="F333" s="1">
        <f>IF(OR(Table4[[#This Row],[INSTALLMENT]]=2,Table4[[#This Row],[INSTALLMENT]]=3),2,0)</f>
        <v>0</v>
      </c>
      <c r="G333" s="1">
        <f>IF(OR(Table4[[#This Row],[INSTALLMENT]]=3),3,0)</f>
        <v>0</v>
      </c>
    </row>
    <row r="334" spans="1:7">
      <c r="A334" s="1">
        <v>337</v>
      </c>
      <c r="B334" s="1" t="s">
        <v>2207</v>
      </c>
      <c r="C334" s="1" t="s">
        <v>488</v>
      </c>
      <c r="D334" s="1">
        <f>COUNTIFS('Raw Entries'!B:B,Table4[[#This Row],[Name]],'Raw Entries'!I:I,Table4[[#This Row],[BOOK No.]])</f>
        <v>0</v>
      </c>
      <c r="E334" s="1">
        <f t="array" ref="E334">IF(OR(Table4[[#This Row],[INSTALLMENT]]=1,Table4[[#This Row],[INSTALLMENT]]=2,Table4[[#This Row],[INSTALLMENT]]=3),1,0)</f>
        <v>0</v>
      </c>
      <c r="F334" s="1">
        <f>IF(OR(Table4[[#This Row],[INSTALLMENT]]=2,Table4[[#This Row],[INSTALLMENT]]=3),2,0)</f>
        <v>0</v>
      </c>
      <c r="G334" s="1">
        <f>IF(OR(Table4[[#This Row],[INSTALLMENT]]=3),3,0)</f>
        <v>0</v>
      </c>
    </row>
    <row r="335" spans="1:7">
      <c r="A335" s="1">
        <v>338</v>
      </c>
      <c r="B335" s="1" t="s">
        <v>494</v>
      </c>
      <c r="C335" s="1" t="s">
        <v>488</v>
      </c>
      <c r="D335" s="1">
        <f>COUNTIFS('Raw Entries'!B:B,Table4[[#This Row],[Name]],'Raw Entries'!I:I,Table4[[#This Row],[BOOK No.]])</f>
        <v>1</v>
      </c>
      <c r="E335" s="1">
        <f t="array" ref="E335">IF(OR(Table4[[#This Row],[INSTALLMENT]]=1,Table4[[#This Row],[INSTALLMENT]]=2,Table4[[#This Row],[INSTALLMENT]]=3),1,0)</f>
        <v>1</v>
      </c>
      <c r="F335" s="1">
        <f>IF(OR(Table4[[#This Row],[INSTALLMENT]]=2,Table4[[#This Row],[INSTALLMENT]]=3),2,0)</f>
        <v>0</v>
      </c>
      <c r="G335" s="1">
        <f>IF(OR(Table4[[#This Row],[INSTALLMENT]]=3),3,0)</f>
        <v>0</v>
      </c>
    </row>
    <row r="336" spans="1:7">
      <c r="A336" s="1">
        <v>339</v>
      </c>
      <c r="B336" s="1" t="s">
        <v>2208</v>
      </c>
      <c r="C336" s="1" t="s">
        <v>488</v>
      </c>
      <c r="D336" s="1">
        <f>COUNTIFS('Raw Entries'!B:B,Table4[[#This Row],[Name]],'Raw Entries'!I:I,Table4[[#This Row],[BOOK No.]])</f>
        <v>0</v>
      </c>
      <c r="E336" s="1">
        <f t="array" ref="E336">IF(OR(Table4[[#This Row],[INSTALLMENT]]=1,Table4[[#This Row],[INSTALLMENT]]=2,Table4[[#This Row],[INSTALLMENT]]=3),1,0)</f>
        <v>0</v>
      </c>
      <c r="F336" s="1">
        <f>IF(OR(Table4[[#This Row],[INSTALLMENT]]=2,Table4[[#This Row],[INSTALLMENT]]=3),2,0)</f>
        <v>0</v>
      </c>
      <c r="G336" s="1">
        <f>IF(OR(Table4[[#This Row],[INSTALLMENT]]=3),3,0)</f>
        <v>0</v>
      </c>
    </row>
    <row r="337" spans="1:7">
      <c r="A337" s="1">
        <v>340</v>
      </c>
      <c r="B337" s="1" t="s">
        <v>596</v>
      </c>
      <c r="C337" s="1" t="s">
        <v>488</v>
      </c>
      <c r="D337" s="1">
        <f>COUNTIFS('Raw Entries'!B:B,Table4[[#This Row],[Name]],'Raw Entries'!I:I,Table4[[#This Row],[BOOK No.]])</f>
        <v>3</v>
      </c>
      <c r="E337" s="1">
        <f t="array" ref="E337">IF(OR(Table4[[#This Row],[INSTALLMENT]]=1,Table4[[#This Row],[INSTALLMENT]]=2,Table4[[#This Row],[INSTALLMENT]]=3),1,0)</f>
        <v>1</v>
      </c>
      <c r="F337" s="1">
        <f>IF(OR(Table4[[#This Row],[INSTALLMENT]]=2,Table4[[#This Row],[INSTALLMENT]]=3),2,0)</f>
        <v>2</v>
      </c>
      <c r="G337" s="1">
        <f>IF(OR(Table4[[#This Row],[INSTALLMENT]]=3),3,0)</f>
        <v>3</v>
      </c>
    </row>
    <row r="338" spans="1:7">
      <c r="A338" s="1">
        <v>341</v>
      </c>
      <c r="B338" s="1" t="s">
        <v>2209</v>
      </c>
      <c r="C338" s="1" t="s">
        <v>488</v>
      </c>
      <c r="D338" s="1">
        <f>COUNTIFS('Raw Entries'!B:B,Table4[[#This Row],[Name]],'Raw Entries'!I:I,Table4[[#This Row],[BOOK No.]])</f>
        <v>0</v>
      </c>
      <c r="E338" s="1">
        <f t="array" ref="E338">IF(OR(Table4[[#This Row],[INSTALLMENT]]=1,Table4[[#This Row],[INSTALLMENT]]=2,Table4[[#This Row],[INSTALLMENT]]=3),1,0)</f>
        <v>0</v>
      </c>
      <c r="F338" s="1">
        <f>IF(OR(Table4[[#This Row],[INSTALLMENT]]=2,Table4[[#This Row],[INSTALLMENT]]=3),2,0)</f>
        <v>0</v>
      </c>
      <c r="G338" s="1">
        <f>IF(OR(Table4[[#This Row],[INSTALLMENT]]=3),3,0)</f>
        <v>0</v>
      </c>
    </row>
    <row r="339" spans="1:7">
      <c r="A339" s="1">
        <v>342</v>
      </c>
      <c r="B339" s="1" t="s">
        <v>2210</v>
      </c>
      <c r="C339" s="1" t="s">
        <v>488</v>
      </c>
      <c r="D339" s="1">
        <f>COUNTIFS('Raw Entries'!B:B,Table4[[#This Row],[Name]],'Raw Entries'!I:I,Table4[[#This Row],[BOOK No.]])</f>
        <v>0</v>
      </c>
      <c r="E339" s="1">
        <f t="array" ref="E339">IF(OR(Table4[[#This Row],[INSTALLMENT]]=1,Table4[[#This Row],[INSTALLMENT]]=2,Table4[[#This Row],[INSTALLMENT]]=3),1,0)</f>
        <v>0</v>
      </c>
      <c r="F339" s="1">
        <f>IF(OR(Table4[[#This Row],[INSTALLMENT]]=2,Table4[[#This Row],[INSTALLMENT]]=3),2,0)</f>
        <v>0</v>
      </c>
      <c r="G339" s="1">
        <f>IF(OR(Table4[[#This Row],[INSTALLMENT]]=3),3,0)</f>
        <v>0</v>
      </c>
    </row>
    <row r="340" spans="1:7">
      <c r="A340" s="1">
        <v>343</v>
      </c>
      <c r="B340" s="1" t="s">
        <v>611</v>
      </c>
      <c r="C340" s="1" t="s">
        <v>488</v>
      </c>
      <c r="D340" s="1">
        <f>COUNTIFS('Raw Entries'!B:B,Table4[[#This Row],[Name]],'Raw Entries'!I:I,Table4[[#This Row],[BOOK No.]])</f>
        <v>3</v>
      </c>
      <c r="E340" s="1">
        <f t="array" ref="E340">IF(OR(Table4[[#This Row],[INSTALLMENT]]=1,Table4[[#This Row],[INSTALLMENT]]=2,Table4[[#This Row],[INSTALLMENT]]=3),1,0)</f>
        <v>1</v>
      </c>
      <c r="F340" s="1">
        <f>IF(OR(Table4[[#This Row],[INSTALLMENT]]=2,Table4[[#This Row],[INSTALLMENT]]=3),2,0)</f>
        <v>2</v>
      </c>
      <c r="G340" s="1">
        <f>IF(OR(Table4[[#This Row],[INSTALLMENT]]=3),3,0)</f>
        <v>3</v>
      </c>
    </row>
    <row r="341" spans="1:7">
      <c r="A341" s="1">
        <v>344</v>
      </c>
      <c r="B341" s="1" t="s">
        <v>2211</v>
      </c>
      <c r="C341" s="1" t="s">
        <v>496</v>
      </c>
      <c r="D341" s="1">
        <f>COUNTIFS('Raw Entries'!B:B,Table4[[#This Row],[Name]],'Raw Entries'!I:I,Table4[[#This Row],[BOOK No.]])</f>
        <v>0</v>
      </c>
      <c r="E341" s="1">
        <f t="array" ref="E341">IF(OR(Table4[[#This Row],[INSTALLMENT]]=1,Table4[[#This Row],[INSTALLMENT]]=2,Table4[[#This Row],[INSTALLMENT]]=3),1,0)</f>
        <v>0</v>
      </c>
      <c r="F341" s="1">
        <f>IF(OR(Table4[[#This Row],[INSTALLMENT]]=2,Table4[[#This Row],[INSTALLMENT]]=3),2,0)</f>
        <v>0</v>
      </c>
      <c r="G341" s="1">
        <f>IF(OR(Table4[[#This Row],[INSTALLMENT]]=3),3,0)</f>
        <v>0</v>
      </c>
    </row>
    <row r="342" spans="1:7">
      <c r="A342" s="1">
        <v>345</v>
      </c>
      <c r="B342" s="1" t="s">
        <v>2212</v>
      </c>
      <c r="C342" s="1" t="s">
        <v>496</v>
      </c>
      <c r="D342" s="1">
        <f>COUNTIFS('Raw Entries'!B:B,Table4[[#This Row],[Name]],'Raw Entries'!I:I,Table4[[#This Row],[BOOK No.]])</f>
        <v>0</v>
      </c>
      <c r="E342" s="1">
        <f t="array" ref="E342">IF(OR(Table4[[#This Row],[INSTALLMENT]]=1,Table4[[#This Row],[INSTALLMENT]]=2,Table4[[#This Row],[INSTALLMENT]]=3),1,0)</f>
        <v>0</v>
      </c>
      <c r="F342" s="1">
        <f>IF(OR(Table4[[#This Row],[INSTALLMENT]]=2,Table4[[#This Row],[INSTALLMENT]]=3),2,0)</f>
        <v>0</v>
      </c>
      <c r="G342" s="1">
        <f>IF(OR(Table4[[#This Row],[INSTALLMENT]]=3),3,0)</f>
        <v>0</v>
      </c>
    </row>
    <row r="343" spans="1:7">
      <c r="A343" s="1">
        <v>346</v>
      </c>
      <c r="B343" s="1" t="s">
        <v>2213</v>
      </c>
      <c r="C343" s="1" t="s">
        <v>496</v>
      </c>
      <c r="D343" s="1">
        <f>COUNTIFS('Raw Entries'!B:B,Table4[[#This Row],[Name]],'Raw Entries'!I:I,Table4[[#This Row],[BOOK No.]])</f>
        <v>0</v>
      </c>
      <c r="E343" s="1">
        <f t="array" ref="E343">IF(OR(Table4[[#This Row],[INSTALLMENT]]=1,Table4[[#This Row],[INSTALLMENT]]=2,Table4[[#This Row],[INSTALLMENT]]=3),1,0)</f>
        <v>0</v>
      </c>
      <c r="F343" s="1">
        <f>IF(OR(Table4[[#This Row],[INSTALLMENT]]=2,Table4[[#This Row],[INSTALLMENT]]=3),2,0)</f>
        <v>0</v>
      </c>
      <c r="G343" s="1">
        <f>IF(OR(Table4[[#This Row],[INSTALLMENT]]=3),3,0)</f>
        <v>0</v>
      </c>
    </row>
    <row r="344" spans="1:7">
      <c r="A344" s="1">
        <v>347</v>
      </c>
      <c r="B344" s="1" t="s">
        <v>201</v>
      </c>
      <c r="C344" s="1" t="s">
        <v>496</v>
      </c>
      <c r="D344" s="1">
        <f>COUNTIFS('Raw Entries'!B:B,Table4[[#This Row],[Name]],'Raw Entries'!I:I,Table4[[#This Row],[BOOK No.]])</f>
        <v>0</v>
      </c>
      <c r="E344" s="1">
        <f t="array" ref="E344">IF(OR(Table4[[#This Row],[INSTALLMENT]]=1,Table4[[#This Row],[INSTALLMENT]]=2,Table4[[#This Row],[INSTALLMENT]]=3),1,0)</f>
        <v>0</v>
      </c>
      <c r="F344" s="1">
        <f>IF(OR(Table4[[#This Row],[INSTALLMENT]]=2,Table4[[#This Row],[INSTALLMENT]]=3),2,0)</f>
        <v>0</v>
      </c>
      <c r="G344" s="1">
        <f>IF(OR(Table4[[#This Row],[INSTALLMENT]]=3),3,0)</f>
        <v>0</v>
      </c>
    </row>
    <row r="345" spans="1:7">
      <c r="A345" s="1">
        <v>348</v>
      </c>
      <c r="B345" s="1" t="s">
        <v>661</v>
      </c>
      <c r="C345" s="1" t="s">
        <v>496</v>
      </c>
      <c r="D345" s="1">
        <f>COUNTIFS('Raw Entries'!B:B,Table4[[#This Row],[Name]],'Raw Entries'!I:I,Table4[[#This Row],[BOOK No.]])</f>
        <v>1</v>
      </c>
      <c r="E345" s="1">
        <f t="array" ref="E345">IF(OR(Table4[[#This Row],[INSTALLMENT]]=1,Table4[[#This Row],[INSTALLMENT]]=2,Table4[[#This Row],[INSTALLMENT]]=3),1,0)</f>
        <v>1</v>
      </c>
      <c r="F345" s="1">
        <f>IF(OR(Table4[[#This Row],[INSTALLMENT]]=2,Table4[[#This Row],[INSTALLMENT]]=3),2,0)</f>
        <v>0</v>
      </c>
      <c r="G345" s="1">
        <f>IF(OR(Table4[[#This Row],[INSTALLMENT]]=3),3,0)</f>
        <v>0</v>
      </c>
    </row>
    <row r="346" spans="1:7">
      <c r="A346" s="1">
        <v>349</v>
      </c>
      <c r="B346" s="1" t="s">
        <v>2214</v>
      </c>
      <c r="C346" s="1" t="s">
        <v>496</v>
      </c>
      <c r="D346" s="1">
        <f>COUNTIFS('Raw Entries'!B:B,Table4[[#This Row],[Name]],'Raw Entries'!I:I,Table4[[#This Row],[BOOK No.]])</f>
        <v>0</v>
      </c>
      <c r="E346" s="1">
        <f t="array" ref="E346">IF(OR(Table4[[#This Row],[INSTALLMENT]]=1,Table4[[#This Row],[INSTALLMENT]]=2,Table4[[#This Row],[INSTALLMENT]]=3),1,0)</f>
        <v>0</v>
      </c>
      <c r="F346" s="1">
        <f>IF(OR(Table4[[#This Row],[INSTALLMENT]]=2,Table4[[#This Row],[INSTALLMENT]]=3),2,0)</f>
        <v>0</v>
      </c>
      <c r="G346" s="1">
        <f>IF(OR(Table4[[#This Row],[INSTALLMENT]]=3),3,0)</f>
        <v>0</v>
      </c>
    </row>
    <row r="347" spans="1:7">
      <c r="A347" s="1">
        <v>350</v>
      </c>
      <c r="B347" s="1" t="s">
        <v>2215</v>
      </c>
      <c r="C347" s="1" t="s">
        <v>496</v>
      </c>
      <c r="D347" s="1">
        <f>COUNTIFS('Raw Entries'!B:B,Table4[[#This Row],[Name]],'Raw Entries'!I:I,Table4[[#This Row],[BOOK No.]])</f>
        <v>0</v>
      </c>
      <c r="E347" s="1">
        <f t="array" ref="E347">IF(OR(Table4[[#This Row],[INSTALLMENT]]=1,Table4[[#This Row],[INSTALLMENT]]=2,Table4[[#This Row],[INSTALLMENT]]=3),1,0)</f>
        <v>0</v>
      </c>
      <c r="F347" s="1">
        <f>IF(OR(Table4[[#This Row],[INSTALLMENT]]=2,Table4[[#This Row],[INSTALLMENT]]=3),2,0)</f>
        <v>0</v>
      </c>
      <c r="G347" s="1">
        <f>IF(OR(Table4[[#This Row],[INSTALLMENT]]=3),3,0)</f>
        <v>0</v>
      </c>
    </row>
    <row r="348" spans="1:7">
      <c r="A348" s="1">
        <v>351</v>
      </c>
      <c r="B348" s="1" t="s">
        <v>2216</v>
      </c>
      <c r="C348" s="1" t="s">
        <v>496</v>
      </c>
      <c r="D348" s="1">
        <f>COUNTIFS('Raw Entries'!B:B,Table4[[#This Row],[Name]],'Raw Entries'!I:I,Table4[[#This Row],[BOOK No.]])</f>
        <v>0</v>
      </c>
      <c r="E348" s="1">
        <f t="array" ref="E348">IF(OR(Table4[[#This Row],[INSTALLMENT]]=1,Table4[[#This Row],[INSTALLMENT]]=2,Table4[[#This Row],[INSTALLMENT]]=3),1,0)</f>
        <v>0</v>
      </c>
      <c r="F348" s="1">
        <f>IF(OR(Table4[[#This Row],[INSTALLMENT]]=2,Table4[[#This Row],[INSTALLMENT]]=3),2,0)</f>
        <v>0</v>
      </c>
      <c r="G348" s="1">
        <f>IF(OR(Table4[[#This Row],[INSTALLMENT]]=3),3,0)</f>
        <v>0</v>
      </c>
    </row>
    <row r="349" spans="1:7">
      <c r="A349" s="1">
        <v>352</v>
      </c>
      <c r="B349" s="1" t="s">
        <v>2217</v>
      </c>
      <c r="C349" s="1" t="s">
        <v>496</v>
      </c>
      <c r="D349" s="1">
        <f>COUNTIFS('Raw Entries'!B:B,Table4[[#This Row],[Name]],'Raw Entries'!I:I,Table4[[#This Row],[BOOK No.]])</f>
        <v>0</v>
      </c>
      <c r="E349" s="1">
        <f t="array" ref="E349">IF(OR(Table4[[#This Row],[INSTALLMENT]]=1,Table4[[#This Row],[INSTALLMENT]]=2,Table4[[#This Row],[INSTALLMENT]]=3),1,0)</f>
        <v>0</v>
      </c>
      <c r="F349" s="1">
        <f>IF(OR(Table4[[#This Row],[INSTALLMENT]]=2,Table4[[#This Row],[INSTALLMENT]]=3),2,0)</f>
        <v>0</v>
      </c>
      <c r="G349" s="1">
        <f>IF(OR(Table4[[#This Row],[INSTALLMENT]]=3),3,0)</f>
        <v>0</v>
      </c>
    </row>
    <row r="350" spans="1:7">
      <c r="A350" s="1">
        <v>353</v>
      </c>
      <c r="B350" s="1" t="s">
        <v>1853</v>
      </c>
      <c r="C350" s="1" t="s">
        <v>496</v>
      </c>
      <c r="D350" s="1">
        <f>COUNTIFS('Raw Entries'!B:B,Table4[[#This Row],[Name]],'Raw Entries'!I:I,Table4[[#This Row],[BOOK No.]])</f>
        <v>1</v>
      </c>
      <c r="E350" s="1">
        <f t="array" ref="E350">IF(OR(Table4[[#This Row],[INSTALLMENT]]=1,Table4[[#This Row],[INSTALLMENT]]=2,Table4[[#This Row],[INSTALLMENT]]=3),1,0)</f>
        <v>1</v>
      </c>
      <c r="F350" s="1">
        <f>IF(OR(Table4[[#This Row],[INSTALLMENT]]=2,Table4[[#This Row],[INSTALLMENT]]=3),2,0)</f>
        <v>0</v>
      </c>
      <c r="G350" s="1">
        <f>IF(OR(Table4[[#This Row],[INSTALLMENT]]=3),3,0)</f>
        <v>0</v>
      </c>
    </row>
    <row r="351" spans="1:7">
      <c r="A351" s="1">
        <v>354</v>
      </c>
      <c r="B351" s="1" t="s">
        <v>2218</v>
      </c>
      <c r="C351" s="1" t="s">
        <v>496</v>
      </c>
      <c r="D351" s="1">
        <f>COUNTIFS('Raw Entries'!B:B,Table4[[#This Row],[Name]],'Raw Entries'!I:I,Table4[[#This Row],[BOOK No.]])</f>
        <v>0</v>
      </c>
      <c r="E351" s="1">
        <f t="array" ref="E351">IF(OR(Table4[[#This Row],[INSTALLMENT]]=1,Table4[[#This Row],[INSTALLMENT]]=2,Table4[[#This Row],[INSTALLMENT]]=3),1,0)</f>
        <v>0</v>
      </c>
      <c r="F351" s="1">
        <f>IF(OR(Table4[[#This Row],[INSTALLMENT]]=2,Table4[[#This Row],[INSTALLMENT]]=3),2,0)</f>
        <v>0</v>
      </c>
      <c r="G351" s="1">
        <f>IF(OR(Table4[[#This Row],[INSTALLMENT]]=3),3,0)</f>
        <v>0</v>
      </c>
    </row>
    <row r="352" spans="1:7">
      <c r="A352" s="1">
        <v>355</v>
      </c>
      <c r="B352" s="1" t="s">
        <v>2219</v>
      </c>
      <c r="C352" s="1" t="s">
        <v>496</v>
      </c>
      <c r="D352" s="1">
        <f>COUNTIFS('Raw Entries'!B:B,Table4[[#This Row],[Name]],'Raw Entries'!I:I,Table4[[#This Row],[BOOK No.]])</f>
        <v>0</v>
      </c>
      <c r="E352" s="1">
        <f t="array" ref="E352">IF(OR(Table4[[#This Row],[INSTALLMENT]]=1,Table4[[#This Row],[INSTALLMENT]]=2,Table4[[#This Row],[INSTALLMENT]]=3),1,0)</f>
        <v>0</v>
      </c>
      <c r="F352" s="1">
        <f>IF(OR(Table4[[#This Row],[INSTALLMENT]]=2,Table4[[#This Row],[INSTALLMENT]]=3),2,0)</f>
        <v>0</v>
      </c>
      <c r="G352" s="1">
        <f>IF(OR(Table4[[#This Row],[INSTALLMENT]]=3),3,0)</f>
        <v>0</v>
      </c>
    </row>
    <row r="353" spans="1:7">
      <c r="A353" s="1">
        <v>356</v>
      </c>
      <c r="B353" s="1" t="s">
        <v>2220</v>
      </c>
      <c r="C353" s="1" t="s">
        <v>496</v>
      </c>
      <c r="D353" s="1">
        <f>COUNTIFS('Raw Entries'!B:B,Table4[[#This Row],[Name]],'Raw Entries'!I:I,Table4[[#This Row],[BOOK No.]])</f>
        <v>0</v>
      </c>
      <c r="E353" s="1">
        <f t="array" ref="E353">IF(OR(Table4[[#This Row],[INSTALLMENT]]=1,Table4[[#This Row],[INSTALLMENT]]=2,Table4[[#This Row],[INSTALLMENT]]=3),1,0)</f>
        <v>0</v>
      </c>
      <c r="F353" s="1">
        <f>IF(OR(Table4[[#This Row],[INSTALLMENT]]=2,Table4[[#This Row],[INSTALLMENT]]=3),2,0)</f>
        <v>0</v>
      </c>
      <c r="G353" s="1">
        <f>IF(OR(Table4[[#This Row],[INSTALLMENT]]=3),3,0)</f>
        <v>0</v>
      </c>
    </row>
    <row r="354" spans="1:7">
      <c r="A354" s="1">
        <v>357</v>
      </c>
      <c r="B354" s="1" t="s">
        <v>2221</v>
      </c>
      <c r="C354" s="1" t="s">
        <v>496</v>
      </c>
      <c r="D354" s="1">
        <f>COUNTIFS('Raw Entries'!B:B,Table4[[#This Row],[Name]],'Raw Entries'!I:I,Table4[[#This Row],[BOOK No.]])</f>
        <v>0</v>
      </c>
      <c r="E354" s="1">
        <f t="array" ref="E354">IF(OR(Table4[[#This Row],[INSTALLMENT]]=1,Table4[[#This Row],[INSTALLMENT]]=2,Table4[[#This Row],[INSTALLMENT]]=3),1,0)</f>
        <v>0</v>
      </c>
      <c r="F354" s="1">
        <f>IF(OR(Table4[[#This Row],[INSTALLMENT]]=2,Table4[[#This Row],[INSTALLMENT]]=3),2,0)</f>
        <v>0</v>
      </c>
      <c r="G354" s="1">
        <f>IF(OR(Table4[[#This Row],[INSTALLMENT]]=3),3,0)</f>
        <v>0</v>
      </c>
    </row>
    <row r="355" spans="1:7">
      <c r="A355" s="1">
        <v>358</v>
      </c>
      <c r="B355" s="1" t="s">
        <v>2222</v>
      </c>
      <c r="C355" s="1" t="s">
        <v>496</v>
      </c>
      <c r="D355" s="1">
        <f>COUNTIFS('Raw Entries'!B:B,Table4[[#This Row],[Name]],'Raw Entries'!I:I,Table4[[#This Row],[BOOK No.]])</f>
        <v>0</v>
      </c>
      <c r="E355" s="1">
        <f t="array" ref="E355">IF(OR(Table4[[#This Row],[INSTALLMENT]]=1,Table4[[#This Row],[INSTALLMENT]]=2,Table4[[#This Row],[INSTALLMENT]]=3),1,0)</f>
        <v>0</v>
      </c>
      <c r="F355" s="1">
        <f>IF(OR(Table4[[#This Row],[INSTALLMENT]]=2,Table4[[#This Row],[INSTALLMENT]]=3),2,0)</f>
        <v>0</v>
      </c>
      <c r="G355" s="1">
        <f>IF(OR(Table4[[#This Row],[INSTALLMENT]]=3),3,0)</f>
        <v>0</v>
      </c>
    </row>
    <row r="356" spans="1:7">
      <c r="A356" s="1">
        <v>359</v>
      </c>
      <c r="B356" s="1" t="s">
        <v>2223</v>
      </c>
      <c r="C356" s="1" t="s">
        <v>496</v>
      </c>
      <c r="D356" s="1">
        <f>COUNTIFS('Raw Entries'!B:B,Table4[[#This Row],[Name]],'Raw Entries'!I:I,Table4[[#This Row],[BOOK No.]])</f>
        <v>0</v>
      </c>
      <c r="E356" s="1">
        <f t="array" ref="E356">IF(OR(Table4[[#This Row],[INSTALLMENT]]=1,Table4[[#This Row],[INSTALLMENT]]=2,Table4[[#This Row],[INSTALLMENT]]=3),1,0)</f>
        <v>0</v>
      </c>
      <c r="F356" s="1">
        <f>IF(OR(Table4[[#This Row],[INSTALLMENT]]=2,Table4[[#This Row],[INSTALLMENT]]=3),2,0)</f>
        <v>0</v>
      </c>
      <c r="G356" s="1">
        <f>IF(OR(Table4[[#This Row],[INSTALLMENT]]=3),3,0)</f>
        <v>0</v>
      </c>
    </row>
    <row r="357" spans="1:7">
      <c r="A357" s="1">
        <v>360</v>
      </c>
      <c r="B357" s="1" t="s">
        <v>2224</v>
      </c>
      <c r="C357" s="1" t="s">
        <v>496</v>
      </c>
      <c r="D357" s="1">
        <f>COUNTIFS('Raw Entries'!B:B,Table4[[#This Row],[Name]],'Raw Entries'!I:I,Table4[[#This Row],[BOOK No.]])</f>
        <v>0</v>
      </c>
      <c r="E357" s="1">
        <f t="array" ref="E357">IF(OR(Table4[[#This Row],[INSTALLMENT]]=1,Table4[[#This Row],[INSTALLMENT]]=2,Table4[[#This Row],[INSTALLMENT]]=3),1,0)</f>
        <v>0</v>
      </c>
      <c r="F357" s="1">
        <f>IF(OR(Table4[[#This Row],[INSTALLMENT]]=2,Table4[[#This Row],[INSTALLMENT]]=3),2,0)</f>
        <v>0</v>
      </c>
      <c r="G357" s="1">
        <f>IF(OR(Table4[[#This Row],[INSTALLMENT]]=3),3,0)</f>
        <v>0</v>
      </c>
    </row>
    <row r="358" spans="1:7">
      <c r="A358" s="1">
        <v>361</v>
      </c>
      <c r="B358" s="1" t="s">
        <v>2225</v>
      </c>
      <c r="C358" s="1" t="s">
        <v>496</v>
      </c>
      <c r="D358" s="1">
        <f>COUNTIFS('Raw Entries'!B:B,Table4[[#This Row],[Name]],'Raw Entries'!I:I,Table4[[#This Row],[BOOK No.]])</f>
        <v>0</v>
      </c>
      <c r="E358" s="1">
        <f t="array" ref="E358">IF(OR(Table4[[#This Row],[INSTALLMENT]]=1,Table4[[#This Row],[INSTALLMENT]]=2,Table4[[#This Row],[INSTALLMENT]]=3),1,0)</f>
        <v>0</v>
      </c>
      <c r="F358" s="1">
        <f>IF(OR(Table4[[#This Row],[INSTALLMENT]]=2,Table4[[#This Row],[INSTALLMENT]]=3),2,0)</f>
        <v>0</v>
      </c>
      <c r="G358" s="1">
        <f>IF(OR(Table4[[#This Row],[INSTALLMENT]]=3),3,0)</f>
        <v>0</v>
      </c>
    </row>
    <row r="359" spans="1:7">
      <c r="A359" s="1">
        <v>362</v>
      </c>
      <c r="B359" s="1" t="s">
        <v>2226</v>
      </c>
      <c r="C359" s="1" t="s">
        <v>496</v>
      </c>
      <c r="D359" s="1">
        <f>COUNTIFS('Raw Entries'!B:B,Table4[[#This Row],[Name]],'Raw Entries'!I:I,Table4[[#This Row],[BOOK No.]])</f>
        <v>0</v>
      </c>
      <c r="E359" s="1">
        <f t="array" ref="E359">IF(OR(Table4[[#This Row],[INSTALLMENT]]=1,Table4[[#This Row],[INSTALLMENT]]=2,Table4[[#This Row],[INSTALLMENT]]=3),1,0)</f>
        <v>0</v>
      </c>
      <c r="F359" s="1">
        <f>IF(OR(Table4[[#This Row],[INSTALLMENT]]=2,Table4[[#This Row],[INSTALLMENT]]=3),2,0)</f>
        <v>0</v>
      </c>
      <c r="G359" s="1">
        <f>IF(OR(Table4[[#This Row],[INSTALLMENT]]=3),3,0)</f>
        <v>0</v>
      </c>
    </row>
    <row r="360" spans="1:7">
      <c r="A360" s="1">
        <v>363</v>
      </c>
      <c r="B360" s="1" t="s">
        <v>2227</v>
      </c>
      <c r="C360" s="1" t="s">
        <v>496</v>
      </c>
      <c r="D360" s="1">
        <f>COUNTIFS('Raw Entries'!B:B,Table4[[#This Row],[Name]],'Raw Entries'!I:I,Table4[[#This Row],[BOOK No.]])</f>
        <v>0</v>
      </c>
      <c r="E360" s="1">
        <f t="array" ref="E360">IF(OR(Table4[[#This Row],[INSTALLMENT]]=1,Table4[[#This Row],[INSTALLMENT]]=2,Table4[[#This Row],[INSTALLMENT]]=3),1,0)</f>
        <v>0</v>
      </c>
      <c r="F360" s="1">
        <f>IF(OR(Table4[[#This Row],[INSTALLMENT]]=2,Table4[[#This Row],[INSTALLMENT]]=3),2,0)</f>
        <v>0</v>
      </c>
      <c r="G360" s="1">
        <f>IF(OR(Table4[[#This Row],[INSTALLMENT]]=3),3,0)</f>
        <v>0</v>
      </c>
    </row>
    <row r="361" spans="1:7">
      <c r="A361" s="1">
        <v>364</v>
      </c>
      <c r="B361" s="1" t="s">
        <v>2228</v>
      </c>
      <c r="C361" s="1" t="s">
        <v>496</v>
      </c>
      <c r="D361" s="1">
        <f>COUNTIFS('Raw Entries'!B:B,Table4[[#This Row],[Name]],'Raw Entries'!I:I,Table4[[#This Row],[BOOK No.]])</f>
        <v>0</v>
      </c>
      <c r="E361" s="1">
        <f t="array" ref="E361">IF(OR(Table4[[#This Row],[INSTALLMENT]]=1,Table4[[#This Row],[INSTALLMENT]]=2,Table4[[#This Row],[INSTALLMENT]]=3),1,0)</f>
        <v>0</v>
      </c>
      <c r="F361" s="1">
        <f>IF(OR(Table4[[#This Row],[INSTALLMENT]]=2,Table4[[#This Row],[INSTALLMENT]]=3),2,0)</f>
        <v>0</v>
      </c>
      <c r="G361" s="1">
        <f>IF(OR(Table4[[#This Row],[INSTALLMENT]]=3),3,0)</f>
        <v>0</v>
      </c>
    </row>
    <row r="362" spans="1:7">
      <c r="A362" s="1">
        <v>365</v>
      </c>
      <c r="B362" s="1" t="s">
        <v>1902</v>
      </c>
      <c r="C362" s="1" t="s">
        <v>496</v>
      </c>
      <c r="D362" s="1">
        <f>COUNTIFS('Raw Entries'!B:B,Table4[[#This Row],[Name]],'Raw Entries'!I:I,Table4[[#This Row],[BOOK No.]])</f>
        <v>1</v>
      </c>
      <c r="E362" s="1">
        <f t="array" ref="E362">IF(OR(Table4[[#This Row],[INSTALLMENT]]=1,Table4[[#This Row],[INSTALLMENT]]=2,Table4[[#This Row],[INSTALLMENT]]=3),1,0)</f>
        <v>1</v>
      </c>
      <c r="F362" s="1">
        <f>IF(OR(Table4[[#This Row],[INSTALLMENT]]=2,Table4[[#This Row],[INSTALLMENT]]=3),2,0)</f>
        <v>0</v>
      </c>
      <c r="G362" s="1">
        <f>IF(OR(Table4[[#This Row],[INSTALLMENT]]=3),3,0)</f>
        <v>0</v>
      </c>
    </row>
    <row r="363" spans="1:7">
      <c r="A363" s="1">
        <v>366</v>
      </c>
      <c r="B363" s="1" t="s">
        <v>2229</v>
      </c>
      <c r="C363" s="1" t="s">
        <v>496</v>
      </c>
      <c r="D363" s="1">
        <f>COUNTIFS('Raw Entries'!B:B,Table4[[#This Row],[Name]],'Raw Entries'!I:I,Table4[[#This Row],[BOOK No.]])</f>
        <v>0</v>
      </c>
      <c r="E363" s="1">
        <f t="array" ref="E363">IF(OR(Table4[[#This Row],[INSTALLMENT]]=1,Table4[[#This Row],[INSTALLMENT]]=2,Table4[[#This Row],[INSTALLMENT]]=3),1,0)</f>
        <v>0</v>
      </c>
      <c r="F363" s="1">
        <f>IF(OR(Table4[[#This Row],[INSTALLMENT]]=2,Table4[[#This Row],[INSTALLMENT]]=3),2,0)</f>
        <v>0</v>
      </c>
      <c r="G363" s="1">
        <f>IF(OR(Table4[[#This Row],[INSTALLMENT]]=3),3,0)</f>
        <v>0</v>
      </c>
    </row>
    <row r="364" spans="1:7">
      <c r="A364" s="1">
        <v>367</v>
      </c>
      <c r="B364" s="1" t="s">
        <v>498</v>
      </c>
      <c r="C364" s="1" t="s">
        <v>496</v>
      </c>
      <c r="D364" s="1">
        <f>COUNTIFS('Raw Entries'!B:B,Table4[[#This Row],[Name]],'Raw Entries'!I:I,Table4[[#This Row],[BOOK No.]])</f>
        <v>2</v>
      </c>
      <c r="E364" s="1">
        <f t="array" ref="E364">IF(OR(Table4[[#This Row],[INSTALLMENT]]=1,Table4[[#This Row],[INSTALLMENT]]=2,Table4[[#This Row],[INSTALLMENT]]=3),1,0)</f>
        <v>1</v>
      </c>
      <c r="F364" s="1">
        <f>IF(OR(Table4[[#This Row],[INSTALLMENT]]=2,Table4[[#This Row],[INSTALLMENT]]=3),2,0)</f>
        <v>2</v>
      </c>
      <c r="G364" s="1">
        <f>IF(OR(Table4[[#This Row],[INSTALLMENT]]=3),3,0)</f>
        <v>0</v>
      </c>
    </row>
    <row r="365" spans="1:7">
      <c r="A365" s="1">
        <v>368</v>
      </c>
      <c r="B365" s="1" t="s">
        <v>2230</v>
      </c>
      <c r="C365" s="1" t="s">
        <v>496</v>
      </c>
      <c r="D365" s="1">
        <f>COUNTIFS('Raw Entries'!B:B,Table4[[#This Row],[Name]],'Raw Entries'!I:I,Table4[[#This Row],[BOOK No.]])</f>
        <v>0</v>
      </c>
      <c r="E365" s="1">
        <f t="array" ref="E365">IF(OR(Table4[[#This Row],[INSTALLMENT]]=1,Table4[[#This Row],[INSTALLMENT]]=2,Table4[[#This Row],[INSTALLMENT]]=3),1,0)</f>
        <v>0</v>
      </c>
      <c r="F365" s="1">
        <f>IF(OR(Table4[[#This Row],[INSTALLMENT]]=2,Table4[[#This Row],[INSTALLMENT]]=3),2,0)</f>
        <v>0</v>
      </c>
      <c r="G365" s="1">
        <f>IF(OR(Table4[[#This Row],[INSTALLMENT]]=3),3,0)</f>
        <v>0</v>
      </c>
    </row>
    <row r="366" spans="1:7">
      <c r="A366" s="1">
        <v>369</v>
      </c>
      <c r="B366" s="1" t="s">
        <v>2231</v>
      </c>
      <c r="C366" s="1" t="s">
        <v>496</v>
      </c>
      <c r="D366" s="1">
        <f>COUNTIFS('Raw Entries'!B:B,Table4[[#This Row],[Name]],'Raw Entries'!I:I,Table4[[#This Row],[BOOK No.]])</f>
        <v>0</v>
      </c>
      <c r="E366" s="1">
        <f t="array" ref="E366">IF(OR(Table4[[#This Row],[INSTALLMENT]]=1,Table4[[#This Row],[INSTALLMENT]]=2,Table4[[#This Row],[INSTALLMENT]]=3),1,0)</f>
        <v>0</v>
      </c>
      <c r="F366" s="1">
        <f>IF(OR(Table4[[#This Row],[INSTALLMENT]]=2,Table4[[#This Row],[INSTALLMENT]]=3),2,0)</f>
        <v>0</v>
      </c>
      <c r="G366" s="1">
        <f>IF(OR(Table4[[#This Row],[INSTALLMENT]]=3),3,0)</f>
        <v>0</v>
      </c>
    </row>
    <row r="367" spans="1:7">
      <c r="A367" s="1">
        <v>370</v>
      </c>
      <c r="B367" s="1" t="s">
        <v>2232</v>
      </c>
      <c r="C367" s="1" t="s">
        <v>496</v>
      </c>
      <c r="D367" s="1">
        <f>COUNTIFS('Raw Entries'!B:B,Table4[[#This Row],[Name]],'Raw Entries'!I:I,Table4[[#This Row],[BOOK No.]])</f>
        <v>0</v>
      </c>
      <c r="E367" s="1">
        <f t="array" ref="E367">IF(OR(Table4[[#This Row],[INSTALLMENT]]=1,Table4[[#This Row],[INSTALLMENT]]=2,Table4[[#This Row],[INSTALLMENT]]=3),1,0)</f>
        <v>0</v>
      </c>
      <c r="F367" s="1">
        <f>IF(OR(Table4[[#This Row],[INSTALLMENT]]=2,Table4[[#This Row],[INSTALLMENT]]=3),2,0)</f>
        <v>0</v>
      </c>
      <c r="G367" s="1">
        <f>IF(OR(Table4[[#This Row],[INSTALLMENT]]=3),3,0)</f>
        <v>0</v>
      </c>
    </row>
    <row r="368" spans="1:7">
      <c r="A368" s="1">
        <v>371</v>
      </c>
      <c r="B368" s="1" t="s">
        <v>1904</v>
      </c>
      <c r="C368" s="1" t="s">
        <v>496</v>
      </c>
      <c r="D368" s="1">
        <f>COUNTIFS('Raw Entries'!B:B,Table4[[#This Row],[Name]],'Raw Entries'!I:I,Table4[[#This Row],[BOOK No.]])</f>
        <v>3</v>
      </c>
      <c r="E368" s="1">
        <f t="array" ref="E368">IF(OR(Table4[[#This Row],[INSTALLMENT]]=1,Table4[[#This Row],[INSTALLMENT]]=2,Table4[[#This Row],[INSTALLMENT]]=3),1,0)</f>
        <v>1</v>
      </c>
      <c r="F368" s="1">
        <f>IF(OR(Table4[[#This Row],[INSTALLMENT]]=2,Table4[[#This Row],[INSTALLMENT]]=3),2,0)</f>
        <v>2</v>
      </c>
      <c r="G368" s="1">
        <f>IF(OR(Table4[[#This Row],[INSTALLMENT]]=3),3,0)</f>
        <v>3</v>
      </c>
    </row>
    <row r="369" spans="1:7">
      <c r="A369" s="1">
        <v>372</v>
      </c>
      <c r="B369" s="1" t="s">
        <v>2201</v>
      </c>
      <c r="C369" s="1" t="s">
        <v>496</v>
      </c>
      <c r="D369" s="1">
        <f>COUNTIFS('Raw Entries'!B:B,Table4[[#This Row],[Name]],'Raw Entries'!I:I,Table4[[#This Row],[BOOK No.]])</f>
        <v>0</v>
      </c>
      <c r="E369" s="1">
        <f t="array" ref="E369">IF(OR(Table4[[#This Row],[INSTALLMENT]]=1,Table4[[#This Row],[INSTALLMENT]]=2,Table4[[#This Row],[INSTALLMENT]]=3),1,0)</f>
        <v>0</v>
      </c>
      <c r="F369" s="1">
        <f>IF(OR(Table4[[#This Row],[INSTALLMENT]]=2,Table4[[#This Row],[INSTALLMENT]]=3),2,0)</f>
        <v>0</v>
      </c>
      <c r="G369" s="1">
        <f>IF(OR(Table4[[#This Row],[INSTALLMENT]]=3),3,0)</f>
        <v>0</v>
      </c>
    </row>
    <row r="370" spans="1:7">
      <c r="A370" s="1">
        <v>373</v>
      </c>
      <c r="B370" s="1" t="s">
        <v>2233</v>
      </c>
      <c r="C370" s="1" t="s">
        <v>496</v>
      </c>
      <c r="D370" s="1">
        <f>COUNTIFS('Raw Entries'!B:B,Table4[[#This Row],[Name]],'Raw Entries'!I:I,Table4[[#This Row],[BOOK No.]])</f>
        <v>0</v>
      </c>
      <c r="E370" s="1">
        <f t="array" ref="E370">IF(OR(Table4[[#This Row],[INSTALLMENT]]=1,Table4[[#This Row],[INSTALLMENT]]=2,Table4[[#This Row],[INSTALLMENT]]=3),1,0)</f>
        <v>0</v>
      </c>
      <c r="F370" s="1">
        <f>IF(OR(Table4[[#This Row],[INSTALLMENT]]=2,Table4[[#This Row],[INSTALLMENT]]=3),2,0)</f>
        <v>0</v>
      </c>
      <c r="G370" s="1">
        <f>IF(OR(Table4[[#This Row],[INSTALLMENT]]=3),3,0)</f>
        <v>0</v>
      </c>
    </row>
    <row r="371" spans="1:7">
      <c r="A371" s="1">
        <v>374</v>
      </c>
      <c r="B371" s="1" t="s">
        <v>599</v>
      </c>
      <c r="C371" s="1" t="s">
        <v>496</v>
      </c>
      <c r="D371" s="1">
        <f>COUNTIFS('Raw Entries'!B:B,Table4[[#This Row],[Name]],'Raw Entries'!I:I,Table4[[#This Row],[BOOK No.]])</f>
        <v>1</v>
      </c>
      <c r="E371" s="1">
        <f t="array" ref="E371">IF(OR(Table4[[#This Row],[INSTALLMENT]]=1,Table4[[#This Row],[INSTALLMENT]]=2,Table4[[#This Row],[INSTALLMENT]]=3),1,0)</f>
        <v>1</v>
      </c>
      <c r="F371" s="1">
        <f>IF(OR(Table4[[#This Row],[INSTALLMENT]]=2,Table4[[#This Row],[INSTALLMENT]]=3),2,0)</f>
        <v>0</v>
      </c>
      <c r="G371" s="1">
        <f>IF(OR(Table4[[#This Row],[INSTALLMENT]]=3),3,0)</f>
        <v>0</v>
      </c>
    </row>
    <row r="372" spans="1:7">
      <c r="A372" s="1">
        <v>375</v>
      </c>
      <c r="B372" s="1" t="s">
        <v>2234</v>
      </c>
      <c r="C372" s="1" t="s">
        <v>496</v>
      </c>
      <c r="D372" s="1">
        <f>COUNTIFS('Raw Entries'!B:B,Table4[[#This Row],[Name]],'Raw Entries'!I:I,Table4[[#This Row],[BOOK No.]])</f>
        <v>0</v>
      </c>
      <c r="E372" s="1">
        <f t="array" ref="E372">IF(OR(Table4[[#This Row],[INSTALLMENT]]=1,Table4[[#This Row],[INSTALLMENT]]=2,Table4[[#This Row],[INSTALLMENT]]=3),1,0)</f>
        <v>0</v>
      </c>
      <c r="F372" s="1">
        <f>IF(OR(Table4[[#This Row],[INSTALLMENT]]=2,Table4[[#This Row],[INSTALLMENT]]=3),2,0)</f>
        <v>0</v>
      </c>
      <c r="G372" s="1">
        <f>IF(OR(Table4[[#This Row],[INSTALLMENT]]=3),3,0)</f>
        <v>0</v>
      </c>
    </row>
    <row r="373" spans="1:7">
      <c r="A373" s="1">
        <v>376</v>
      </c>
      <c r="B373" s="1" t="s">
        <v>2235</v>
      </c>
      <c r="C373" s="1" t="s">
        <v>496</v>
      </c>
      <c r="D373" s="1">
        <f>COUNTIFS('Raw Entries'!B:B,Table4[[#This Row],[Name]],'Raw Entries'!I:I,Table4[[#This Row],[BOOK No.]])</f>
        <v>0</v>
      </c>
      <c r="E373" s="1">
        <f t="array" ref="E373">IF(OR(Table4[[#This Row],[INSTALLMENT]]=1,Table4[[#This Row],[INSTALLMENT]]=2,Table4[[#This Row],[INSTALLMENT]]=3),1,0)</f>
        <v>0</v>
      </c>
      <c r="F373" s="1">
        <f>IF(OR(Table4[[#This Row],[INSTALLMENT]]=2,Table4[[#This Row],[INSTALLMENT]]=3),2,0)</f>
        <v>0</v>
      </c>
      <c r="G373" s="1">
        <f>IF(OR(Table4[[#This Row],[INSTALLMENT]]=3),3,0)</f>
        <v>0</v>
      </c>
    </row>
    <row r="374" spans="1:7">
      <c r="A374" s="1">
        <v>377</v>
      </c>
      <c r="B374" s="1" t="s">
        <v>2236</v>
      </c>
      <c r="C374" s="1" t="s">
        <v>496</v>
      </c>
      <c r="D374" s="1">
        <f>COUNTIFS('Raw Entries'!B:B,Table4[[#This Row],[Name]],'Raw Entries'!I:I,Table4[[#This Row],[BOOK No.]])</f>
        <v>0</v>
      </c>
      <c r="E374" s="1">
        <f t="array" ref="E374">IF(OR(Table4[[#This Row],[INSTALLMENT]]=1,Table4[[#This Row],[INSTALLMENT]]=2,Table4[[#This Row],[INSTALLMENT]]=3),1,0)</f>
        <v>0</v>
      </c>
      <c r="F374" s="1">
        <f>IF(OR(Table4[[#This Row],[INSTALLMENT]]=2,Table4[[#This Row],[INSTALLMENT]]=3),2,0)</f>
        <v>0</v>
      </c>
      <c r="G374" s="1">
        <f>IF(OR(Table4[[#This Row],[INSTALLMENT]]=3),3,0)</f>
        <v>0</v>
      </c>
    </row>
    <row r="375" spans="1:7">
      <c r="A375" s="1">
        <v>378</v>
      </c>
      <c r="B375" s="1" t="s">
        <v>2237</v>
      </c>
      <c r="C375" s="1" t="s">
        <v>496</v>
      </c>
      <c r="D375" s="1">
        <f>COUNTIFS('Raw Entries'!B:B,Table4[[#This Row],[Name]],'Raw Entries'!I:I,Table4[[#This Row],[BOOK No.]])</f>
        <v>0</v>
      </c>
      <c r="E375" s="1">
        <f t="array" ref="E375">IF(OR(Table4[[#This Row],[INSTALLMENT]]=1,Table4[[#This Row],[INSTALLMENT]]=2,Table4[[#This Row],[INSTALLMENT]]=3),1,0)</f>
        <v>0</v>
      </c>
      <c r="F375" s="1">
        <f>IF(OR(Table4[[#This Row],[INSTALLMENT]]=2,Table4[[#This Row],[INSTALLMENT]]=3),2,0)</f>
        <v>0</v>
      </c>
      <c r="G375" s="1">
        <f>IF(OR(Table4[[#This Row],[INSTALLMENT]]=3),3,0)</f>
        <v>0</v>
      </c>
    </row>
    <row r="376" spans="1:7">
      <c r="A376" s="1">
        <v>379</v>
      </c>
      <c r="B376" s="1" t="s">
        <v>2238</v>
      </c>
      <c r="C376" s="1" t="s">
        <v>496</v>
      </c>
      <c r="D376" s="1">
        <f>COUNTIFS('Raw Entries'!B:B,Table4[[#This Row],[Name]],'Raw Entries'!I:I,Table4[[#This Row],[BOOK No.]])</f>
        <v>0</v>
      </c>
      <c r="E376" s="1">
        <f t="array" ref="E376">IF(OR(Table4[[#This Row],[INSTALLMENT]]=1,Table4[[#This Row],[INSTALLMENT]]=2,Table4[[#This Row],[INSTALLMENT]]=3),1,0)</f>
        <v>0</v>
      </c>
      <c r="F376" s="1">
        <f>IF(OR(Table4[[#This Row],[INSTALLMENT]]=2,Table4[[#This Row],[INSTALLMENT]]=3),2,0)</f>
        <v>0</v>
      </c>
      <c r="G376" s="1">
        <f>IF(OR(Table4[[#This Row],[INSTALLMENT]]=3),3,0)</f>
        <v>0</v>
      </c>
    </row>
    <row r="377" spans="1:7">
      <c r="A377" s="1">
        <v>380</v>
      </c>
      <c r="B377" s="1" t="s">
        <v>2239</v>
      </c>
      <c r="C377" s="1" t="s">
        <v>496</v>
      </c>
      <c r="D377" s="1">
        <f>COUNTIFS('Raw Entries'!B:B,Table4[[#This Row],[Name]],'Raw Entries'!I:I,Table4[[#This Row],[BOOK No.]])</f>
        <v>0</v>
      </c>
      <c r="E377" s="1">
        <f t="array" ref="E377">IF(OR(Table4[[#This Row],[INSTALLMENT]]=1,Table4[[#This Row],[INSTALLMENT]]=2,Table4[[#This Row],[INSTALLMENT]]=3),1,0)</f>
        <v>0</v>
      </c>
      <c r="F377" s="1">
        <f>IF(OR(Table4[[#This Row],[INSTALLMENT]]=2,Table4[[#This Row],[INSTALLMENT]]=3),2,0)</f>
        <v>0</v>
      </c>
      <c r="G377" s="1">
        <f>IF(OR(Table4[[#This Row],[INSTALLMENT]]=3),3,0)</f>
        <v>0</v>
      </c>
    </row>
    <row r="378" spans="1:7">
      <c r="A378" s="1">
        <v>381</v>
      </c>
      <c r="B378" s="1" t="s">
        <v>497</v>
      </c>
      <c r="C378" s="1" t="s">
        <v>496</v>
      </c>
      <c r="D378" s="1">
        <f>COUNTIFS('Raw Entries'!B:B,Table4[[#This Row],[Name]],'Raw Entries'!I:I,Table4[[#This Row],[BOOK No.]])</f>
        <v>1</v>
      </c>
      <c r="E378" s="1">
        <f t="array" ref="E378">IF(OR(Table4[[#This Row],[INSTALLMENT]]=1,Table4[[#This Row],[INSTALLMENT]]=2,Table4[[#This Row],[INSTALLMENT]]=3),1,0)</f>
        <v>1</v>
      </c>
      <c r="F378" s="1">
        <f>IF(OR(Table4[[#This Row],[INSTALLMENT]]=2,Table4[[#This Row],[INSTALLMENT]]=3),2,0)</f>
        <v>0</v>
      </c>
      <c r="G378" s="1">
        <f>IF(OR(Table4[[#This Row],[INSTALLMENT]]=3),3,0)</f>
        <v>0</v>
      </c>
    </row>
    <row r="379" spans="1:7">
      <c r="A379" s="1">
        <v>382</v>
      </c>
      <c r="B379" s="1" t="s">
        <v>2240</v>
      </c>
      <c r="C379" s="1" t="s">
        <v>496</v>
      </c>
      <c r="D379" s="1">
        <f>COUNTIFS('Raw Entries'!B:B,Table4[[#This Row],[Name]],'Raw Entries'!I:I,Table4[[#This Row],[BOOK No.]])</f>
        <v>0</v>
      </c>
      <c r="E379" s="1">
        <f t="array" ref="E379">IF(OR(Table4[[#This Row],[INSTALLMENT]]=1,Table4[[#This Row],[INSTALLMENT]]=2,Table4[[#This Row],[INSTALLMENT]]=3),1,0)</f>
        <v>0</v>
      </c>
      <c r="F379" s="1">
        <f>IF(OR(Table4[[#This Row],[INSTALLMENT]]=2,Table4[[#This Row],[INSTALLMENT]]=3),2,0)</f>
        <v>0</v>
      </c>
      <c r="G379" s="1">
        <f>IF(OR(Table4[[#This Row],[INSTALLMENT]]=3),3,0)</f>
        <v>0</v>
      </c>
    </row>
    <row r="380" spans="1:7">
      <c r="A380" s="1">
        <v>383</v>
      </c>
      <c r="B380" s="1" t="s">
        <v>2241</v>
      </c>
      <c r="C380" s="1" t="s">
        <v>496</v>
      </c>
      <c r="D380" s="1">
        <f>COUNTIFS('Raw Entries'!B:B,Table4[[#This Row],[Name]],'Raw Entries'!I:I,Table4[[#This Row],[BOOK No.]])</f>
        <v>0</v>
      </c>
      <c r="E380" s="1">
        <f t="array" ref="E380">IF(OR(Table4[[#This Row],[INSTALLMENT]]=1,Table4[[#This Row],[INSTALLMENT]]=2,Table4[[#This Row],[INSTALLMENT]]=3),1,0)</f>
        <v>0</v>
      </c>
      <c r="F380" s="1">
        <f>IF(OR(Table4[[#This Row],[INSTALLMENT]]=2,Table4[[#This Row],[INSTALLMENT]]=3),2,0)</f>
        <v>0</v>
      </c>
      <c r="G380" s="1">
        <f>IF(OR(Table4[[#This Row],[INSTALLMENT]]=3),3,0)</f>
        <v>0</v>
      </c>
    </row>
    <row r="381" spans="1:7">
      <c r="A381" s="1">
        <v>384</v>
      </c>
      <c r="B381" s="1" t="s">
        <v>2242</v>
      </c>
      <c r="C381" s="1" t="s">
        <v>496</v>
      </c>
      <c r="D381" s="1">
        <f>COUNTIFS('Raw Entries'!B:B,Table4[[#This Row],[Name]],'Raw Entries'!I:I,Table4[[#This Row],[BOOK No.]])</f>
        <v>3</v>
      </c>
      <c r="E381" s="1">
        <f t="array" ref="E381">IF(OR(Table4[[#This Row],[INSTALLMENT]]=1,Table4[[#This Row],[INSTALLMENT]]=2,Table4[[#This Row],[INSTALLMENT]]=3),1,0)</f>
        <v>1</v>
      </c>
      <c r="F381" s="1">
        <f>IF(OR(Table4[[#This Row],[INSTALLMENT]]=2,Table4[[#This Row],[INSTALLMENT]]=3),2,0)</f>
        <v>2</v>
      </c>
      <c r="G381" s="1">
        <f>IF(OR(Table4[[#This Row],[INSTALLMENT]]=3),3,0)</f>
        <v>3</v>
      </c>
    </row>
    <row r="382" spans="1:7">
      <c r="A382" s="1">
        <v>385</v>
      </c>
      <c r="B382" s="1" t="s">
        <v>2243</v>
      </c>
      <c r="C382" s="1" t="s">
        <v>496</v>
      </c>
      <c r="D382" s="1">
        <f>COUNTIFS('Raw Entries'!B:B,Table4[[#This Row],[Name]],'Raw Entries'!I:I,Table4[[#This Row],[BOOK No.]])</f>
        <v>0</v>
      </c>
      <c r="E382" s="1">
        <f t="array" ref="E382">IF(OR(Table4[[#This Row],[INSTALLMENT]]=1,Table4[[#This Row],[INSTALLMENT]]=2,Table4[[#This Row],[INSTALLMENT]]=3),1,0)</f>
        <v>0</v>
      </c>
      <c r="F382" s="1">
        <f>IF(OR(Table4[[#This Row],[INSTALLMENT]]=2,Table4[[#This Row],[INSTALLMENT]]=3),2,0)</f>
        <v>0</v>
      </c>
      <c r="G382" s="1">
        <f>IF(OR(Table4[[#This Row],[INSTALLMENT]]=3),3,0)</f>
        <v>0</v>
      </c>
    </row>
    <row r="383" spans="1:7">
      <c r="A383" s="1">
        <v>386</v>
      </c>
      <c r="B383" s="1" t="s">
        <v>2244</v>
      </c>
      <c r="C383" s="1" t="s">
        <v>496</v>
      </c>
      <c r="D383" s="1">
        <f>COUNTIFS('Raw Entries'!B:B,Table4[[#This Row],[Name]],'Raw Entries'!I:I,Table4[[#This Row],[BOOK No.]])</f>
        <v>0</v>
      </c>
      <c r="E383" s="1">
        <f t="array" ref="E383">IF(OR(Table4[[#This Row],[INSTALLMENT]]=1,Table4[[#This Row],[INSTALLMENT]]=2,Table4[[#This Row],[INSTALLMENT]]=3),1,0)</f>
        <v>0</v>
      </c>
      <c r="F383" s="1">
        <f>IF(OR(Table4[[#This Row],[INSTALLMENT]]=2,Table4[[#This Row],[INSTALLMENT]]=3),2,0)</f>
        <v>0</v>
      </c>
      <c r="G383" s="1">
        <f>IF(OR(Table4[[#This Row],[INSTALLMENT]]=3),3,0)</f>
        <v>0</v>
      </c>
    </row>
    <row r="384" spans="1:7">
      <c r="A384" s="1">
        <v>387</v>
      </c>
      <c r="B384" s="1" t="s">
        <v>2245</v>
      </c>
      <c r="C384" s="1" t="s">
        <v>496</v>
      </c>
      <c r="D384" s="1">
        <f>COUNTIFS('Raw Entries'!B:B,Table4[[#This Row],[Name]],'Raw Entries'!I:I,Table4[[#This Row],[BOOK No.]])</f>
        <v>0</v>
      </c>
      <c r="E384" s="1">
        <f t="array" ref="E384">IF(OR(Table4[[#This Row],[INSTALLMENT]]=1,Table4[[#This Row],[INSTALLMENT]]=2,Table4[[#This Row],[INSTALLMENT]]=3),1,0)</f>
        <v>0</v>
      </c>
      <c r="F384" s="1">
        <f>IF(OR(Table4[[#This Row],[INSTALLMENT]]=2,Table4[[#This Row],[INSTALLMENT]]=3),2,0)</f>
        <v>0</v>
      </c>
      <c r="G384" s="1">
        <f>IF(OR(Table4[[#This Row],[INSTALLMENT]]=3),3,0)</f>
        <v>0</v>
      </c>
    </row>
    <row r="385" spans="1:7">
      <c r="A385" s="1">
        <v>388</v>
      </c>
      <c r="B385" s="1" t="s">
        <v>2246</v>
      </c>
      <c r="C385" s="1" t="s">
        <v>496</v>
      </c>
      <c r="D385" s="1">
        <f>COUNTIFS('Raw Entries'!B:B,Table4[[#This Row],[Name]],'Raw Entries'!I:I,Table4[[#This Row],[BOOK No.]])</f>
        <v>0</v>
      </c>
      <c r="E385" s="1">
        <f t="array" ref="E385">IF(OR(Table4[[#This Row],[INSTALLMENT]]=1,Table4[[#This Row],[INSTALLMENT]]=2,Table4[[#This Row],[INSTALLMENT]]=3),1,0)</f>
        <v>0</v>
      </c>
      <c r="F385" s="1">
        <f>IF(OR(Table4[[#This Row],[INSTALLMENT]]=2,Table4[[#This Row],[INSTALLMENT]]=3),2,0)</f>
        <v>0</v>
      </c>
      <c r="G385" s="1">
        <f>IF(OR(Table4[[#This Row],[INSTALLMENT]]=3),3,0)</f>
        <v>0</v>
      </c>
    </row>
    <row r="386" spans="1:7">
      <c r="A386" s="1">
        <v>389</v>
      </c>
      <c r="B386" s="1" t="s">
        <v>2247</v>
      </c>
      <c r="C386" s="1" t="s">
        <v>499</v>
      </c>
      <c r="D386" s="1">
        <f>COUNTIFS('Raw Entries'!B:B,Table4[[#This Row],[Name]],'Raw Entries'!I:I,Table4[[#This Row],[BOOK No.]])</f>
        <v>0</v>
      </c>
      <c r="E386" s="1">
        <f t="array" ref="E386">IF(OR(Table4[[#This Row],[INSTALLMENT]]=1,Table4[[#This Row],[INSTALLMENT]]=2,Table4[[#This Row],[INSTALLMENT]]=3),1,0)</f>
        <v>0</v>
      </c>
      <c r="F386" s="1">
        <f>IF(OR(Table4[[#This Row],[INSTALLMENT]]=2,Table4[[#This Row],[INSTALLMENT]]=3),2,0)</f>
        <v>0</v>
      </c>
      <c r="G386" s="1">
        <f>IF(OR(Table4[[#This Row],[INSTALLMENT]]=3),3,0)</f>
        <v>0</v>
      </c>
    </row>
    <row r="387" spans="1:7">
      <c r="A387" s="1">
        <v>390</v>
      </c>
      <c r="B387" s="1" t="s">
        <v>500</v>
      </c>
      <c r="C387" s="1" t="s">
        <v>499</v>
      </c>
      <c r="D387" s="1">
        <f>COUNTIFS('Raw Entries'!B:B,Table4[[#This Row],[Name]],'Raw Entries'!I:I,Table4[[#This Row],[BOOK No.]])</f>
        <v>3</v>
      </c>
      <c r="E387" s="1">
        <f t="array" ref="E387">IF(OR(Table4[[#This Row],[INSTALLMENT]]=1,Table4[[#This Row],[INSTALLMENT]]=2,Table4[[#This Row],[INSTALLMENT]]=3),1,0)</f>
        <v>1</v>
      </c>
      <c r="F387" s="1">
        <f>IF(OR(Table4[[#This Row],[INSTALLMENT]]=2,Table4[[#This Row],[INSTALLMENT]]=3),2,0)</f>
        <v>2</v>
      </c>
      <c r="G387" s="1">
        <f>IF(OR(Table4[[#This Row],[INSTALLMENT]]=3),3,0)</f>
        <v>3</v>
      </c>
    </row>
    <row r="388" spans="1:7">
      <c r="A388" s="1">
        <v>391</v>
      </c>
      <c r="B388" s="1" t="s">
        <v>2248</v>
      </c>
      <c r="C388" s="1" t="s">
        <v>499</v>
      </c>
      <c r="D388" s="1">
        <f>COUNTIFS('Raw Entries'!B:B,Table4[[#This Row],[Name]],'Raw Entries'!I:I,Table4[[#This Row],[BOOK No.]])</f>
        <v>0</v>
      </c>
      <c r="E388" s="1">
        <f t="array" ref="E388">IF(OR(Table4[[#This Row],[INSTALLMENT]]=1,Table4[[#This Row],[INSTALLMENT]]=2,Table4[[#This Row],[INSTALLMENT]]=3),1,0)</f>
        <v>0</v>
      </c>
      <c r="F388" s="1">
        <f>IF(OR(Table4[[#This Row],[INSTALLMENT]]=2,Table4[[#This Row],[INSTALLMENT]]=3),2,0)</f>
        <v>0</v>
      </c>
      <c r="G388" s="1">
        <f>IF(OR(Table4[[#This Row],[INSTALLMENT]]=3),3,0)</f>
        <v>0</v>
      </c>
    </row>
    <row r="389" spans="1:7">
      <c r="A389" s="1">
        <v>392</v>
      </c>
      <c r="B389" s="1" t="s">
        <v>2249</v>
      </c>
      <c r="C389" s="1" t="s">
        <v>499</v>
      </c>
      <c r="D389" s="1">
        <f>COUNTIFS('Raw Entries'!B:B,Table4[[#This Row],[Name]],'Raw Entries'!I:I,Table4[[#This Row],[BOOK No.]])</f>
        <v>0</v>
      </c>
      <c r="E389" s="1">
        <f t="array" ref="E389">IF(OR(Table4[[#This Row],[INSTALLMENT]]=1,Table4[[#This Row],[INSTALLMENT]]=2,Table4[[#This Row],[INSTALLMENT]]=3),1,0)</f>
        <v>0</v>
      </c>
      <c r="F389" s="1">
        <f>IF(OR(Table4[[#This Row],[INSTALLMENT]]=2,Table4[[#This Row],[INSTALLMENT]]=3),2,0)</f>
        <v>0</v>
      </c>
      <c r="G389" s="1">
        <f>IF(OR(Table4[[#This Row],[INSTALLMENT]]=3),3,0)</f>
        <v>0</v>
      </c>
    </row>
    <row r="390" spans="1:7">
      <c r="A390" s="1">
        <v>393</v>
      </c>
      <c r="B390" s="1" t="s">
        <v>2250</v>
      </c>
      <c r="C390" s="1" t="s">
        <v>499</v>
      </c>
      <c r="D390" s="1">
        <f>COUNTIFS('Raw Entries'!B:B,Table4[[#This Row],[Name]],'Raw Entries'!I:I,Table4[[#This Row],[BOOK No.]])</f>
        <v>0</v>
      </c>
      <c r="E390" s="1">
        <f t="array" ref="E390">IF(OR(Table4[[#This Row],[INSTALLMENT]]=1,Table4[[#This Row],[INSTALLMENT]]=2,Table4[[#This Row],[INSTALLMENT]]=3),1,0)</f>
        <v>0</v>
      </c>
      <c r="F390" s="1">
        <f>IF(OR(Table4[[#This Row],[INSTALLMENT]]=2,Table4[[#This Row],[INSTALLMENT]]=3),2,0)</f>
        <v>0</v>
      </c>
      <c r="G390" s="1">
        <f>IF(OR(Table4[[#This Row],[INSTALLMENT]]=3),3,0)</f>
        <v>0</v>
      </c>
    </row>
    <row r="391" spans="1:7">
      <c r="A391" s="1">
        <v>394</v>
      </c>
      <c r="B391" s="1" t="s">
        <v>2251</v>
      </c>
      <c r="C391" s="1" t="s">
        <v>499</v>
      </c>
      <c r="D391" s="1">
        <f>COUNTIFS('Raw Entries'!B:B,Table4[[#This Row],[Name]],'Raw Entries'!I:I,Table4[[#This Row],[BOOK No.]])</f>
        <v>0</v>
      </c>
      <c r="E391" s="1">
        <f t="array" ref="E391">IF(OR(Table4[[#This Row],[INSTALLMENT]]=1,Table4[[#This Row],[INSTALLMENT]]=2,Table4[[#This Row],[INSTALLMENT]]=3),1,0)</f>
        <v>0</v>
      </c>
      <c r="F391" s="1">
        <f>IF(OR(Table4[[#This Row],[INSTALLMENT]]=2,Table4[[#This Row],[INSTALLMENT]]=3),2,0)</f>
        <v>0</v>
      </c>
      <c r="G391" s="1">
        <f>IF(OR(Table4[[#This Row],[INSTALLMENT]]=3),3,0)</f>
        <v>0</v>
      </c>
    </row>
    <row r="392" spans="1:7">
      <c r="A392" s="1">
        <v>395</v>
      </c>
      <c r="B392" s="1" t="s">
        <v>2252</v>
      </c>
      <c r="C392" s="1" t="s">
        <v>499</v>
      </c>
      <c r="D392" s="1">
        <f>COUNTIFS('Raw Entries'!B:B,Table4[[#This Row],[Name]],'Raw Entries'!I:I,Table4[[#This Row],[BOOK No.]])</f>
        <v>0</v>
      </c>
      <c r="E392" s="1">
        <f t="array" ref="E392">IF(OR(Table4[[#This Row],[INSTALLMENT]]=1,Table4[[#This Row],[INSTALLMENT]]=2,Table4[[#This Row],[INSTALLMENT]]=3),1,0)</f>
        <v>0</v>
      </c>
      <c r="F392" s="1">
        <f>IF(OR(Table4[[#This Row],[INSTALLMENT]]=2,Table4[[#This Row],[INSTALLMENT]]=3),2,0)</f>
        <v>0</v>
      </c>
      <c r="G392" s="1">
        <f>IF(OR(Table4[[#This Row],[INSTALLMENT]]=3),3,0)</f>
        <v>0</v>
      </c>
    </row>
    <row r="393" spans="1:7">
      <c r="A393" s="1">
        <v>396</v>
      </c>
      <c r="B393" s="1" t="s">
        <v>2253</v>
      </c>
      <c r="C393" s="1" t="s">
        <v>499</v>
      </c>
      <c r="D393" s="1">
        <f>COUNTIFS('Raw Entries'!B:B,Table4[[#This Row],[Name]],'Raw Entries'!I:I,Table4[[#This Row],[BOOK No.]])</f>
        <v>0</v>
      </c>
      <c r="E393" s="1">
        <f t="array" ref="E393">IF(OR(Table4[[#This Row],[INSTALLMENT]]=1,Table4[[#This Row],[INSTALLMENT]]=2,Table4[[#This Row],[INSTALLMENT]]=3),1,0)</f>
        <v>0</v>
      </c>
      <c r="F393" s="1">
        <f>IF(OR(Table4[[#This Row],[INSTALLMENT]]=2,Table4[[#This Row],[INSTALLMENT]]=3),2,0)</f>
        <v>0</v>
      </c>
      <c r="G393" s="1">
        <f>IF(OR(Table4[[#This Row],[INSTALLMENT]]=3),3,0)</f>
        <v>0</v>
      </c>
    </row>
    <row r="394" spans="1:7">
      <c r="A394" s="1">
        <v>397</v>
      </c>
      <c r="B394" s="1" t="s">
        <v>2254</v>
      </c>
      <c r="C394" s="1" t="s">
        <v>499</v>
      </c>
      <c r="D394" s="1">
        <f>COUNTIFS('Raw Entries'!B:B,Table4[[#This Row],[Name]],'Raw Entries'!I:I,Table4[[#This Row],[BOOK No.]])</f>
        <v>0</v>
      </c>
      <c r="E394" s="1">
        <f t="array" ref="E394">IF(OR(Table4[[#This Row],[INSTALLMENT]]=1,Table4[[#This Row],[INSTALLMENT]]=2,Table4[[#This Row],[INSTALLMENT]]=3),1,0)</f>
        <v>0</v>
      </c>
      <c r="F394" s="1">
        <f>IF(OR(Table4[[#This Row],[INSTALLMENT]]=2,Table4[[#This Row],[INSTALLMENT]]=3),2,0)</f>
        <v>0</v>
      </c>
      <c r="G394" s="1">
        <f>IF(OR(Table4[[#This Row],[INSTALLMENT]]=3),3,0)</f>
        <v>0</v>
      </c>
    </row>
    <row r="395" spans="1:7">
      <c r="A395" s="1">
        <v>398</v>
      </c>
      <c r="B395" s="1" t="s">
        <v>2255</v>
      </c>
      <c r="C395" s="1" t="s">
        <v>499</v>
      </c>
      <c r="D395" s="1">
        <f>COUNTIFS('Raw Entries'!B:B,Table4[[#This Row],[Name]],'Raw Entries'!I:I,Table4[[#This Row],[BOOK No.]])</f>
        <v>0</v>
      </c>
      <c r="E395" s="1">
        <f t="array" ref="E395">IF(OR(Table4[[#This Row],[INSTALLMENT]]=1,Table4[[#This Row],[INSTALLMENT]]=2,Table4[[#This Row],[INSTALLMENT]]=3),1,0)</f>
        <v>0</v>
      </c>
      <c r="F395" s="1">
        <f>IF(OR(Table4[[#This Row],[INSTALLMENT]]=2,Table4[[#This Row],[INSTALLMENT]]=3),2,0)</f>
        <v>0</v>
      </c>
      <c r="G395" s="1">
        <f>IF(OR(Table4[[#This Row],[INSTALLMENT]]=3),3,0)</f>
        <v>0</v>
      </c>
    </row>
    <row r="396" spans="1:7">
      <c r="A396" s="1">
        <v>399</v>
      </c>
      <c r="B396" s="1" t="s">
        <v>2256</v>
      </c>
      <c r="C396" s="1" t="s">
        <v>499</v>
      </c>
      <c r="D396" s="1">
        <f>COUNTIFS('Raw Entries'!B:B,Table4[[#This Row],[Name]],'Raw Entries'!I:I,Table4[[#This Row],[BOOK No.]])</f>
        <v>0</v>
      </c>
      <c r="E396" s="1">
        <f t="array" ref="E396">IF(OR(Table4[[#This Row],[INSTALLMENT]]=1,Table4[[#This Row],[INSTALLMENT]]=2,Table4[[#This Row],[INSTALLMENT]]=3),1,0)</f>
        <v>0</v>
      </c>
      <c r="F396" s="1">
        <f>IF(OR(Table4[[#This Row],[INSTALLMENT]]=2,Table4[[#This Row],[INSTALLMENT]]=3),2,0)</f>
        <v>0</v>
      </c>
      <c r="G396" s="1">
        <f>IF(OR(Table4[[#This Row],[INSTALLMENT]]=3),3,0)</f>
        <v>0</v>
      </c>
    </row>
    <row r="397" spans="1:7">
      <c r="A397" s="1">
        <v>400</v>
      </c>
      <c r="B397" s="1" t="s">
        <v>2257</v>
      </c>
      <c r="C397" s="1" t="s">
        <v>499</v>
      </c>
      <c r="D397" s="1">
        <f>COUNTIFS('Raw Entries'!B:B,Table4[[#This Row],[Name]],'Raw Entries'!I:I,Table4[[#This Row],[BOOK No.]])</f>
        <v>0</v>
      </c>
      <c r="E397" s="1">
        <f t="array" ref="E397">IF(OR(Table4[[#This Row],[INSTALLMENT]]=1,Table4[[#This Row],[INSTALLMENT]]=2,Table4[[#This Row],[INSTALLMENT]]=3),1,0)</f>
        <v>0</v>
      </c>
      <c r="F397" s="1">
        <f>IF(OR(Table4[[#This Row],[INSTALLMENT]]=2,Table4[[#This Row],[INSTALLMENT]]=3),2,0)</f>
        <v>0</v>
      </c>
      <c r="G397" s="1">
        <f>IF(OR(Table4[[#This Row],[INSTALLMENT]]=3),3,0)</f>
        <v>0</v>
      </c>
    </row>
    <row r="398" spans="1:7">
      <c r="A398" s="1">
        <v>401</v>
      </c>
      <c r="B398" s="1" t="s">
        <v>2258</v>
      </c>
      <c r="C398" s="1" t="s">
        <v>499</v>
      </c>
      <c r="D398" s="1">
        <f>COUNTIFS('Raw Entries'!B:B,Table4[[#This Row],[Name]],'Raw Entries'!I:I,Table4[[#This Row],[BOOK No.]])</f>
        <v>0</v>
      </c>
      <c r="E398" s="1">
        <f t="array" ref="E398">IF(OR(Table4[[#This Row],[INSTALLMENT]]=1,Table4[[#This Row],[INSTALLMENT]]=2,Table4[[#This Row],[INSTALLMENT]]=3),1,0)</f>
        <v>0</v>
      </c>
      <c r="F398" s="1">
        <f>IF(OR(Table4[[#This Row],[INSTALLMENT]]=2,Table4[[#This Row],[INSTALLMENT]]=3),2,0)</f>
        <v>0</v>
      </c>
      <c r="G398" s="1">
        <f>IF(OR(Table4[[#This Row],[INSTALLMENT]]=3),3,0)</f>
        <v>0</v>
      </c>
    </row>
    <row r="399" spans="1:7">
      <c r="A399" s="1">
        <v>402</v>
      </c>
      <c r="B399" s="1" t="s">
        <v>2259</v>
      </c>
      <c r="C399" s="1" t="s">
        <v>499</v>
      </c>
      <c r="D399" s="1">
        <f>COUNTIFS('Raw Entries'!B:B,Table4[[#This Row],[Name]],'Raw Entries'!I:I,Table4[[#This Row],[BOOK No.]])</f>
        <v>3</v>
      </c>
      <c r="E399" s="1">
        <f t="array" ref="E399">IF(OR(Table4[[#This Row],[INSTALLMENT]]=1,Table4[[#This Row],[INSTALLMENT]]=2,Table4[[#This Row],[INSTALLMENT]]=3),1,0)</f>
        <v>1</v>
      </c>
      <c r="F399" s="1">
        <f>IF(OR(Table4[[#This Row],[INSTALLMENT]]=2,Table4[[#This Row],[INSTALLMENT]]=3),2,0)</f>
        <v>2</v>
      </c>
      <c r="G399" s="1">
        <f>IF(OR(Table4[[#This Row],[INSTALLMENT]]=3),3,0)</f>
        <v>3</v>
      </c>
    </row>
    <row r="400" spans="1:7">
      <c r="A400" s="1">
        <v>403</v>
      </c>
      <c r="B400" s="1" t="s">
        <v>2260</v>
      </c>
      <c r="C400" s="1" t="s">
        <v>499</v>
      </c>
      <c r="D400" s="1">
        <f>COUNTIFS('Raw Entries'!B:B,Table4[[#This Row],[Name]],'Raw Entries'!I:I,Table4[[#This Row],[BOOK No.]])</f>
        <v>0</v>
      </c>
      <c r="E400" s="1">
        <f t="array" ref="E400">IF(OR(Table4[[#This Row],[INSTALLMENT]]=1,Table4[[#This Row],[INSTALLMENT]]=2,Table4[[#This Row],[INSTALLMENT]]=3),1,0)</f>
        <v>0</v>
      </c>
      <c r="F400" s="1">
        <f>IF(OR(Table4[[#This Row],[INSTALLMENT]]=2,Table4[[#This Row],[INSTALLMENT]]=3),2,0)</f>
        <v>0</v>
      </c>
      <c r="G400" s="1">
        <f>IF(OR(Table4[[#This Row],[INSTALLMENT]]=3),3,0)</f>
        <v>0</v>
      </c>
    </row>
    <row r="401" spans="1:7">
      <c r="A401" s="1">
        <v>404</v>
      </c>
      <c r="B401" s="1" t="s">
        <v>2261</v>
      </c>
      <c r="C401" s="1" t="s">
        <v>499</v>
      </c>
      <c r="D401" s="1">
        <f>COUNTIFS('Raw Entries'!B:B,Table4[[#This Row],[Name]],'Raw Entries'!I:I,Table4[[#This Row],[BOOK No.]])</f>
        <v>0</v>
      </c>
      <c r="E401" s="1">
        <f t="array" ref="E401">IF(OR(Table4[[#This Row],[INSTALLMENT]]=1,Table4[[#This Row],[INSTALLMENT]]=2,Table4[[#This Row],[INSTALLMENT]]=3),1,0)</f>
        <v>0</v>
      </c>
      <c r="F401" s="1">
        <f>IF(OR(Table4[[#This Row],[INSTALLMENT]]=2,Table4[[#This Row],[INSTALLMENT]]=3),2,0)</f>
        <v>0</v>
      </c>
      <c r="G401" s="1">
        <f>IF(OR(Table4[[#This Row],[INSTALLMENT]]=3),3,0)</f>
        <v>0</v>
      </c>
    </row>
    <row r="402" spans="1:7">
      <c r="A402" s="1">
        <v>405</v>
      </c>
      <c r="B402" s="1" t="s">
        <v>2262</v>
      </c>
      <c r="C402" s="1" t="s">
        <v>499</v>
      </c>
      <c r="D402" s="1">
        <f>COUNTIFS('Raw Entries'!B:B,Table4[[#This Row],[Name]],'Raw Entries'!I:I,Table4[[#This Row],[BOOK No.]])</f>
        <v>0</v>
      </c>
      <c r="E402" s="1">
        <f t="array" ref="E402">IF(OR(Table4[[#This Row],[INSTALLMENT]]=1,Table4[[#This Row],[INSTALLMENT]]=2,Table4[[#This Row],[INSTALLMENT]]=3),1,0)</f>
        <v>0</v>
      </c>
      <c r="F402" s="1">
        <f>IF(OR(Table4[[#This Row],[INSTALLMENT]]=2,Table4[[#This Row],[INSTALLMENT]]=3),2,0)</f>
        <v>0</v>
      </c>
      <c r="G402" s="1">
        <f>IF(OR(Table4[[#This Row],[INSTALLMENT]]=3),3,0)</f>
        <v>0</v>
      </c>
    </row>
    <row r="403" spans="1:7">
      <c r="A403" s="1">
        <v>406</v>
      </c>
      <c r="B403" s="1" t="s">
        <v>2263</v>
      </c>
      <c r="C403" s="1" t="s">
        <v>467</v>
      </c>
      <c r="D403" s="1">
        <f>COUNTIFS('Raw Entries'!B:B,Table4[[#This Row],[Name]],'Raw Entries'!I:I,Table4[[#This Row],[BOOK No.]])</f>
        <v>0</v>
      </c>
      <c r="E403" s="1">
        <f t="array" ref="E403">IF(OR(Table4[[#This Row],[INSTALLMENT]]=1,Table4[[#This Row],[INSTALLMENT]]=2,Table4[[#This Row],[INSTALLMENT]]=3),1,0)</f>
        <v>0</v>
      </c>
      <c r="F403" s="1">
        <f>IF(OR(Table4[[#This Row],[INSTALLMENT]]=2,Table4[[#This Row],[INSTALLMENT]]=3),2,0)</f>
        <v>0</v>
      </c>
      <c r="G403" s="1">
        <f>IF(OR(Table4[[#This Row],[INSTALLMENT]]=3),3,0)</f>
        <v>0</v>
      </c>
    </row>
    <row r="404" spans="1:7">
      <c r="A404" s="1">
        <v>407</v>
      </c>
      <c r="B404" s="1" t="s">
        <v>2264</v>
      </c>
      <c r="C404" s="1" t="s">
        <v>499</v>
      </c>
      <c r="D404" s="1">
        <f>COUNTIFS('Raw Entries'!B:B,Table4[[#This Row],[Name]],'Raw Entries'!I:I,Table4[[#This Row],[BOOK No.]])</f>
        <v>0</v>
      </c>
      <c r="E404" s="1">
        <f t="array" ref="E404">IF(OR(Table4[[#This Row],[INSTALLMENT]]=1,Table4[[#This Row],[INSTALLMENT]]=2,Table4[[#This Row],[INSTALLMENT]]=3),1,0)</f>
        <v>0</v>
      </c>
      <c r="F404" s="1">
        <f>IF(OR(Table4[[#This Row],[INSTALLMENT]]=2,Table4[[#This Row],[INSTALLMENT]]=3),2,0)</f>
        <v>0</v>
      </c>
      <c r="G404" s="1">
        <f>IF(OR(Table4[[#This Row],[INSTALLMENT]]=3),3,0)</f>
        <v>0</v>
      </c>
    </row>
    <row r="405" spans="1:7">
      <c r="A405" s="1">
        <v>408</v>
      </c>
      <c r="B405" s="1" t="s">
        <v>2265</v>
      </c>
      <c r="C405" s="1" t="s">
        <v>499</v>
      </c>
      <c r="D405" s="1">
        <f>COUNTIFS('Raw Entries'!B:B,Table4[[#This Row],[Name]],'Raw Entries'!I:I,Table4[[#This Row],[BOOK No.]])</f>
        <v>0</v>
      </c>
      <c r="E405" s="1">
        <f t="array" ref="E405">IF(OR(Table4[[#This Row],[INSTALLMENT]]=1,Table4[[#This Row],[INSTALLMENT]]=2,Table4[[#This Row],[INSTALLMENT]]=3),1,0)</f>
        <v>0</v>
      </c>
      <c r="F405" s="1">
        <f>IF(OR(Table4[[#This Row],[INSTALLMENT]]=2,Table4[[#This Row],[INSTALLMENT]]=3),2,0)</f>
        <v>0</v>
      </c>
      <c r="G405" s="1">
        <f>IF(OR(Table4[[#This Row],[INSTALLMENT]]=3),3,0)</f>
        <v>0</v>
      </c>
    </row>
    <row r="406" spans="1:7">
      <c r="A406" s="1">
        <v>409</v>
      </c>
      <c r="B406" s="1" t="s">
        <v>2266</v>
      </c>
      <c r="C406" s="1" t="s">
        <v>499</v>
      </c>
      <c r="D406" s="1">
        <f>COUNTIFS('Raw Entries'!B:B,Table4[[#This Row],[Name]],'Raw Entries'!I:I,Table4[[#This Row],[BOOK No.]])</f>
        <v>0</v>
      </c>
      <c r="E406" s="1">
        <f t="array" ref="E406">IF(OR(Table4[[#This Row],[INSTALLMENT]]=1,Table4[[#This Row],[INSTALLMENT]]=2,Table4[[#This Row],[INSTALLMENT]]=3),1,0)</f>
        <v>0</v>
      </c>
      <c r="F406" s="1">
        <f>IF(OR(Table4[[#This Row],[INSTALLMENT]]=2,Table4[[#This Row],[INSTALLMENT]]=3),2,0)</f>
        <v>0</v>
      </c>
      <c r="G406" s="1">
        <f>IF(OR(Table4[[#This Row],[INSTALLMENT]]=3),3,0)</f>
        <v>0</v>
      </c>
    </row>
    <row r="407" spans="1:7">
      <c r="A407" s="1">
        <v>410</v>
      </c>
      <c r="B407" s="1" t="s">
        <v>2267</v>
      </c>
      <c r="C407" s="1" t="s">
        <v>499</v>
      </c>
      <c r="D407" s="1">
        <f>COUNTIFS('Raw Entries'!B:B,Table4[[#This Row],[Name]],'Raw Entries'!I:I,Table4[[#This Row],[BOOK No.]])</f>
        <v>0</v>
      </c>
      <c r="E407" s="1">
        <f t="array" ref="E407">IF(OR(Table4[[#This Row],[INSTALLMENT]]=1,Table4[[#This Row],[INSTALLMENT]]=2,Table4[[#This Row],[INSTALLMENT]]=3),1,0)</f>
        <v>0</v>
      </c>
      <c r="F407" s="1">
        <f>IF(OR(Table4[[#This Row],[INSTALLMENT]]=2,Table4[[#This Row],[INSTALLMENT]]=3),2,0)</f>
        <v>0</v>
      </c>
      <c r="G407" s="1">
        <f>IF(OR(Table4[[#This Row],[INSTALLMENT]]=3),3,0)</f>
        <v>0</v>
      </c>
    </row>
    <row r="408" spans="1:7">
      <c r="A408" s="1">
        <v>411</v>
      </c>
      <c r="B408" s="1" t="s">
        <v>2268</v>
      </c>
      <c r="C408" s="1" t="s">
        <v>499</v>
      </c>
      <c r="D408" s="1">
        <f>COUNTIFS('Raw Entries'!B:B,Table4[[#This Row],[Name]],'Raw Entries'!I:I,Table4[[#This Row],[BOOK No.]])</f>
        <v>0</v>
      </c>
      <c r="E408" s="1">
        <f t="array" ref="E408">IF(OR(Table4[[#This Row],[INSTALLMENT]]=1,Table4[[#This Row],[INSTALLMENT]]=2,Table4[[#This Row],[INSTALLMENT]]=3),1,0)</f>
        <v>0</v>
      </c>
      <c r="F408" s="1">
        <f>IF(OR(Table4[[#This Row],[INSTALLMENT]]=2,Table4[[#This Row],[INSTALLMENT]]=3),2,0)</f>
        <v>0</v>
      </c>
      <c r="G408" s="1">
        <f>IF(OR(Table4[[#This Row],[INSTALLMENT]]=3),3,0)</f>
        <v>0</v>
      </c>
    </row>
    <row r="409" spans="1:7">
      <c r="A409" s="1">
        <v>412</v>
      </c>
      <c r="B409" s="1" t="s">
        <v>502</v>
      </c>
      <c r="C409" s="1" t="s">
        <v>499</v>
      </c>
      <c r="D409" s="1">
        <f>COUNTIFS('Raw Entries'!B:B,Table4[[#This Row],[Name]],'Raw Entries'!I:I,Table4[[#This Row],[BOOK No.]])</f>
        <v>1</v>
      </c>
      <c r="E409" s="1">
        <f t="array" ref="E409">IF(OR(Table4[[#This Row],[INSTALLMENT]]=1,Table4[[#This Row],[INSTALLMENT]]=2,Table4[[#This Row],[INSTALLMENT]]=3),1,0)</f>
        <v>1</v>
      </c>
      <c r="F409" s="1">
        <f>IF(OR(Table4[[#This Row],[INSTALLMENT]]=2,Table4[[#This Row],[INSTALLMENT]]=3),2,0)</f>
        <v>0</v>
      </c>
      <c r="G409" s="1">
        <f>IF(OR(Table4[[#This Row],[INSTALLMENT]]=3),3,0)</f>
        <v>0</v>
      </c>
    </row>
    <row r="410" spans="1:7">
      <c r="A410" s="1">
        <v>413</v>
      </c>
      <c r="B410" s="1" t="s">
        <v>2269</v>
      </c>
      <c r="C410" s="1" t="s">
        <v>499</v>
      </c>
      <c r="D410" s="1">
        <f>COUNTIFS('Raw Entries'!B:B,Table4[[#This Row],[Name]],'Raw Entries'!I:I,Table4[[#This Row],[BOOK No.]])</f>
        <v>0</v>
      </c>
      <c r="E410" s="1">
        <f t="array" ref="E410">IF(OR(Table4[[#This Row],[INSTALLMENT]]=1,Table4[[#This Row],[INSTALLMENT]]=2,Table4[[#This Row],[INSTALLMENT]]=3),1,0)</f>
        <v>0</v>
      </c>
      <c r="F410" s="1">
        <f>IF(OR(Table4[[#This Row],[INSTALLMENT]]=2,Table4[[#This Row],[INSTALLMENT]]=3),2,0)</f>
        <v>0</v>
      </c>
      <c r="G410" s="1">
        <f>IF(OR(Table4[[#This Row],[INSTALLMENT]]=3),3,0)</f>
        <v>0</v>
      </c>
    </row>
    <row r="411" spans="1:7">
      <c r="A411" s="1">
        <v>414</v>
      </c>
      <c r="B411" s="1" t="s">
        <v>2270</v>
      </c>
      <c r="C411" s="1" t="s">
        <v>499</v>
      </c>
      <c r="D411" s="1">
        <f>COUNTIFS('Raw Entries'!B:B,Table4[[#This Row],[Name]],'Raw Entries'!I:I,Table4[[#This Row],[BOOK No.]])</f>
        <v>0</v>
      </c>
      <c r="E411" s="1">
        <f t="array" ref="E411">IF(OR(Table4[[#This Row],[INSTALLMENT]]=1,Table4[[#This Row],[INSTALLMENT]]=2,Table4[[#This Row],[INSTALLMENT]]=3),1,0)</f>
        <v>0</v>
      </c>
      <c r="F411" s="1">
        <f>IF(OR(Table4[[#This Row],[INSTALLMENT]]=2,Table4[[#This Row],[INSTALLMENT]]=3),2,0)</f>
        <v>0</v>
      </c>
      <c r="G411" s="1">
        <f>IF(OR(Table4[[#This Row],[INSTALLMENT]]=3),3,0)</f>
        <v>0</v>
      </c>
    </row>
    <row r="412" spans="1:7">
      <c r="A412" s="1">
        <v>415</v>
      </c>
      <c r="B412" s="1" t="s">
        <v>2271</v>
      </c>
      <c r="C412" s="1" t="s">
        <v>499</v>
      </c>
      <c r="D412" s="1">
        <f>COUNTIFS('Raw Entries'!B:B,Table4[[#This Row],[Name]],'Raw Entries'!I:I,Table4[[#This Row],[BOOK No.]])</f>
        <v>0</v>
      </c>
      <c r="E412" s="1">
        <f t="array" ref="E412">IF(OR(Table4[[#This Row],[INSTALLMENT]]=1,Table4[[#This Row],[INSTALLMENT]]=2,Table4[[#This Row],[INSTALLMENT]]=3),1,0)</f>
        <v>0</v>
      </c>
      <c r="F412" s="1">
        <f>IF(OR(Table4[[#This Row],[INSTALLMENT]]=2,Table4[[#This Row],[INSTALLMENT]]=3),2,0)</f>
        <v>0</v>
      </c>
      <c r="G412" s="1">
        <f>IF(OR(Table4[[#This Row],[INSTALLMENT]]=3),3,0)</f>
        <v>0</v>
      </c>
    </row>
    <row r="413" spans="1:7">
      <c r="A413" s="1">
        <v>416</v>
      </c>
      <c r="B413" s="1" t="s">
        <v>2272</v>
      </c>
      <c r="C413" s="1" t="s">
        <v>499</v>
      </c>
      <c r="D413" s="1">
        <f>COUNTIFS('Raw Entries'!B:B,Table4[[#This Row],[Name]],'Raw Entries'!I:I,Table4[[#This Row],[BOOK No.]])</f>
        <v>0</v>
      </c>
      <c r="E413" s="1">
        <f t="array" ref="E413">IF(OR(Table4[[#This Row],[INSTALLMENT]]=1,Table4[[#This Row],[INSTALLMENT]]=2,Table4[[#This Row],[INSTALLMENT]]=3),1,0)</f>
        <v>0</v>
      </c>
      <c r="F413" s="1">
        <f>IF(OR(Table4[[#This Row],[INSTALLMENT]]=2,Table4[[#This Row],[INSTALLMENT]]=3),2,0)</f>
        <v>0</v>
      </c>
      <c r="G413" s="1">
        <f>IF(OR(Table4[[#This Row],[INSTALLMENT]]=3),3,0)</f>
        <v>0</v>
      </c>
    </row>
    <row r="414" spans="1:7">
      <c r="A414" s="1">
        <v>417</v>
      </c>
      <c r="B414" s="1" t="s">
        <v>2273</v>
      </c>
      <c r="C414" s="1" t="s">
        <v>499</v>
      </c>
      <c r="D414" s="1">
        <f>COUNTIFS('Raw Entries'!B:B,Table4[[#This Row],[Name]],'Raw Entries'!I:I,Table4[[#This Row],[BOOK No.]])</f>
        <v>0</v>
      </c>
      <c r="E414" s="1">
        <f t="array" ref="E414">IF(OR(Table4[[#This Row],[INSTALLMENT]]=1,Table4[[#This Row],[INSTALLMENT]]=2,Table4[[#This Row],[INSTALLMENT]]=3),1,0)</f>
        <v>0</v>
      </c>
      <c r="F414" s="1">
        <f>IF(OR(Table4[[#This Row],[INSTALLMENT]]=2,Table4[[#This Row],[INSTALLMENT]]=3),2,0)</f>
        <v>0</v>
      </c>
      <c r="G414" s="1">
        <f>IF(OR(Table4[[#This Row],[INSTALLMENT]]=3),3,0)</f>
        <v>0</v>
      </c>
    </row>
    <row r="415" spans="1:7">
      <c r="A415" s="1">
        <v>418</v>
      </c>
      <c r="B415" s="1" t="s">
        <v>2274</v>
      </c>
      <c r="C415" s="1" t="s">
        <v>499</v>
      </c>
      <c r="D415" s="1">
        <f>COUNTIFS('Raw Entries'!B:B,Table4[[#This Row],[Name]],'Raw Entries'!I:I,Table4[[#This Row],[BOOK No.]])</f>
        <v>0</v>
      </c>
      <c r="E415" s="1">
        <f t="array" ref="E415">IF(OR(Table4[[#This Row],[INSTALLMENT]]=1,Table4[[#This Row],[INSTALLMENT]]=2,Table4[[#This Row],[INSTALLMENT]]=3),1,0)</f>
        <v>0</v>
      </c>
      <c r="F415" s="1">
        <f>IF(OR(Table4[[#This Row],[INSTALLMENT]]=2,Table4[[#This Row],[INSTALLMENT]]=3),2,0)</f>
        <v>0</v>
      </c>
      <c r="G415" s="1">
        <f>IF(OR(Table4[[#This Row],[INSTALLMENT]]=3),3,0)</f>
        <v>0</v>
      </c>
    </row>
    <row r="416" spans="1:7">
      <c r="A416" s="1">
        <v>419</v>
      </c>
      <c r="B416" s="1" t="s">
        <v>2275</v>
      </c>
      <c r="C416" s="1" t="s">
        <v>499</v>
      </c>
      <c r="D416" s="1">
        <f>COUNTIFS('Raw Entries'!B:B,Table4[[#This Row],[Name]],'Raw Entries'!I:I,Table4[[#This Row],[BOOK No.]])</f>
        <v>0</v>
      </c>
      <c r="E416" s="1">
        <f t="array" ref="E416">IF(OR(Table4[[#This Row],[INSTALLMENT]]=1,Table4[[#This Row],[INSTALLMENT]]=2,Table4[[#This Row],[INSTALLMENT]]=3),1,0)</f>
        <v>0</v>
      </c>
      <c r="F416" s="1">
        <f>IF(OR(Table4[[#This Row],[INSTALLMENT]]=2,Table4[[#This Row],[INSTALLMENT]]=3),2,0)</f>
        <v>0</v>
      </c>
      <c r="G416" s="1">
        <f>IF(OR(Table4[[#This Row],[INSTALLMENT]]=3),3,0)</f>
        <v>0</v>
      </c>
    </row>
    <row r="417" spans="1:7">
      <c r="A417" s="1">
        <v>420</v>
      </c>
      <c r="B417" s="1" t="s">
        <v>2276</v>
      </c>
      <c r="C417" s="1" t="s">
        <v>499</v>
      </c>
      <c r="D417" s="1">
        <f>COUNTIFS('Raw Entries'!B:B,Table4[[#This Row],[Name]],'Raw Entries'!I:I,Table4[[#This Row],[BOOK No.]])</f>
        <v>0</v>
      </c>
      <c r="E417" s="1">
        <f t="array" ref="E417">IF(OR(Table4[[#This Row],[INSTALLMENT]]=1,Table4[[#This Row],[INSTALLMENT]]=2,Table4[[#This Row],[INSTALLMENT]]=3),1,0)</f>
        <v>0</v>
      </c>
      <c r="F417" s="1">
        <f>IF(OR(Table4[[#This Row],[INSTALLMENT]]=2,Table4[[#This Row],[INSTALLMENT]]=3),2,0)</f>
        <v>0</v>
      </c>
      <c r="G417" s="1">
        <f>IF(OR(Table4[[#This Row],[INSTALLMENT]]=3),3,0)</f>
        <v>0</v>
      </c>
    </row>
    <row r="418" spans="1:7">
      <c r="A418" s="1">
        <v>421</v>
      </c>
      <c r="B418" s="1" t="s">
        <v>2277</v>
      </c>
      <c r="C418" s="1" t="s">
        <v>499</v>
      </c>
      <c r="D418" s="1">
        <f>COUNTIFS('Raw Entries'!B:B,Table4[[#This Row],[Name]],'Raw Entries'!I:I,Table4[[#This Row],[BOOK No.]])</f>
        <v>0</v>
      </c>
      <c r="E418" s="1">
        <f t="array" ref="E418">IF(OR(Table4[[#This Row],[INSTALLMENT]]=1,Table4[[#This Row],[INSTALLMENT]]=2,Table4[[#This Row],[INSTALLMENT]]=3),1,0)</f>
        <v>0</v>
      </c>
      <c r="F418" s="1">
        <f>IF(OR(Table4[[#This Row],[INSTALLMENT]]=2,Table4[[#This Row],[INSTALLMENT]]=3),2,0)</f>
        <v>0</v>
      </c>
      <c r="G418" s="1">
        <f>IF(OR(Table4[[#This Row],[INSTALLMENT]]=3),3,0)</f>
        <v>0</v>
      </c>
    </row>
    <row r="419" spans="1:7">
      <c r="A419" s="1">
        <v>422</v>
      </c>
      <c r="B419" s="1" t="s">
        <v>2278</v>
      </c>
      <c r="C419" s="1" t="s">
        <v>499</v>
      </c>
      <c r="D419" s="1">
        <f>COUNTIFS('Raw Entries'!B:B,Table4[[#This Row],[Name]],'Raw Entries'!I:I,Table4[[#This Row],[BOOK No.]])</f>
        <v>0</v>
      </c>
      <c r="E419" s="1">
        <f t="array" ref="E419">IF(OR(Table4[[#This Row],[INSTALLMENT]]=1,Table4[[#This Row],[INSTALLMENT]]=2,Table4[[#This Row],[INSTALLMENT]]=3),1,0)</f>
        <v>0</v>
      </c>
      <c r="F419" s="1">
        <f>IF(OR(Table4[[#This Row],[INSTALLMENT]]=2,Table4[[#This Row],[INSTALLMENT]]=3),2,0)</f>
        <v>0</v>
      </c>
      <c r="G419" s="1">
        <f>IF(OR(Table4[[#This Row],[INSTALLMENT]]=3),3,0)</f>
        <v>0</v>
      </c>
    </row>
    <row r="420" spans="1:7">
      <c r="A420" s="1">
        <v>423</v>
      </c>
      <c r="B420" s="1" t="s">
        <v>2279</v>
      </c>
      <c r="C420" s="1" t="s">
        <v>499</v>
      </c>
      <c r="D420" s="1">
        <f>COUNTIFS('Raw Entries'!B:B,Table4[[#This Row],[Name]],'Raw Entries'!I:I,Table4[[#This Row],[BOOK No.]])</f>
        <v>0</v>
      </c>
      <c r="E420" s="1">
        <f t="array" ref="E420">IF(OR(Table4[[#This Row],[INSTALLMENT]]=1,Table4[[#This Row],[INSTALLMENT]]=2,Table4[[#This Row],[INSTALLMENT]]=3),1,0)</f>
        <v>0</v>
      </c>
      <c r="F420" s="1">
        <f>IF(OR(Table4[[#This Row],[INSTALLMENT]]=2,Table4[[#This Row],[INSTALLMENT]]=3),2,0)</f>
        <v>0</v>
      </c>
      <c r="G420" s="1">
        <f>IF(OR(Table4[[#This Row],[INSTALLMENT]]=3),3,0)</f>
        <v>0</v>
      </c>
    </row>
    <row r="421" spans="1:7">
      <c r="A421" s="1">
        <v>424</v>
      </c>
      <c r="B421" s="1" t="s">
        <v>503</v>
      </c>
      <c r="C421" s="1" t="s">
        <v>499</v>
      </c>
      <c r="D421" s="1">
        <f>COUNTIFS('Raw Entries'!B:B,Table4[[#This Row],[Name]],'Raw Entries'!I:I,Table4[[#This Row],[BOOK No.]])</f>
        <v>3</v>
      </c>
      <c r="E421" s="1">
        <f t="array" ref="E421">IF(OR(Table4[[#This Row],[INSTALLMENT]]=1,Table4[[#This Row],[INSTALLMENT]]=2,Table4[[#This Row],[INSTALLMENT]]=3),1,0)</f>
        <v>1</v>
      </c>
      <c r="F421" s="1">
        <f>IF(OR(Table4[[#This Row],[INSTALLMENT]]=2,Table4[[#This Row],[INSTALLMENT]]=3),2,0)</f>
        <v>2</v>
      </c>
      <c r="G421" s="1">
        <f>IF(OR(Table4[[#This Row],[INSTALLMENT]]=3),3,0)</f>
        <v>3</v>
      </c>
    </row>
    <row r="422" spans="1:7">
      <c r="A422" s="1">
        <v>425</v>
      </c>
      <c r="B422" s="1" t="s">
        <v>2280</v>
      </c>
      <c r="C422" s="1" t="s">
        <v>499</v>
      </c>
      <c r="D422" s="1">
        <f>COUNTIFS('Raw Entries'!B:B,Table4[[#This Row],[Name]],'Raw Entries'!I:I,Table4[[#This Row],[BOOK No.]])</f>
        <v>0</v>
      </c>
      <c r="E422" s="1">
        <f t="array" ref="E422">IF(OR(Table4[[#This Row],[INSTALLMENT]]=1,Table4[[#This Row],[INSTALLMENT]]=2,Table4[[#This Row],[INSTALLMENT]]=3),1,0)</f>
        <v>0</v>
      </c>
      <c r="F422" s="1">
        <f>IF(OR(Table4[[#This Row],[INSTALLMENT]]=2,Table4[[#This Row],[INSTALLMENT]]=3),2,0)</f>
        <v>0</v>
      </c>
      <c r="G422" s="1">
        <f>IF(OR(Table4[[#This Row],[INSTALLMENT]]=3),3,0)</f>
        <v>0</v>
      </c>
    </row>
    <row r="423" spans="1:7">
      <c r="A423" s="1">
        <v>426</v>
      </c>
      <c r="B423" s="1" t="s">
        <v>2281</v>
      </c>
      <c r="C423" s="1" t="s">
        <v>499</v>
      </c>
      <c r="D423" s="1">
        <f>COUNTIFS('Raw Entries'!B:B,Table4[[#This Row],[Name]],'Raw Entries'!I:I,Table4[[#This Row],[BOOK No.]])</f>
        <v>0</v>
      </c>
      <c r="E423" s="1">
        <f t="array" ref="E423">IF(OR(Table4[[#This Row],[INSTALLMENT]]=1,Table4[[#This Row],[INSTALLMENT]]=2,Table4[[#This Row],[INSTALLMENT]]=3),1,0)</f>
        <v>0</v>
      </c>
      <c r="F423" s="1">
        <f>IF(OR(Table4[[#This Row],[INSTALLMENT]]=2,Table4[[#This Row],[INSTALLMENT]]=3),2,0)</f>
        <v>0</v>
      </c>
      <c r="G423" s="1">
        <f>IF(OR(Table4[[#This Row],[INSTALLMENT]]=3),3,0)</f>
        <v>0</v>
      </c>
    </row>
    <row r="424" spans="1:7">
      <c r="A424" s="1">
        <v>427</v>
      </c>
      <c r="B424" s="1" t="s">
        <v>2282</v>
      </c>
      <c r="C424" s="1" t="s">
        <v>499</v>
      </c>
      <c r="D424" s="1">
        <f>COUNTIFS('Raw Entries'!B:B,Table4[[#This Row],[Name]],'Raw Entries'!I:I,Table4[[#This Row],[BOOK No.]])</f>
        <v>0</v>
      </c>
      <c r="E424" s="1">
        <f t="array" ref="E424">IF(OR(Table4[[#This Row],[INSTALLMENT]]=1,Table4[[#This Row],[INSTALLMENT]]=2,Table4[[#This Row],[INSTALLMENT]]=3),1,0)</f>
        <v>0</v>
      </c>
      <c r="F424" s="1">
        <f>IF(OR(Table4[[#This Row],[INSTALLMENT]]=2,Table4[[#This Row],[INSTALLMENT]]=3),2,0)</f>
        <v>0</v>
      </c>
      <c r="G424" s="1">
        <f>IF(OR(Table4[[#This Row],[INSTALLMENT]]=3),3,0)</f>
        <v>0</v>
      </c>
    </row>
    <row r="425" spans="1:7">
      <c r="A425" s="1">
        <v>428</v>
      </c>
      <c r="B425" s="1" t="s">
        <v>2283</v>
      </c>
      <c r="C425" s="1" t="s">
        <v>499</v>
      </c>
      <c r="D425" s="1">
        <f>COUNTIFS('Raw Entries'!B:B,Table4[[#This Row],[Name]],'Raw Entries'!I:I,Table4[[#This Row],[BOOK No.]])</f>
        <v>0</v>
      </c>
      <c r="E425" s="1">
        <f t="array" ref="E425">IF(OR(Table4[[#This Row],[INSTALLMENT]]=1,Table4[[#This Row],[INSTALLMENT]]=2,Table4[[#This Row],[INSTALLMENT]]=3),1,0)</f>
        <v>0</v>
      </c>
      <c r="F425" s="1">
        <f>IF(OR(Table4[[#This Row],[INSTALLMENT]]=2,Table4[[#This Row],[INSTALLMENT]]=3),2,0)</f>
        <v>0</v>
      </c>
      <c r="G425" s="1">
        <f>IF(OR(Table4[[#This Row],[INSTALLMENT]]=3),3,0)</f>
        <v>0</v>
      </c>
    </row>
    <row r="426" spans="1:7">
      <c r="A426" s="1">
        <v>429</v>
      </c>
      <c r="B426" s="1" t="s">
        <v>2284</v>
      </c>
      <c r="C426" s="1" t="s">
        <v>499</v>
      </c>
      <c r="D426" s="1">
        <f>COUNTIFS('Raw Entries'!B:B,Table4[[#This Row],[Name]],'Raw Entries'!I:I,Table4[[#This Row],[BOOK No.]])</f>
        <v>0</v>
      </c>
      <c r="E426" s="1">
        <f t="array" ref="E426">IF(OR(Table4[[#This Row],[INSTALLMENT]]=1,Table4[[#This Row],[INSTALLMENT]]=2,Table4[[#This Row],[INSTALLMENT]]=3),1,0)</f>
        <v>0</v>
      </c>
      <c r="F426" s="1">
        <f>IF(OR(Table4[[#This Row],[INSTALLMENT]]=2,Table4[[#This Row],[INSTALLMENT]]=3),2,0)</f>
        <v>0</v>
      </c>
      <c r="G426" s="1">
        <f>IF(OR(Table4[[#This Row],[INSTALLMENT]]=3),3,0)</f>
        <v>0</v>
      </c>
    </row>
    <row r="427" spans="1:7">
      <c r="A427" s="1">
        <v>430</v>
      </c>
      <c r="B427" s="1" t="s">
        <v>2285</v>
      </c>
      <c r="C427" s="1" t="s">
        <v>499</v>
      </c>
      <c r="D427" s="1">
        <f>COUNTIFS('Raw Entries'!B:B,Table4[[#This Row],[Name]],'Raw Entries'!I:I,Table4[[#This Row],[BOOK No.]])</f>
        <v>0</v>
      </c>
      <c r="E427" s="1">
        <f t="array" ref="E427">IF(OR(Table4[[#This Row],[INSTALLMENT]]=1,Table4[[#This Row],[INSTALLMENT]]=2,Table4[[#This Row],[INSTALLMENT]]=3),1,0)</f>
        <v>0</v>
      </c>
      <c r="F427" s="1">
        <f>IF(OR(Table4[[#This Row],[INSTALLMENT]]=2,Table4[[#This Row],[INSTALLMENT]]=3),2,0)</f>
        <v>0</v>
      </c>
      <c r="G427" s="1">
        <f>IF(OR(Table4[[#This Row],[INSTALLMENT]]=3),3,0)</f>
        <v>0</v>
      </c>
    </row>
    <row r="428" spans="1:7">
      <c r="A428" s="1">
        <v>431</v>
      </c>
      <c r="B428" s="1" t="s">
        <v>2286</v>
      </c>
      <c r="C428" s="1" t="s">
        <v>499</v>
      </c>
      <c r="D428" s="1">
        <f>COUNTIFS('Raw Entries'!B:B,Table4[[#This Row],[Name]],'Raw Entries'!I:I,Table4[[#This Row],[BOOK No.]])</f>
        <v>0</v>
      </c>
      <c r="E428" s="1">
        <f t="array" ref="E428">IF(OR(Table4[[#This Row],[INSTALLMENT]]=1,Table4[[#This Row],[INSTALLMENT]]=2,Table4[[#This Row],[INSTALLMENT]]=3),1,0)</f>
        <v>0</v>
      </c>
      <c r="F428" s="1">
        <f>IF(OR(Table4[[#This Row],[INSTALLMENT]]=2,Table4[[#This Row],[INSTALLMENT]]=3),2,0)</f>
        <v>0</v>
      </c>
      <c r="G428" s="1">
        <f>IF(OR(Table4[[#This Row],[INSTALLMENT]]=3),3,0)</f>
        <v>0</v>
      </c>
    </row>
    <row r="429" spans="1:7">
      <c r="A429" s="1">
        <v>432</v>
      </c>
      <c r="B429" s="1" t="s">
        <v>2287</v>
      </c>
      <c r="C429" s="1" t="s">
        <v>499</v>
      </c>
      <c r="D429" s="1">
        <f>COUNTIFS('Raw Entries'!B:B,Table4[[#This Row],[Name]],'Raw Entries'!I:I,Table4[[#This Row],[BOOK No.]])</f>
        <v>0</v>
      </c>
      <c r="E429" s="1">
        <f t="array" ref="E429">IF(OR(Table4[[#This Row],[INSTALLMENT]]=1,Table4[[#This Row],[INSTALLMENT]]=2,Table4[[#This Row],[INSTALLMENT]]=3),1,0)</f>
        <v>0</v>
      </c>
      <c r="F429" s="1">
        <f>IF(OR(Table4[[#This Row],[INSTALLMENT]]=2,Table4[[#This Row],[INSTALLMENT]]=3),2,0)</f>
        <v>0</v>
      </c>
      <c r="G429" s="1">
        <f>IF(OR(Table4[[#This Row],[INSTALLMENT]]=3),3,0)</f>
        <v>0</v>
      </c>
    </row>
    <row r="430" spans="1:7">
      <c r="A430" s="1">
        <v>433</v>
      </c>
      <c r="B430" s="1" t="s">
        <v>2288</v>
      </c>
      <c r="C430" s="1" t="s">
        <v>499</v>
      </c>
      <c r="D430" s="1">
        <f>COUNTIFS('Raw Entries'!B:B,Table4[[#This Row],[Name]],'Raw Entries'!I:I,Table4[[#This Row],[BOOK No.]])</f>
        <v>0</v>
      </c>
      <c r="E430" s="1">
        <f t="array" ref="E430">IF(OR(Table4[[#This Row],[INSTALLMENT]]=1,Table4[[#This Row],[INSTALLMENT]]=2,Table4[[#This Row],[INSTALLMENT]]=3),1,0)</f>
        <v>0</v>
      </c>
      <c r="F430" s="1">
        <f>IF(OR(Table4[[#This Row],[INSTALLMENT]]=2,Table4[[#This Row],[INSTALLMENT]]=3),2,0)</f>
        <v>0</v>
      </c>
      <c r="G430" s="1">
        <f>IF(OR(Table4[[#This Row],[INSTALLMENT]]=3),3,0)</f>
        <v>0</v>
      </c>
    </row>
    <row r="431" spans="1:7">
      <c r="A431" s="1">
        <v>434</v>
      </c>
      <c r="B431" s="1" t="s">
        <v>2289</v>
      </c>
      <c r="C431" s="1" t="s">
        <v>499</v>
      </c>
      <c r="D431" s="1">
        <f>COUNTIFS('Raw Entries'!B:B,Table4[[#This Row],[Name]],'Raw Entries'!I:I,Table4[[#This Row],[BOOK No.]])</f>
        <v>0</v>
      </c>
      <c r="E431" s="1">
        <f t="array" ref="E431">IF(OR(Table4[[#This Row],[INSTALLMENT]]=1,Table4[[#This Row],[INSTALLMENT]]=2,Table4[[#This Row],[INSTALLMENT]]=3),1,0)</f>
        <v>0</v>
      </c>
      <c r="F431" s="1">
        <f>IF(OR(Table4[[#This Row],[INSTALLMENT]]=2,Table4[[#This Row],[INSTALLMENT]]=3),2,0)</f>
        <v>0</v>
      </c>
      <c r="G431" s="1">
        <f>IF(OR(Table4[[#This Row],[INSTALLMENT]]=3),3,0)</f>
        <v>0</v>
      </c>
    </row>
    <row r="432" spans="1:7">
      <c r="A432" s="1">
        <v>435</v>
      </c>
      <c r="B432" s="1" t="s">
        <v>2290</v>
      </c>
      <c r="C432" s="1" t="s">
        <v>499</v>
      </c>
      <c r="D432" s="1">
        <f>COUNTIFS('Raw Entries'!B:B,Table4[[#This Row],[Name]],'Raw Entries'!I:I,Table4[[#This Row],[BOOK No.]])</f>
        <v>0</v>
      </c>
      <c r="E432" s="1">
        <f t="array" ref="E432">IF(OR(Table4[[#This Row],[INSTALLMENT]]=1,Table4[[#This Row],[INSTALLMENT]]=2,Table4[[#This Row],[INSTALLMENT]]=3),1,0)</f>
        <v>0</v>
      </c>
      <c r="F432" s="1">
        <f>IF(OR(Table4[[#This Row],[INSTALLMENT]]=2,Table4[[#This Row],[INSTALLMENT]]=3),2,0)</f>
        <v>0</v>
      </c>
      <c r="G432" s="1">
        <f>IF(OR(Table4[[#This Row],[INSTALLMENT]]=3),3,0)</f>
        <v>0</v>
      </c>
    </row>
    <row r="433" spans="1:7">
      <c r="A433" s="1">
        <v>436</v>
      </c>
      <c r="B433" s="1" t="s">
        <v>501</v>
      </c>
      <c r="C433" s="1" t="s">
        <v>499</v>
      </c>
      <c r="D433" s="1">
        <f>COUNTIFS('Raw Entries'!B:B,Table4[[#This Row],[Name]],'Raw Entries'!I:I,Table4[[#This Row],[BOOK No.]])</f>
        <v>3</v>
      </c>
      <c r="E433" s="1">
        <f t="array" ref="E433">IF(OR(Table4[[#This Row],[INSTALLMENT]]=1,Table4[[#This Row],[INSTALLMENT]]=2,Table4[[#This Row],[INSTALLMENT]]=3),1,0)</f>
        <v>1</v>
      </c>
      <c r="F433" s="1">
        <f>IF(OR(Table4[[#This Row],[INSTALLMENT]]=2,Table4[[#This Row],[INSTALLMENT]]=3),2,0)</f>
        <v>2</v>
      </c>
      <c r="G433" s="1">
        <f>IF(OR(Table4[[#This Row],[INSTALLMENT]]=3),3,0)</f>
        <v>3</v>
      </c>
    </row>
    <row r="434" spans="1:7">
      <c r="A434" s="1">
        <v>437</v>
      </c>
      <c r="B434" s="1" t="s">
        <v>2291</v>
      </c>
      <c r="C434" s="1" t="s">
        <v>504</v>
      </c>
      <c r="D434" s="1">
        <f>COUNTIFS('Raw Entries'!B:B,Table4[[#This Row],[Name]],'Raw Entries'!I:I,Table4[[#This Row],[BOOK No.]])</f>
        <v>0</v>
      </c>
      <c r="E434" s="1">
        <f t="array" ref="E434">IF(OR(Table4[[#This Row],[INSTALLMENT]]=1,Table4[[#This Row],[INSTALLMENT]]=2,Table4[[#This Row],[INSTALLMENT]]=3),1,0)</f>
        <v>0</v>
      </c>
      <c r="F434" s="1">
        <f>IF(OR(Table4[[#This Row],[INSTALLMENT]]=2,Table4[[#This Row],[INSTALLMENT]]=3),2,0)</f>
        <v>0</v>
      </c>
      <c r="G434" s="1">
        <f>IF(OR(Table4[[#This Row],[INSTALLMENT]]=3),3,0)</f>
        <v>0</v>
      </c>
    </row>
    <row r="435" spans="1:7">
      <c r="A435" s="1">
        <v>438</v>
      </c>
      <c r="B435" s="1" t="s">
        <v>2292</v>
      </c>
      <c r="C435" s="1" t="s">
        <v>504</v>
      </c>
      <c r="D435" s="1">
        <f>COUNTIFS('Raw Entries'!B:B,Table4[[#This Row],[Name]],'Raw Entries'!I:I,Table4[[#This Row],[BOOK No.]])</f>
        <v>0</v>
      </c>
      <c r="E435" s="1">
        <f t="array" ref="E435">IF(OR(Table4[[#This Row],[INSTALLMENT]]=1,Table4[[#This Row],[INSTALLMENT]]=2,Table4[[#This Row],[INSTALLMENT]]=3),1,0)</f>
        <v>0</v>
      </c>
      <c r="F435" s="1">
        <f>IF(OR(Table4[[#This Row],[INSTALLMENT]]=2,Table4[[#This Row],[INSTALLMENT]]=3),2,0)</f>
        <v>0</v>
      </c>
      <c r="G435" s="1">
        <f>IF(OR(Table4[[#This Row],[INSTALLMENT]]=3),3,0)</f>
        <v>0</v>
      </c>
    </row>
    <row r="436" spans="1:7">
      <c r="A436" s="1">
        <v>439</v>
      </c>
      <c r="B436" s="1" t="s">
        <v>506</v>
      </c>
      <c r="C436" s="1" t="s">
        <v>504</v>
      </c>
      <c r="D436" s="1">
        <f>COUNTIFS('Raw Entries'!B:B,Table4[[#This Row],[Name]],'Raw Entries'!I:I,Table4[[#This Row],[BOOK No.]])</f>
        <v>3</v>
      </c>
      <c r="E436" s="1">
        <f t="array" ref="E436">IF(OR(Table4[[#This Row],[INSTALLMENT]]=1,Table4[[#This Row],[INSTALLMENT]]=2,Table4[[#This Row],[INSTALLMENT]]=3),1,0)</f>
        <v>1</v>
      </c>
      <c r="F436" s="1">
        <f>IF(OR(Table4[[#This Row],[INSTALLMENT]]=2,Table4[[#This Row],[INSTALLMENT]]=3),2,0)</f>
        <v>2</v>
      </c>
      <c r="G436" s="1">
        <f>IF(OR(Table4[[#This Row],[INSTALLMENT]]=3),3,0)</f>
        <v>3</v>
      </c>
    </row>
    <row r="437" spans="1:7">
      <c r="A437" s="1">
        <v>440</v>
      </c>
      <c r="B437" s="1" t="s">
        <v>2293</v>
      </c>
      <c r="C437" s="1" t="s">
        <v>504</v>
      </c>
      <c r="D437" s="1">
        <f>COUNTIFS('Raw Entries'!B:B,Table4[[#This Row],[Name]],'Raw Entries'!I:I,Table4[[#This Row],[BOOK No.]])</f>
        <v>0</v>
      </c>
      <c r="E437" s="1">
        <f t="array" ref="E437">IF(OR(Table4[[#This Row],[INSTALLMENT]]=1,Table4[[#This Row],[INSTALLMENT]]=2,Table4[[#This Row],[INSTALLMENT]]=3),1,0)</f>
        <v>0</v>
      </c>
      <c r="F437" s="1">
        <f>IF(OR(Table4[[#This Row],[INSTALLMENT]]=2,Table4[[#This Row],[INSTALLMENT]]=3),2,0)</f>
        <v>0</v>
      </c>
      <c r="G437" s="1">
        <f>IF(OR(Table4[[#This Row],[INSTALLMENT]]=3),3,0)</f>
        <v>0</v>
      </c>
    </row>
    <row r="438" spans="1:7">
      <c r="A438" s="1">
        <v>441</v>
      </c>
      <c r="B438" s="1" t="s">
        <v>414</v>
      </c>
      <c r="C438" s="1" t="s">
        <v>504</v>
      </c>
      <c r="D438" s="1">
        <f>COUNTIFS('Raw Entries'!B:B,Table4[[#This Row],[Name]],'Raw Entries'!I:I,Table4[[#This Row],[BOOK No.]])</f>
        <v>0</v>
      </c>
      <c r="E438" s="1">
        <f t="array" ref="E438">IF(OR(Table4[[#This Row],[INSTALLMENT]]=1,Table4[[#This Row],[INSTALLMENT]]=2,Table4[[#This Row],[INSTALLMENT]]=3),1,0)</f>
        <v>0</v>
      </c>
      <c r="F438" s="1">
        <f>IF(OR(Table4[[#This Row],[INSTALLMENT]]=2,Table4[[#This Row],[INSTALLMENT]]=3),2,0)</f>
        <v>0</v>
      </c>
      <c r="G438" s="1">
        <f>IF(OR(Table4[[#This Row],[INSTALLMENT]]=3),3,0)</f>
        <v>0</v>
      </c>
    </row>
    <row r="439" spans="1:7">
      <c r="A439" s="1">
        <v>442</v>
      </c>
      <c r="B439" s="1" t="s">
        <v>2294</v>
      </c>
      <c r="C439" s="1" t="s">
        <v>504</v>
      </c>
      <c r="D439" s="1">
        <f>COUNTIFS('Raw Entries'!B:B,Table4[[#This Row],[Name]],'Raw Entries'!I:I,Table4[[#This Row],[BOOK No.]])</f>
        <v>0</v>
      </c>
      <c r="E439" s="1">
        <f t="array" ref="E439">IF(OR(Table4[[#This Row],[INSTALLMENT]]=1,Table4[[#This Row],[INSTALLMENT]]=2,Table4[[#This Row],[INSTALLMENT]]=3),1,0)</f>
        <v>0</v>
      </c>
      <c r="F439" s="1">
        <f>IF(OR(Table4[[#This Row],[INSTALLMENT]]=2,Table4[[#This Row],[INSTALLMENT]]=3),2,0)</f>
        <v>0</v>
      </c>
      <c r="G439" s="1">
        <f>IF(OR(Table4[[#This Row],[INSTALLMENT]]=3),3,0)</f>
        <v>0</v>
      </c>
    </row>
    <row r="440" spans="1:7">
      <c r="A440" s="1">
        <v>443</v>
      </c>
      <c r="B440" s="1" t="s">
        <v>2295</v>
      </c>
      <c r="C440" s="1" t="s">
        <v>504</v>
      </c>
      <c r="D440" s="1">
        <f>COUNTIFS('Raw Entries'!B:B,Table4[[#This Row],[Name]],'Raw Entries'!I:I,Table4[[#This Row],[BOOK No.]])</f>
        <v>0</v>
      </c>
      <c r="E440" s="1">
        <f t="array" ref="E440">IF(OR(Table4[[#This Row],[INSTALLMENT]]=1,Table4[[#This Row],[INSTALLMENT]]=2,Table4[[#This Row],[INSTALLMENT]]=3),1,0)</f>
        <v>0</v>
      </c>
      <c r="F440" s="1">
        <f>IF(OR(Table4[[#This Row],[INSTALLMENT]]=2,Table4[[#This Row],[INSTALLMENT]]=3),2,0)</f>
        <v>0</v>
      </c>
      <c r="G440" s="1">
        <f>IF(OR(Table4[[#This Row],[INSTALLMENT]]=3),3,0)</f>
        <v>0</v>
      </c>
    </row>
    <row r="441" spans="1:7">
      <c r="A441" s="1">
        <v>444</v>
      </c>
      <c r="B441" s="1" t="s">
        <v>2296</v>
      </c>
      <c r="C441" s="1" t="s">
        <v>504</v>
      </c>
      <c r="D441" s="1">
        <f>COUNTIFS('Raw Entries'!B:B,Table4[[#This Row],[Name]],'Raw Entries'!I:I,Table4[[#This Row],[BOOK No.]])</f>
        <v>0</v>
      </c>
      <c r="E441" s="1">
        <f t="array" ref="E441">IF(OR(Table4[[#This Row],[INSTALLMENT]]=1,Table4[[#This Row],[INSTALLMENT]]=2,Table4[[#This Row],[INSTALLMENT]]=3),1,0)</f>
        <v>0</v>
      </c>
      <c r="F441" s="1">
        <f>IF(OR(Table4[[#This Row],[INSTALLMENT]]=2,Table4[[#This Row],[INSTALLMENT]]=3),2,0)</f>
        <v>0</v>
      </c>
      <c r="G441" s="1">
        <f>IF(OR(Table4[[#This Row],[INSTALLMENT]]=3),3,0)</f>
        <v>0</v>
      </c>
    </row>
    <row r="442" spans="1:7">
      <c r="A442" s="1">
        <v>445</v>
      </c>
      <c r="B442" s="1" t="s">
        <v>2297</v>
      </c>
      <c r="C442" s="1" t="s">
        <v>504</v>
      </c>
      <c r="D442" s="1">
        <f>COUNTIFS('Raw Entries'!B:B,Table4[[#This Row],[Name]],'Raw Entries'!I:I,Table4[[#This Row],[BOOK No.]])</f>
        <v>0</v>
      </c>
      <c r="E442" s="1">
        <f t="array" ref="E442">IF(OR(Table4[[#This Row],[INSTALLMENT]]=1,Table4[[#This Row],[INSTALLMENT]]=2,Table4[[#This Row],[INSTALLMENT]]=3),1,0)</f>
        <v>0</v>
      </c>
      <c r="F442" s="1">
        <f>IF(OR(Table4[[#This Row],[INSTALLMENT]]=2,Table4[[#This Row],[INSTALLMENT]]=3),2,0)</f>
        <v>0</v>
      </c>
      <c r="G442" s="1">
        <f>IF(OR(Table4[[#This Row],[INSTALLMENT]]=3),3,0)</f>
        <v>0</v>
      </c>
    </row>
    <row r="443" spans="1:7">
      <c r="A443" s="1">
        <v>446</v>
      </c>
      <c r="B443" s="1" t="s">
        <v>2298</v>
      </c>
      <c r="C443" s="1" t="s">
        <v>504</v>
      </c>
      <c r="D443" s="1">
        <f>COUNTIFS('Raw Entries'!B:B,Table4[[#This Row],[Name]],'Raw Entries'!I:I,Table4[[#This Row],[BOOK No.]])</f>
        <v>0</v>
      </c>
      <c r="E443" s="1">
        <f t="array" ref="E443">IF(OR(Table4[[#This Row],[INSTALLMENT]]=1,Table4[[#This Row],[INSTALLMENT]]=2,Table4[[#This Row],[INSTALLMENT]]=3),1,0)</f>
        <v>0</v>
      </c>
      <c r="F443" s="1">
        <f>IF(OR(Table4[[#This Row],[INSTALLMENT]]=2,Table4[[#This Row],[INSTALLMENT]]=3),2,0)</f>
        <v>0</v>
      </c>
      <c r="G443" s="1">
        <f>IF(OR(Table4[[#This Row],[INSTALLMENT]]=3),3,0)</f>
        <v>0</v>
      </c>
    </row>
    <row r="444" spans="1:7">
      <c r="A444" s="1">
        <v>447</v>
      </c>
      <c r="B444" s="1" t="s">
        <v>2299</v>
      </c>
      <c r="C444" s="1" t="s">
        <v>504</v>
      </c>
      <c r="D444" s="1">
        <f>COUNTIFS('Raw Entries'!B:B,Table4[[#This Row],[Name]],'Raw Entries'!I:I,Table4[[#This Row],[BOOK No.]])</f>
        <v>0</v>
      </c>
      <c r="E444" s="1">
        <f t="array" ref="E444">IF(OR(Table4[[#This Row],[INSTALLMENT]]=1,Table4[[#This Row],[INSTALLMENT]]=2,Table4[[#This Row],[INSTALLMENT]]=3),1,0)</f>
        <v>0</v>
      </c>
      <c r="F444" s="1">
        <f>IF(OR(Table4[[#This Row],[INSTALLMENT]]=2,Table4[[#This Row],[INSTALLMENT]]=3),2,0)</f>
        <v>0</v>
      </c>
      <c r="G444" s="1">
        <f>IF(OR(Table4[[#This Row],[INSTALLMENT]]=3),3,0)</f>
        <v>0</v>
      </c>
    </row>
    <row r="445" spans="1:7">
      <c r="A445" s="1">
        <v>448</v>
      </c>
      <c r="B445" s="1" t="s">
        <v>2300</v>
      </c>
      <c r="C445" s="1" t="s">
        <v>504</v>
      </c>
      <c r="D445" s="1">
        <f>COUNTIFS('Raw Entries'!B:B,Table4[[#This Row],[Name]],'Raw Entries'!I:I,Table4[[#This Row],[BOOK No.]])</f>
        <v>0</v>
      </c>
      <c r="E445" s="1">
        <f t="array" ref="E445">IF(OR(Table4[[#This Row],[INSTALLMENT]]=1,Table4[[#This Row],[INSTALLMENT]]=2,Table4[[#This Row],[INSTALLMENT]]=3),1,0)</f>
        <v>0</v>
      </c>
      <c r="F445" s="1">
        <f>IF(OR(Table4[[#This Row],[INSTALLMENT]]=2,Table4[[#This Row],[INSTALLMENT]]=3),2,0)</f>
        <v>0</v>
      </c>
      <c r="G445" s="1">
        <f>IF(OR(Table4[[#This Row],[INSTALLMENT]]=3),3,0)</f>
        <v>0</v>
      </c>
    </row>
    <row r="446" spans="1:7">
      <c r="A446" s="1">
        <v>449</v>
      </c>
      <c r="B446" s="1" t="s">
        <v>505</v>
      </c>
      <c r="C446" s="1" t="s">
        <v>504</v>
      </c>
      <c r="D446" s="1">
        <f>COUNTIFS('Raw Entries'!B:B,Table4[[#This Row],[Name]],'Raw Entries'!I:I,Table4[[#This Row],[BOOK No.]])</f>
        <v>1</v>
      </c>
      <c r="E446" s="1">
        <f t="array" ref="E446">IF(OR(Table4[[#This Row],[INSTALLMENT]]=1,Table4[[#This Row],[INSTALLMENT]]=2,Table4[[#This Row],[INSTALLMENT]]=3),1,0)</f>
        <v>1</v>
      </c>
      <c r="F446" s="1">
        <f>IF(OR(Table4[[#This Row],[INSTALLMENT]]=2,Table4[[#This Row],[INSTALLMENT]]=3),2,0)</f>
        <v>0</v>
      </c>
      <c r="G446" s="1">
        <f>IF(OR(Table4[[#This Row],[INSTALLMENT]]=3),3,0)</f>
        <v>0</v>
      </c>
    </row>
    <row r="447" spans="1:7">
      <c r="A447" s="1">
        <v>450</v>
      </c>
      <c r="B447" s="1" t="s">
        <v>508</v>
      </c>
      <c r="C447" s="1" t="s">
        <v>504</v>
      </c>
      <c r="D447" s="1">
        <f>COUNTIFS('Raw Entries'!B:B,Table4[[#This Row],[Name]],'Raw Entries'!I:I,Table4[[#This Row],[BOOK No.]])</f>
        <v>1</v>
      </c>
      <c r="E447" s="1">
        <f t="array" ref="E447">IF(OR(Table4[[#This Row],[INSTALLMENT]]=1,Table4[[#This Row],[INSTALLMENT]]=2,Table4[[#This Row],[INSTALLMENT]]=3),1,0)</f>
        <v>1</v>
      </c>
      <c r="F447" s="1">
        <f>IF(OR(Table4[[#This Row],[INSTALLMENT]]=2,Table4[[#This Row],[INSTALLMENT]]=3),2,0)</f>
        <v>0</v>
      </c>
      <c r="G447" s="1">
        <f>IF(OR(Table4[[#This Row],[INSTALLMENT]]=3),3,0)</f>
        <v>0</v>
      </c>
    </row>
    <row r="448" spans="1:7">
      <c r="A448" s="1">
        <v>451</v>
      </c>
      <c r="B448" s="1" t="s">
        <v>2301</v>
      </c>
      <c r="C448" s="1" t="s">
        <v>504</v>
      </c>
      <c r="D448" s="1">
        <f>COUNTIFS('Raw Entries'!B:B,Table4[[#This Row],[Name]],'Raw Entries'!I:I,Table4[[#This Row],[BOOK No.]])</f>
        <v>0</v>
      </c>
      <c r="E448" s="1">
        <f t="array" ref="E448">IF(OR(Table4[[#This Row],[INSTALLMENT]]=1,Table4[[#This Row],[INSTALLMENT]]=2,Table4[[#This Row],[INSTALLMENT]]=3),1,0)</f>
        <v>0</v>
      </c>
      <c r="F448" s="1">
        <f>IF(OR(Table4[[#This Row],[INSTALLMENT]]=2,Table4[[#This Row],[INSTALLMENT]]=3),2,0)</f>
        <v>0</v>
      </c>
      <c r="G448" s="1">
        <f>IF(OR(Table4[[#This Row],[INSTALLMENT]]=3),3,0)</f>
        <v>0</v>
      </c>
    </row>
    <row r="449" spans="1:7">
      <c r="A449" s="1">
        <v>452</v>
      </c>
      <c r="B449" s="1" t="s">
        <v>2302</v>
      </c>
      <c r="C449" s="1" t="s">
        <v>504</v>
      </c>
      <c r="D449" s="1">
        <f>COUNTIFS('Raw Entries'!B:B,Table4[[#This Row],[Name]],'Raw Entries'!I:I,Table4[[#This Row],[BOOK No.]])</f>
        <v>0</v>
      </c>
      <c r="E449" s="1">
        <f t="array" ref="E449">IF(OR(Table4[[#This Row],[INSTALLMENT]]=1,Table4[[#This Row],[INSTALLMENT]]=2,Table4[[#This Row],[INSTALLMENT]]=3),1,0)</f>
        <v>0</v>
      </c>
      <c r="F449" s="1">
        <f>IF(OR(Table4[[#This Row],[INSTALLMENT]]=2,Table4[[#This Row],[INSTALLMENT]]=3),2,0)</f>
        <v>0</v>
      </c>
      <c r="G449" s="1">
        <f>IF(OR(Table4[[#This Row],[INSTALLMENT]]=3),3,0)</f>
        <v>0</v>
      </c>
    </row>
    <row r="450" spans="1:7">
      <c r="A450" s="1">
        <v>453</v>
      </c>
      <c r="B450" s="1" t="s">
        <v>2303</v>
      </c>
      <c r="C450" s="1" t="s">
        <v>504</v>
      </c>
      <c r="D450" s="1">
        <f>COUNTIFS('Raw Entries'!B:B,Table4[[#This Row],[Name]],'Raw Entries'!I:I,Table4[[#This Row],[BOOK No.]])</f>
        <v>0</v>
      </c>
      <c r="E450" s="1">
        <f t="array" ref="E450">IF(OR(Table4[[#This Row],[INSTALLMENT]]=1,Table4[[#This Row],[INSTALLMENT]]=2,Table4[[#This Row],[INSTALLMENT]]=3),1,0)</f>
        <v>0</v>
      </c>
      <c r="F450" s="1">
        <f>IF(OR(Table4[[#This Row],[INSTALLMENT]]=2,Table4[[#This Row],[INSTALLMENT]]=3),2,0)</f>
        <v>0</v>
      </c>
      <c r="G450" s="1">
        <f>IF(OR(Table4[[#This Row],[INSTALLMENT]]=3),3,0)</f>
        <v>0</v>
      </c>
    </row>
    <row r="451" spans="1:7">
      <c r="A451" s="1">
        <v>454</v>
      </c>
      <c r="B451" s="1" t="s">
        <v>507</v>
      </c>
      <c r="C451" s="1" t="s">
        <v>504</v>
      </c>
      <c r="D451" s="1">
        <f>COUNTIFS('Raw Entries'!B:B,Table4[[#This Row],[Name]],'Raw Entries'!I:I,Table4[[#This Row],[BOOK No.]])</f>
        <v>1</v>
      </c>
      <c r="E451" s="1">
        <f t="array" ref="E451">IF(OR(Table4[[#This Row],[INSTALLMENT]]=1,Table4[[#This Row],[INSTALLMENT]]=2,Table4[[#This Row],[INSTALLMENT]]=3),1,0)</f>
        <v>1</v>
      </c>
      <c r="F451" s="1">
        <f>IF(OR(Table4[[#This Row],[INSTALLMENT]]=2,Table4[[#This Row],[INSTALLMENT]]=3),2,0)</f>
        <v>0</v>
      </c>
      <c r="G451" s="1">
        <f>IF(OR(Table4[[#This Row],[INSTALLMENT]]=3),3,0)</f>
        <v>0</v>
      </c>
    </row>
    <row r="452" spans="1:7">
      <c r="A452" s="1">
        <v>455</v>
      </c>
      <c r="B452" s="1" t="s">
        <v>2304</v>
      </c>
      <c r="C452" s="1" t="s">
        <v>504</v>
      </c>
      <c r="D452" s="1">
        <f>COUNTIFS('Raw Entries'!B:B,Table4[[#This Row],[Name]],'Raw Entries'!I:I,Table4[[#This Row],[BOOK No.]])</f>
        <v>0</v>
      </c>
      <c r="E452" s="1">
        <f t="array" ref="E452">IF(OR(Table4[[#This Row],[INSTALLMENT]]=1,Table4[[#This Row],[INSTALLMENT]]=2,Table4[[#This Row],[INSTALLMENT]]=3),1,0)</f>
        <v>0</v>
      </c>
      <c r="F452" s="1">
        <f>IF(OR(Table4[[#This Row],[INSTALLMENT]]=2,Table4[[#This Row],[INSTALLMENT]]=3),2,0)</f>
        <v>0</v>
      </c>
      <c r="G452" s="1">
        <f>IF(OR(Table4[[#This Row],[INSTALLMENT]]=3),3,0)</f>
        <v>0</v>
      </c>
    </row>
    <row r="453" spans="1:7">
      <c r="A453" s="1">
        <v>456</v>
      </c>
      <c r="B453" s="1" t="s">
        <v>2305</v>
      </c>
      <c r="C453" s="1" t="s">
        <v>504</v>
      </c>
      <c r="D453" s="1">
        <f>COUNTIFS('Raw Entries'!B:B,Table4[[#This Row],[Name]],'Raw Entries'!I:I,Table4[[#This Row],[BOOK No.]])</f>
        <v>0</v>
      </c>
      <c r="E453" s="1">
        <f t="array" ref="E453">IF(OR(Table4[[#This Row],[INSTALLMENT]]=1,Table4[[#This Row],[INSTALLMENT]]=2,Table4[[#This Row],[INSTALLMENT]]=3),1,0)</f>
        <v>0</v>
      </c>
      <c r="F453" s="1">
        <f>IF(OR(Table4[[#This Row],[INSTALLMENT]]=2,Table4[[#This Row],[INSTALLMENT]]=3),2,0)</f>
        <v>0</v>
      </c>
      <c r="G453" s="1">
        <f>IF(OR(Table4[[#This Row],[INSTALLMENT]]=3),3,0)</f>
        <v>0</v>
      </c>
    </row>
    <row r="454" spans="1:7">
      <c r="A454" s="1">
        <v>457</v>
      </c>
      <c r="B454" s="1" t="s">
        <v>2306</v>
      </c>
      <c r="C454" s="1" t="s">
        <v>504</v>
      </c>
      <c r="D454" s="1">
        <f>COUNTIFS('Raw Entries'!B:B,Table4[[#This Row],[Name]],'Raw Entries'!I:I,Table4[[#This Row],[BOOK No.]])</f>
        <v>0</v>
      </c>
      <c r="E454" s="1">
        <f t="array" ref="E454">IF(OR(Table4[[#This Row],[INSTALLMENT]]=1,Table4[[#This Row],[INSTALLMENT]]=2,Table4[[#This Row],[INSTALLMENT]]=3),1,0)</f>
        <v>0</v>
      </c>
      <c r="F454" s="1">
        <f>IF(OR(Table4[[#This Row],[INSTALLMENT]]=2,Table4[[#This Row],[INSTALLMENT]]=3),2,0)</f>
        <v>0</v>
      </c>
      <c r="G454" s="1">
        <f>IF(OR(Table4[[#This Row],[INSTALLMENT]]=3),3,0)</f>
        <v>0</v>
      </c>
    </row>
    <row r="455" spans="1:7">
      <c r="A455" s="1">
        <v>458</v>
      </c>
      <c r="B455" s="1" t="s">
        <v>2307</v>
      </c>
      <c r="C455" s="1" t="s">
        <v>504</v>
      </c>
      <c r="D455" s="1">
        <f>COUNTIFS('Raw Entries'!B:B,Table4[[#This Row],[Name]],'Raw Entries'!I:I,Table4[[#This Row],[BOOK No.]])</f>
        <v>0</v>
      </c>
      <c r="E455" s="1">
        <f t="array" ref="E455">IF(OR(Table4[[#This Row],[INSTALLMENT]]=1,Table4[[#This Row],[INSTALLMENT]]=2,Table4[[#This Row],[INSTALLMENT]]=3),1,0)</f>
        <v>0</v>
      </c>
      <c r="F455" s="1">
        <f>IF(OR(Table4[[#This Row],[INSTALLMENT]]=2,Table4[[#This Row],[INSTALLMENT]]=3),2,0)</f>
        <v>0</v>
      </c>
      <c r="G455" s="1">
        <f>IF(OR(Table4[[#This Row],[INSTALLMENT]]=3),3,0)</f>
        <v>0</v>
      </c>
    </row>
    <row r="456" spans="1:7">
      <c r="A456" s="1">
        <v>459</v>
      </c>
      <c r="B456" s="1" t="s">
        <v>2308</v>
      </c>
      <c r="C456" s="1" t="s">
        <v>504</v>
      </c>
      <c r="D456" s="1">
        <f>COUNTIFS('Raw Entries'!B:B,Table4[[#This Row],[Name]],'Raw Entries'!I:I,Table4[[#This Row],[BOOK No.]])</f>
        <v>0</v>
      </c>
      <c r="E456" s="1">
        <f t="array" ref="E456">IF(OR(Table4[[#This Row],[INSTALLMENT]]=1,Table4[[#This Row],[INSTALLMENT]]=2,Table4[[#This Row],[INSTALLMENT]]=3),1,0)</f>
        <v>0</v>
      </c>
      <c r="F456" s="1">
        <f>IF(OR(Table4[[#This Row],[INSTALLMENT]]=2,Table4[[#This Row],[INSTALLMENT]]=3),2,0)</f>
        <v>0</v>
      </c>
      <c r="G456" s="1">
        <f>IF(OR(Table4[[#This Row],[INSTALLMENT]]=3),3,0)</f>
        <v>0</v>
      </c>
    </row>
    <row r="457" spans="1:7">
      <c r="A457" s="1">
        <v>460</v>
      </c>
      <c r="B457" s="1" t="s">
        <v>2309</v>
      </c>
      <c r="C457" s="1" t="s">
        <v>504</v>
      </c>
      <c r="D457" s="1">
        <f>COUNTIFS('Raw Entries'!B:B,Table4[[#This Row],[Name]],'Raw Entries'!I:I,Table4[[#This Row],[BOOK No.]])</f>
        <v>0</v>
      </c>
      <c r="E457" s="1">
        <f t="array" ref="E457">IF(OR(Table4[[#This Row],[INSTALLMENT]]=1,Table4[[#This Row],[INSTALLMENT]]=2,Table4[[#This Row],[INSTALLMENT]]=3),1,0)</f>
        <v>0</v>
      </c>
      <c r="F457" s="1">
        <f>IF(OR(Table4[[#This Row],[INSTALLMENT]]=2,Table4[[#This Row],[INSTALLMENT]]=3),2,0)</f>
        <v>0</v>
      </c>
      <c r="G457" s="1">
        <f>IF(OR(Table4[[#This Row],[INSTALLMENT]]=3),3,0)</f>
        <v>0</v>
      </c>
    </row>
    <row r="458" spans="1:7">
      <c r="A458" s="1">
        <v>461</v>
      </c>
      <c r="B458" s="1" t="s">
        <v>2310</v>
      </c>
      <c r="C458" s="1" t="s">
        <v>504</v>
      </c>
      <c r="D458" s="1">
        <f>COUNTIFS('Raw Entries'!B:B,Table4[[#This Row],[Name]],'Raw Entries'!I:I,Table4[[#This Row],[BOOK No.]])</f>
        <v>0</v>
      </c>
      <c r="E458" s="1">
        <f t="array" ref="E458">IF(OR(Table4[[#This Row],[INSTALLMENT]]=1,Table4[[#This Row],[INSTALLMENT]]=2,Table4[[#This Row],[INSTALLMENT]]=3),1,0)</f>
        <v>0</v>
      </c>
      <c r="F458" s="1">
        <f>IF(OR(Table4[[#This Row],[INSTALLMENT]]=2,Table4[[#This Row],[INSTALLMENT]]=3),2,0)</f>
        <v>0</v>
      </c>
      <c r="G458" s="1">
        <f>IF(OR(Table4[[#This Row],[INSTALLMENT]]=3),3,0)</f>
        <v>0</v>
      </c>
    </row>
    <row r="459" spans="1:7">
      <c r="A459" s="1">
        <v>462</v>
      </c>
      <c r="B459" s="1" t="s">
        <v>2311</v>
      </c>
      <c r="C459" s="1" t="s">
        <v>504</v>
      </c>
      <c r="D459" s="1">
        <f>COUNTIFS('Raw Entries'!B:B,Table4[[#This Row],[Name]],'Raw Entries'!I:I,Table4[[#This Row],[BOOK No.]])</f>
        <v>0</v>
      </c>
      <c r="E459" s="1">
        <f t="array" ref="E459">IF(OR(Table4[[#This Row],[INSTALLMENT]]=1,Table4[[#This Row],[INSTALLMENT]]=2,Table4[[#This Row],[INSTALLMENT]]=3),1,0)</f>
        <v>0</v>
      </c>
      <c r="F459" s="1">
        <f>IF(OR(Table4[[#This Row],[INSTALLMENT]]=2,Table4[[#This Row],[INSTALLMENT]]=3),2,0)</f>
        <v>0</v>
      </c>
      <c r="G459" s="1">
        <f>IF(OR(Table4[[#This Row],[INSTALLMENT]]=3),3,0)</f>
        <v>0</v>
      </c>
    </row>
    <row r="460" spans="1:7">
      <c r="A460" s="1">
        <v>463</v>
      </c>
      <c r="B460" s="1" t="s">
        <v>514</v>
      </c>
      <c r="C460" s="1" t="s">
        <v>509</v>
      </c>
      <c r="D460" s="1">
        <f>COUNTIFS('Raw Entries'!B:B,Table4[[#This Row],[Name]],'Raw Entries'!I:I,Table4[[#This Row],[BOOK No.]])</f>
        <v>3</v>
      </c>
      <c r="E460" s="1">
        <f t="array" ref="E460">IF(OR(Table4[[#This Row],[INSTALLMENT]]=1,Table4[[#This Row],[INSTALLMENT]]=2,Table4[[#This Row],[INSTALLMENT]]=3),1,0)</f>
        <v>1</v>
      </c>
      <c r="F460" s="1">
        <f>IF(OR(Table4[[#This Row],[INSTALLMENT]]=2,Table4[[#This Row],[INSTALLMENT]]=3),2,0)</f>
        <v>2</v>
      </c>
      <c r="G460" s="1">
        <f>IF(OR(Table4[[#This Row],[INSTALLMENT]]=3),3,0)</f>
        <v>3</v>
      </c>
    </row>
    <row r="461" spans="1:7">
      <c r="A461" s="1">
        <v>464</v>
      </c>
      <c r="B461" s="1" t="s">
        <v>2312</v>
      </c>
      <c r="C461" s="1" t="s">
        <v>509</v>
      </c>
      <c r="D461" s="1">
        <f>COUNTIFS('Raw Entries'!B:B,Table4[[#This Row],[Name]],'Raw Entries'!I:I,Table4[[#This Row],[BOOK No.]])</f>
        <v>0</v>
      </c>
      <c r="E461" s="1">
        <f t="array" ref="E461">IF(OR(Table4[[#This Row],[INSTALLMENT]]=1,Table4[[#This Row],[INSTALLMENT]]=2,Table4[[#This Row],[INSTALLMENT]]=3),1,0)</f>
        <v>0</v>
      </c>
      <c r="F461" s="1">
        <f>IF(OR(Table4[[#This Row],[INSTALLMENT]]=2,Table4[[#This Row],[INSTALLMENT]]=3),2,0)</f>
        <v>0</v>
      </c>
      <c r="G461" s="1">
        <f>IF(OR(Table4[[#This Row],[INSTALLMENT]]=3),3,0)</f>
        <v>0</v>
      </c>
    </row>
    <row r="462" spans="1:7">
      <c r="A462" s="1">
        <v>465</v>
      </c>
      <c r="B462" s="1" t="s">
        <v>2313</v>
      </c>
      <c r="C462" s="1" t="s">
        <v>509</v>
      </c>
      <c r="D462" s="1">
        <f>COUNTIFS('Raw Entries'!B:B,Table4[[#This Row],[Name]],'Raw Entries'!I:I,Table4[[#This Row],[BOOK No.]])</f>
        <v>0</v>
      </c>
      <c r="E462" s="1">
        <f t="array" ref="E462">IF(OR(Table4[[#This Row],[INSTALLMENT]]=1,Table4[[#This Row],[INSTALLMENT]]=2,Table4[[#This Row],[INSTALLMENT]]=3),1,0)</f>
        <v>0</v>
      </c>
      <c r="F462" s="1">
        <f>IF(OR(Table4[[#This Row],[INSTALLMENT]]=2,Table4[[#This Row],[INSTALLMENT]]=3),2,0)</f>
        <v>0</v>
      </c>
      <c r="G462" s="1">
        <f>IF(OR(Table4[[#This Row],[INSTALLMENT]]=3),3,0)</f>
        <v>0</v>
      </c>
    </row>
    <row r="463" spans="1:7">
      <c r="A463" s="1">
        <v>466</v>
      </c>
      <c r="B463" s="1" t="s">
        <v>2314</v>
      </c>
      <c r="C463" s="1" t="s">
        <v>509</v>
      </c>
      <c r="D463" s="1">
        <f>COUNTIFS('Raw Entries'!B:B,Table4[[#This Row],[Name]],'Raw Entries'!I:I,Table4[[#This Row],[BOOK No.]])</f>
        <v>0</v>
      </c>
      <c r="E463" s="1">
        <f t="array" ref="E463">IF(OR(Table4[[#This Row],[INSTALLMENT]]=1,Table4[[#This Row],[INSTALLMENT]]=2,Table4[[#This Row],[INSTALLMENT]]=3),1,0)</f>
        <v>0</v>
      </c>
      <c r="F463" s="1">
        <f>IF(OR(Table4[[#This Row],[INSTALLMENT]]=2,Table4[[#This Row],[INSTALLMENT]]=3),2,0)</f>
        <v>0</v>
      </c>
      <c r="G463" s="1">
        <f>IF(OR(Table4[[#This Row],[INSTALLMENT]]=3),3,0)</f>
        <v>0</v>
      </c>
    </row>
    <row r="464" spans="1:7">
      <c r="A464" s="1">
        <v>467</v>
      </c>
      <c r="B464" s="1" t="s">
        <v>2315</v>
      </c>
      <c r="C464" s="1" t="s">
        <v>509</v>
      </c>
      <c r="D464" s="1">
        <f>COUNTIFS('Raw Entries'!B:B,Table4[[#This Row],[Name]],'Raw Entries'!I:I,Table4[[#This Row],[BOOK No.]])</f>
        <v>0</v>
      </c>
      <c r="E464" s="1">
        <f t="array" ref="E464">IF(OR(Table4[[#This Row],[INSTALLMENT]]=1,Table4[[#This Row],[INSTALLMENT]]=2,Table4[[#This Row],[INSTALLMENT]]=3),1,0)</f>
        <v>0</v>
      </c>
      <c r="F464" s="1">
        <f>IF(OR(Table4[[#This Row],[INSTALLMENT]]=2,Table4[[#This Row],[INSTALLMENT]]=3),2,0)</f>
        <v>0</v>
      </c>
      <c r="G464" s="1">
        <f>IF(OR(Table4[[#This Row],[INSTALLMENT]]=3),3,0)</f>
        <v>0</v>
      </c>
    </row>
    <row r="465" spans="1:7">
      <c r="A465" s="1">
        <v>468</v>
      </c>
      <c r="B465" s="1" t="s">
        <v>460</v>
      </c>
      <c r="C465" s="1" t="s">
        <v>509</v>
      </c>
      <c r="D465" s="1">
        <f>COUNTIFS('Raw Entries'!B:B,Table4[[#This Row],[Name]],'Raw Entries'!I:I,Table4[[#This Row],[BOOK No.]])</f>
        <v>0</v>
      </c>
      <c r="E465" s="1">
        <f t="array" ref="E465">IF(OR(Table4[[#This Row],[INSTALLMENT]]=1,Table4[[#This Row],[INSTALLMENT]]=2,Table4[[#This Row],[INSTALLMENT]]=3),1,0)</f>
        <v>0</v>
      </c>
      <c r="F465" s="1">
        <f>IF(OR(Table4[[#This Row],[INSTALLMENT]]=2,Table4[[#This Row],[INSTALLMENT]]=3),2,0)</f>
        <v>0</v>
      </c>
      <c r="G465" s="1">
        <f>IF(OR(Table4[[#This Row],[INSTALLMENT]]=3),3,0)</f>
        <v>0</v>
      </c>
    </row>
    <row r="466" spans="1:7">
      <c r="A466" s="1">
        <v>469</v>
      </c>
      <c r="B466" s="1" t="s">
        <v>2316</v>
      </c>
      <c r="C466" s="1" t="s">
        <v>509</v>
      </c>
      <c r="D466" s="1">
        <f>COUNTIFS('Raw Entries'!B:B,Table4[[#This Row],[Name]],'Raw Entries'!I:I,Table4[[#This Row],[BOOK No.]])</f>
        <v>0</v>
      </c>
      <c r="E466" s="1">
        <f t="array" ref="E466">IF(OR(Table4[[#This Row],[INSTALLMENT]]=1,Table4[[#This Row],[INSTALLMENT]]=2,Table4[[#This Row],[INSTALLMENT]]=3),1,0)</f>
        <v>0</v>
      </c>
      <c r="F466" s="1">
        <f>IF(OR(Table4[[#This Row],[INSTALLMENT]]=2,Table4[[#This Row],[INSTALLMENT]]=3),2,0)</f>
        <v>0</v>
      </c>
      <c r="G466" s="1">
        <f>IF(OR(Table4[[#This Row],[INSTALLMENT]]=3),3,0)</f>
        <v>0</v>
      </c>
    </row>
    <row r="467" spans="1:7">
      <c r="A467" s="1">
        <v>470</v>
      </c>
      <c r="B467" s="1" t="s">
        <v>2317</v>
      </c>
      <c r="C467" s="1" t="s">
        <v>509</v>
      </c>
      <c r="D467" s="1">
        <f>COUNTIFS('Raw Entries'!B:B,Table4[[#This Row],[Name]],'Raw Entries'!I:I,Table4[[#This Row],[BOOK No.]])</f>
        <v>0</v>
      </c>
      <c r="E467" s="1">
        <f t="array" ref="E467">IF(OR(Table4[[#This Row],[INSTALLMENT]]=1,Table4[[#This Row],[INSTALLMENT]]=2,Table4[[#This Row],[INSTALLMENT]]=3),1,0)</f>
        <v>0</v>
      </c>
      <c r="F467" s="1">
        <f>IF(OR(Table4[[#This Row],[INSTALLMENT]]=2,Table4[[#This Row],[INSTALLMENT]]=3),2,0)</f>
        <v>0</v>
      </c>
      <c r="G467" s="1">
        <f>IF(OR(Table4[[#This Row],[INSTALLMENT]]=3),3,0)</f>
        <v>0</v>
      </c>
    </row>
    <row r="468" spans="1:7">
      <c r="A468" s="1">
        <v>471</v>
      </c>
      <c r="B468" s="1" t="s">
        <v>2318</v>
      </c>
      <c r="C468" s="1" t="s">
        <v>509</v>
      </c>
      <c r="D468" s="1">
        <f>COUNTIFS('Raw Entries'!B:B,Table4[[#This Row],[Name]],'Raw Entries'!I:I,Table4[[#This Row],[BOOK No.]])</f>
        <v>0</v>
      </c>
      <c r="E468" s="1">
        <f t="array" ref="E468">IF(OR(Table4[[#This Row],[INSTALLMENT]]=1,Table4[[#This Row],[INSTALLMENT]]=2,Table4[[#This Row],[INSTALLMENT]]=3),1,0)</f>
        <v>0</v>
      </c>
      <c r="F468" s="1">
        <f>IF(OR(Table4[[#This Row],[INSTALLMENT]]=2,Table4[[#This Row],[INSTALLMENT]]=3),2,0)</f>
        <v>0</v>
      </c>
      <c r="G468" s="1">
        <f>IF(OR(Table4[[#This Row],[INSTALLMENT]]=3),3,0)</f>
        <v>0</v>
      </c>
    </row>
    <row r="469" spans="1:7">
      <c r="A469" s="1">
        <v>472</v>
      </c>
      <c r="B469" s="1" t="s">
        <v>2319</v>
      </c>
      <c r="C469" s="1" t="s">
        <v>509</v>
      </c>
      <c r="D469" s="1">
        <f>COUNTIFS('Raw Entries'!B:B,Table4[[#This Row],[Name]],'Raw Entries'!I:I,Table4[[#This Row],[BOOK No.]])</f>
        <v>0</v>
      </c>
      <c r="E469" s="1">
        <f t="array" ref="E469">IF(OR(Table4[[#This Row],[INSTALLMENT]]=1,Table4[[#This Row],[INSTALLMENT]]=2,Table4[[#This Row],[INSTALLMENT]]=3),1,0)</f>
        <v>0</v>
      </c>
      <c r="F469" s="1">
        <f>IF(OR(Table4[[#This Row],[INSTALLMENT]]=2,Table4[[#This Row],[INSTALLMENT]]=3),2,0)</f>
        <v>0</v>
      </c>
      <c r="G469" s="1">
        <f>IF(OR(Table4[[#This Row],[INSTALLMENT]]=3),3,0)</f>
        <v>0</v>
      </c>
    </row>
    <row r="470" spans="1:7">
      <c r="A470" s="1">
        <v>473</v>
      </c>
      <c r="B470" s="1" t="s">
        <v>512</v>
      </c>
      <c r="C470" s="1" t="s">
        <v>509</v>
      </c>
      <c r="D470" s="1">
        <f>COUNTIFS('Raw Entries'!B:B,Table4[[#This Row],[Name]],'Raw Entries'!I:I,Table4[[#This Row],[BOOK No.]])</f>
        <v>2</v>
      </c>
      <c r="E470" s="1">
        <f t="array" ref="E470">IF(OR(Table4[[#This Row],[INSTALLMENT]]=1,Table4[[#This Row],[INSTALLMENT]]=2,Table4[[#This Row],[INSTALLMENT]]=3),1,0)</f>
        <v>1</v>
      </c>
      <c r="F470" s="1">
        <f>IF(OR(Table4[[#This Row],[INSTALLMENT]]=2,Table4[[#This Row],[INSTALLMENT]]=3),2,0)</f>
        <v>2</v>
      </c>
      <c r="G470" s="1">
        <f>IF(OR(Table4[[#This Row],[INSTALLMENT]]=3),3,0)</f>
        <v>0</v>
      </c>
    </row>
    <row r="471" spans="1:7">
      <c r="A471" s="1">
        <v>474</v>
      </c>
      <c r="B471" s="1" t="s">
        <v>513</v>
      </c>
      <c r="C471" s="1" t="s">
        <v>509</v>
      </c>
      <c r="D471" s="1">
        <f>COUNTIFS('Raw Entries'!B:B,Table4[[#This Row],[Name]],'Raw Entries'!I:I,Table4[[#This Row],[BOOK No.]])</f>
        <v>1</v>
      </c>
      <c r="E471" s="1">
        <f t="array" ref="E471">IF(OR(Table4[[#This Row],[INSTALLMENT]]=1,Table4[[#This Row],[INSTALLMENT]]=2,Table4[[#This Row],[INSTALLMENT]]=3),1,0)</f>
        <v>1</v>
      </c>
      <c r="F471" s="1">
        <f>IF(OR(Table4[[#This Row],[INSTALLMENT]]=2,Table4[[#This Row],[INSTALLMENT]]=3),2,0)</f>
        <v>0</v>
      </c>
      <c r="G471" s="1">
        <f>IF(OR(Table4[[#This Row],[INSTALLMENT]]=3),3,0)</f>
        <v>0</v>
      </c>
    </row>
    <row r="472" spans="1:7">
      <c r="A472" s="1">
        <v>475</v>
      </c>
      <c r="B472" s="1" t="s">
        <v>2320</v>
      </c>
      <c r="C472" s="1" t="s">
        <v>509</v>
      </c>
      <c r="D472" s="1">
        <f>COUNTIFS('Raw Entries'!B:B,Table4[[#This Row],[Name]],'Raw Entries'!I:I,Table4[[#This Row],[BOOK No.]])</f>
        <v>0</v>
      </c>
      <c r="E472" s="1">
        <f t="array" ref="E472">IF(OR(Table4[[#This Row],[INSTALLMENT]]=1,Table4[[#This Row],[INSTALLMENT]]=2,Table4[[#This Row],[INSTALLMENT]]=3),1,0)</f>
        <v>0</v>
      </c>
      <c r="F472" s="1">
        <f>IF(OR(Table4[[#This Row],[INSTALLMENT]]=2,Table4[[#This Row],[INSTALLMENT]]=3),2,0)</f>
        <v>0</v>
      </c>
      <c r="G472" s="1">
        <f>IF(OR(Table4[[#This Row],[INSTALLMENT]]=3),3,0)</f>
        <v>0</v>
      </c>
    </row>
    <row r="473" spans="1:7">
      <c r="A473" s="1">
        <v>476</v>
      </c>
      <c r="B473" s="1" t="s">
        <v>2321</v>
      </c>
      <c r="C473" s="1" t="s">
        <v>509</v>
      </c>
      <c r="D473" s="1">
        <f>COUNTIFS('Raw Entries'!B:B,Table4[[#This Row],[Name]],'Raw Entries'!I:I,Table4[[#This Row],[BOOK No.]])</f>
        <v>0</v>
      </c>
      <c r="E473" s="1">
        <f t="array" ref="E473">IF(OR(Table4[[#This Row],[INSTALLMENT]]=1,Table4[[#This Row],[INSTALLMENT]]=2,Table4[[#This Row],[INSTALLMENT]]=3),1,0)</f>
        <v>0</v>
      </c>
      <c r="F473" s="1">
        <f>IF(OR(Table4[[#This Row],[INSTALLMENT]]=2,Table4[[#This Row],[INSTALLMENT]]=3),2,0)</f>
        <v>0</v>
      </c>
      <c r="G473" s="1">
        <f>IF(OR(Table4[[#This Row],[INSTALLMENT]]=3),3,0)</f>
        <v>0</v>
      </c>
    </row>
    <row r="474" spans="1:7">
      <c r="A474" s="1">
        <v>477</v>
      </c>
      <c r="B474" s="1" t="s">
        <v>511</v>
      </c>
      <c r="C474" s="1" t="s">
        <v>509</v>
      </c>
      <c r="D474" s="1">
        <f>COUNTIFS('Raw Entries'!B:B,Table4[[#This Row],[Name]],'Raw Entries'!I:I,Table4[[#This Row],[BOOK No.]])</f>
        <v>3</v>
      </c>
      <c r="E474" s="1">
        <f t="array" ref="E474">IF(OR(Table4[[#This Row],[INSTALLMENT]]=1,Table4[[#This Row],[INSTALLMENT]]=2,Table4[[#This Row],[INSTALLMENT]]=3),1,0)</f>
        <v>1</v>
      </c>
      <c r="F474" s="1">
        <f>IF(OR(Table4[[#This Row],[INSTALLMENT]]=2,Table4[[#This Row],[INSTALLMENT]]=3),2,0)</f>
        <v>2</v>
      </c>
      <c r="G474" s="1">
        <f>IF(OR(Table4[[#This Row],[INSTALLMENT]]=3),3,0)</f>
        <v>3</v>
      </c>
    </row>
    <row r="475" spans="1:7">
      <c r="A475" s="1">
        <v>478</v>
      </c>
      <c r="B475" s="1" t="s">
        <v>510</v>
      </c>
      <c r="C475" s="1" t="s">
        <v>509</v>
      </c>
      <c r="D475" s="1">
        <f>COUNTIFS('Raw Entries'!B:B,Table4[[#This Row],[Name]],'Raw Entries'!I:I,Table4[[#This Row],[BOOK No.]])</f>
        <v>1</v>
      </c>
      <c r="E475" s="1">
        <f t="array" ref="E475">IF(OR(Table4[[#This Row],[INSTALLMENT]]=1,Table4[[#This Row],[INSTALLMENT]]=2,Table4[[#This Row],[INSTALLMENT]]=3),1,0)</f>
        <v>1</v>
      </c>
      <c r="F475" s="1">
        <f>IF(OR(Table4[[#This Row],[INSTALLMENT]]=2,Table4[[#This Row],[INSTALLMENT]]=3),2,0)</f>
        <v>0</v>
      </c>
      <c r="G475" s="1">
        <f>IF(OR(Table4[[#This Row],[INSTALLMENT]]=3),3,0)</f>
        <v>0</v>
      </c>
    </row>
    <row r="476" spans="1:7">
      <c r="A476" s="1">
        <v>479</v>
      </c>
      <c r="B476" s="1" t="s">
        <v>2322</v>
      </c>
      <c r="C476" s="1" t="s">
        <v>504</v>
      </c>
      <c r="D476" s="1">
        <f>COUNTIFS('Raw Entries'!B:B,Table4[[#This Row],[Name]],'Raw Entries'!I:I,Table4[[#This Row],[BOOK No.]])</f>
        <v>0</v>
      </c>
      <c r="E476" s="1">
        <f t="array" ref="E476">IF(OR(Table4[[#This Row],[INSTALLMENT]]=1,Table4[[#This Row],[INSTALLMENT]]=2,Table4[[#This Row],[INSTALLMENT]]=3),1,0)</f>
        <v>0</v>
      </c>
      <c r="F476" s="1">
        <f>IF(OR(Table4[[#This Row],[INSTALLMENT]]=2,Table4[[#This Row],[INSTALLMENT]]=3),2,0)</f>
        <v>0</v>
      </c>
      <c r="G476" s="1">
        <f>IF(OR(Table4[[#This Row],[INSTALLMENT]]=3),3,0)</f>
        <v>0</v>
      </c>
    </row>
    <row r="477" spans="1:7">
      <c r="A477" s="1">
        <v>480</v>
      </c>
      <c r="B477" s="1" t="s">
        <v>475</v>
      </c>
      <c r="C477" s="1" t="s">
        <v>467</v>
      </c>
      <c r="D477" s="1">
        <f>COUNTIFS('Raw Entries'!B:B,Table4[[#This Row],[Name]],'Raw Entries'!I:I,Table4[[#This Row],[BOOK No.]])</f>
        <v>3</v>
      </c>
      <c r="E477" s="1">
        <f t="array" ref="E477">IF(OR(Table4[[#This Row],[INSTALLMENT]]=1,Table4[[#This Row],[INSTALLMENT]]=2,Table4[[#This Row],[INSTALLMENT]]=3),1,0)</f>
        <v>1</v>
      </c>
      <c r="F477" s="1">
        <f>IF(OR(Table4[[#This Row],[INSTALLMENT]]=2,Table4[[#This Row],[INSTALLMENT]]=3),2,0)</f>
        <v>2</v>
      </c>
      <c r="G477" s="1">
        <f>IF(OR(Table4[[#This Row],[INSTALLMENT]]=3),3,0)</f>
        <v>3</v>
      </c>
    </row>
    <row r="478" spans="1:7">
      <c r="A478" s="1">
        <v>481</v>
      </c>
      <c r="B478" s="1" t="s">
        <v>2323</v>
      </c>
      <c r="C478" s="1" t="s">
        <v>467</v>
      </c>
      <c r="D478" s="1">
        <f>COUNTIFS('Raw Entries'!B:B,Table4[[#This Row],[Name]],'Raw Entries'!I:I,Table4[[#This Row],[BOOK No.]])</f>
        <v>0</v>
      </c>
      <c r="E478" s="1">
        <f t="array" ref="E478">IF(OR(Table4[[#This Row],[INSTALLMENT]]=1,Table4[[#This Row],[INSTALLMENT]]=2,Table4[[#This Row],[INSTALLMENT]]=3),1,0)</f>
        <v>0</v>
      </c>
      <c r="F478" s="1">
        <f>IF(OR(Table4[[#This Row],[INSTALLMENT]]=2,Table4[[#This Row],[INSTALLMENT]]=3),2,0)</f>
        <v>0</v>
      </c>
      <c r="G478" s="1">
        <f>IF(OR(Table4[[#This Row],[INSTALLMENT]]=3),3,0)</f>
        <v>0</v>
      </c>
    </row>
    <row r="479" spans="1:7">
      <c r="A479" s="1">
        <v>482</v>
      </c>
      <c r="B479" s="1" t="s">
        <v>3941</v>
      </c>
      <c r="C479" s="1" t="s">
        <v>467</v>
      </c>
      <c r="D479" s="1">
        <f>COUNTIFS('Raw Entries'!B:B,Table4[[#This Row],[Name]],'Raw Entries'!I:I,Table4[[#This Row],[BOOK No.]])</f>
        <v>1</v>
      </c>
      <c r="E479" s="1">
        <f t="array" ref="E479">IF(OR(Table4[[#This Row],[INSTALLMENT]]=1,Table4[[#This Row],[INSTALLMENT]]=2,Table4[[#This Row],[INSTALLMENT]]=3),1,0)</f>
        <v>1</v>
      </c>
      <c r="F479" s="1">
        <f>IF(OR(Table4[[#This Row],[INSTALLMENT]]=2,Table4[[#This Row],[INSTALLMENT]]=3),2,0)</f>
        <v>0</v>
      </c>
      <c r="G479" s="1">
        <f>IF(OR(Table4[[#This Row],[INSTALLMENT]]=3),3,0)</f>
        <v>0</v>
      </c>
    </row>
    <row r="480" spans="1:7">
      <c r="A480" s="1">
        <v>530</v>
      </c>
      <c r="B480" s="1" t="s">
        <v>2324</v>
      </c>
      <c r="C480" s="1" t="s">
        <v>421</v>
      </c>
      <c r="D480" s="1">
        <f>COUNTIFS('Raw Entries'!B:B,Table4[[#This Row],[Name]],'Raw Entries'!I:I,Table4[[#This Row],[BOOK No.]])</f>
        <v>0</v>
      </c>
      <c r="E480" s="1">
        <f t="array" ref="E480">IF(OR(Table4[[#This Row],[INSTALLMENT]]=1,Table4[[#This Row],[INSTALLMENT]]=2,Table4[[#This Row],[INSTALLMENT]]=3),1,0)</f>
        <v>0</v>
      </c>
      <c r="F480" s="1">
        <f>IF(OR(Table4[[#This Row],[INSTALLMENT]]=2,Table4[[#This Row],[INSTALLMENT]]=3),2,0)</f>
        <v>0</v>
      </c>
      <c r="G480" s="1">
        <f>IF(OR(Table4[[#This Row],[INSTALLMENT]]=3),3,0)</f>
        <v>0</v>
      </c>
    </row>
    <row r="481" spans="1:7">
      <c r="A481" s="1">
        <v>531</v>
      </c>
      <c r="B481" s="1" t="s">
        <v>2325</v>
      </c>
      <c r="C481" s="1" t="s">
        <v>421</v>
      </c>
      <c r="D481" s="1">
        <f>COUNTIFS('Raw Entries'!B:B,Table4[[#This Row],[Name]],'Raw Entries'!I:I,Table4[[#This Row],[BOOK No.]])</f>
        <v>0</v>
      </c>
      <c r="E481" s="1">
        <f t="array" ref="E481">IF(OR(Table4[[#This Row],[INSTALLMENT]]=1,Table4[[#This Row],[INSTALLMENT]]=2,Table4[[#This Row],[INSTALLMENT]]=3),1,0)</f>
        <v>0</v>
      </c>
      <c r="F481" s="1">
        <f>IF(OR(Table4[[#This Row],[INSTALLMENT]]=2,Table4[[#This Row],[INSTALLMENT]]=3),2,0)</f>
        <v>0</v>
      </c>
      <c r="G481" s="1">
        <f>IF(OR(Table4[[#This Row],[INSTALLMENT]]=3),3,0)</f>
        <v>0</v>
      </c>
    </row>
    <row r="482" spans="1:7">
      <c r="A482" s="1">
        <v>532</v>
      </c>
      <c r="B482" s="1" t="s">
        <v>2326</v>
      </c>
      <c r="C482" s="1" t="s">
        <v>421</v>
      </c>
      <c r="D482" s="1">
        <f>COUNTIFS('Raw Entries'!B:B,Table4[[#This Row],[Name]],'Raw Entries'!I:I,Table4[[#This Row],[BOOK No.]])</f>
        <v>0</v>
      </c>
      <c r="E482" s="1">
        <f t="array" ref="E482">IF(OR(Table4[[#This Row],[INSTALLMENT]]=1,Table4[[#This Row],[INSTALLMENT]]=2,Table4[[#This Row],[INSTALLMENT]]=3),1,0)</f>
        <v>0</v>
      </c>
      <c r="F482" s="1">
        <f>IF(OR(Table4[[#This Row],[INSTALLMENT]]=2,Table4[[#This Row],[INSTALLMENT]]=3),2,0)</f>
        <v>0</v>
      </c>
      <c r="G482" s="1">
        <f>IF(OR(Table4[[#This Row],[INSTALLMENT]]=3),3,0)</f>
        <v>0</v>
      </c>
    </row>
    <row r="483" spans="1:7">
      <c r="A483" s="1">
        <v>533</v>
      </c>
      <c r="B483" s="1" t="s">
        <v>2327</v>
      </c>
      <c r="C483" s="1" t="s">
        <v>421</v>
      </c>
      <c r="D483" s="1">
        <f>COUNTIFS('Raw Entries'!B:B,Table4[[#This Row],[Name]],'Raw Entries'!I:I,Table4[[#This Row],[BOOK No.]])</f>
        <v>0</v>
      </c>
      <c r="E483" s="1">
        <f t="array" ref="E483">IF(OR(Table4[[#This Row],[INSTALLMENT]]=1,Table4[[#This Row],[INSTALLMENT]]=2,Table4[[#This Row],[INSTALLMENT]]=3),1,0)</f>
        <v>0</v>
      </c>
      <c r="F483" s="1">
        <f>IF(OR(Table4[[#This Row],[INSTALLMENT]]=2,Table4[[#This Row],[INSTALLMENT]]=3),2,0)</f>
        <v>0</v>
      </c>
      <c r="G483" s="1">
        <f>IF(OR(Table4[[#This Row],[INSTALLMENT]]=3),3,0)</f>
        <v>0</v>
      </c>
    </row>
    <row r="484" spans="1:7">
      <c r="A484" s="1">
        <v>534</v>
      </c>
      <c r="B484" s="1" t="s">
        <v>2328</v>
      </c>
      <c r="C484" s="1" t="s">
        <v>421</v>
      </c>
      <c r="D484" s="1">
        <f>COUNTIFS('Raw Entries'!B:B,Table4[[#This Row],[Name]],'Raw Entries'!I:I,Table4[[#This Row],[BOOK No.]])</f>
        <v>0</v>
      </c>
      <c r="E484" s="1">
        <f t="array" ref="E484">IF(OR(Table4[[#This Row],[INSTALLMENT]]=1,Table4[[#This Row],[INSTALLMENT]]=2,Table4[[#This Row],[INSTALLMENT]]=3),1,0)</f>
        <v>0</v>
      </c>
      <c r="F484" s="1">
        <f>IF(OR(Table4[[#This Row],[INSTALLMENT]]=2,Table4[[#This Row],[INSTALLMENT]]=3),2,0)</f>
        <v>0</v>
      </c>
      <c r="G484" s="1">
        <f>IF(OR(Table4[[#This Row],[INSTALLMENT]]=3),3,0)</f>
        <v>0</v>
      </c>
    </row>
    <row r="485" spans="1:7">
      <c r="A485" s="1">
        <v>535</v>
      </c>
      <c r="B485" s="1" t="s">
        <v>2329</v>
      </c>
      <c r="C485" s="1" t="s">
        <v>421</v>
      </c>
      <c r="D485" s="1">
        <f>COUNTIFS('Raw Entries'!B:B,Table4[[#This Row],[Name]],'Raw Entries'!I:I,Table4[[#This Row],[BOOK No.]])</f>
        <v>0</v>
      </c>
      <c r="E485" s="1">
        <f t="array" ref="E485">IF(OR(Table4[[#This Row],[INSTALLMENT]]=1,Table4[[#This Row],[INSTALLMENT]]=2,Table4[[#This Row],[INSTALLMENT]]=3),1,0)</f>
        <v>0</v>
      </c>
      <c r="F485" s="1">
        <f>IF(OR(Table4[[#This Row],[INSTALLMENT]]=2,Table4[[#This Row],[INSTALLMENT]]=3),2,0)</f>
        <v>0</v>
      </c>
      <c r="G485" s="1">
        <f>IF(OR(Table4[[#This Row],[INSTALLMENT]]=3),3,0)</f>
        <v>0</v>
      </c>
    </row>
    <row r="486" spans="1:7">
      <c r="A486" s="1">
        <v>536</v>
      </c>
      <c r="B486" s="1" t="s">
        <v>434</v>
      </c>
      <c r="C486" s="1" t="s">
        <v>421</v>
      </c>
      <c r="D486" s="1">
        <f>COUNTIFS('Raw Entries'!B:B,Table4[[#This Row],[Name]],'Raw Entries'!I:I,Table4[[#This Row],[BOOK No.]])</f>
        <v>0</v>
      </c>
      <c r="E486" s="1">
        <f t="array" ref="E486">IF(OR(Table4[[#This Row],[INSTALLMENT]]=1,Table4[[#This Row],[INSTALLMENT]]=2,Table4[[#This Row],[INSTALLMENT]]=3),1,0)</f>
        <v>0</v>
      </c>
      <c r="F486" s="1">
        <f>IF(OR(Table4[[#This Row],[INSTALLMENT]]=2,Table4[[#This Row],[INSTALLMENT]]=3),2,0)</f>
        <v>0</v>
      </c>
      <c r="G486" s="1">
        <f>IF(OR(Table4[[#This Row],[INSTALLMENT]]=3),3,0)</f>
        <v>0</v>
      </c>
    </row>
    <row r="487" spans="1:7">
      <c r="A487" s="1">
        <v>537</v>
      </c>
      <c r="B487" s="1" t="s">
        <v>424</v>
      </c>
      <c r="C487" s="1" t="s">
        <v>421</v>
      </c>
      <c r="D487" s="1">
        <f>COUNTIFS('Raw Entries'!B:B,Table4[[#This Row],[Name]],'Raw Entries'!I:I,Table4[[#This Row],[BOOK No.]])</f>
        <v>2</v>
      </c>
      <c r="E487" s="1">
        <f t="array" ref="E487">IF(OR(Table4[[#This Row],[INSTALLMENT]]=1,Table4[[#This Row],[INSTALLMENT]]=2,Table4[[#This Row],[INSTALLMENT]]=3),1,0)</f>
        <v>1</v>
      </c>
      <c r="F487" s="1">
        <f>IF(OR(Table4[[#This Row],[INSTALLMENT]]=2,Table4[[#This Row],[INSTALLMENT]]=3),2,0)</f>
        <v>2</v>
      </c>
      <c r="G487" s="1">
        <f>IF(OR(Table4[[#This Row],[INSTALLMENT]]=3),3,0)</f>
        <v>0</v>
      </c>
    </row>
    <row r="488" spans="1:7">
      <c r="A488" s="1">
        <v>538</v>
      </c>
      <c r="B488" s="1" t="s">
        <v>425</v>
      </c>
      <c r="C488" s="1" t="s">
        <v>421</v>
      </c>
      <c r="D488" s="1">
        <f>COUNTIFS('Raw Entries'!B:B,Table4[[#This Row],[Name]],'Raw Entries'!I:I,Table4[[#This Row],[BOOK No.]])</f>
        <v>2</v>
      </c>
      <c r="E488" s="1">
        <f t="array" ref="E488">IF(OR(Table4[[#This Row],[INSTALLMENT]]=1,Table4[[#This Row],[INSTALLMENT]]=2,Table4[[#This Row],[INSTALLMENT]]=3),1,0)</f>
        <v>1</v>
      </c>
      <c r="F488" s="1">
        <f>IF(OR(Table4[[#This Row],[INSTALLMENT]]=2,Table4[[#This Row],[INSTALLMENT]]=3),2,0)</f>
        <v>2</v>
      </c>
      <c r="G488" s="1">
        <f>IF(OR(Table4[[#This Row],[INSTALLMENT]]=3),3,0)</f>
        <v>0</v>
      </c>
    </row>
    <row r="489" spans="1:7">
      <c r="A489" s="1">
        <v>539</v>
      </c>
      <c r="B489" s="1" t="s">
        <v>2330</v>
      </c>
      <c r="C489" s="1" t="s">
        <v>421</v>
      </c>
      <c r="D489" s="1">
        <f>COUNTIFS('Raw Entries'!B:B,Table4[[#This Row],[Name]],'Raw Entries'!I:I,Table4[[#This Row],[BOOK No.]])</f>
        <v>0</v>
      </c>
      <c r="E489" s="1">
        <f t="array" ref="E489">IF(OR(Table4[[#This Row],[INSTALLMENT]]=1,Table4[[#This Row],[INSTALLMENT]]=2,Table4[[#This Row],[INSTALLMENT]]=3),1,0)</f>
        <v>0</v>
      </c>
      <c r="F489" s="1">
        <f>IF(OR(Table4[[#This Row],[INSTALLMENT]]=2,Table4[[#This Row],[INSTALLMENT]]=3),2,0)</f>
        <v>0</v>
      </c>
      <c r="G489" s="1">
        <f>IF(OR(Table4[[#This Row],[INSTALLMENT]]=3),3,0)</f>
        <v>0</v>
      </c>
    </row>
    <row r="490" spans="1:7">
      <c r="A490" s="1">
        <v>540</v>
      </c>
      <c r="B490" s="1" t="s">
        <v>423</v>
      </c>
      <c r="C490" s="1" t="s">
        <v>421</v>
      </c>
      <c r="D490" s="1">
        <f>COUNTIFS('Raw Entries'!B:B,Table4[[#This Row],[Name]],'Raw Entries'!I:I,Table4[[#This Row],[BOOK No.]])</f>
        <v>1</v>
      </c>
      <c r="E490" s="1">
        <f t="array" ref="E490">IF(OR(Table4[[#This Row],[INSTALLMENT]]=1,Table4[[#This Row],[INSTALLMENT]]=2,Table4[[#This Row],[INSTALLMENT]]=3),1,0)</f>
        <v>1</v>
      </c>
      <c r="F490" s="1">
        <f>IF(OR(Table4[[#This Row],[INSTALLMENT]]=2,Table4[[#This Row],[INSTALLMENT]]=3),2,0)</f>
        <v>0</v>
      </c>
      <c r="G490" s="1">
        <f>IF(OR(Table4[[#This Row],[INSTALLMENT]]=3),3,0)</f>
        <v>0</v>
      </c>
    </row>
    <row r="491" spans="1:7">
      <c r="A491" s="1">
        <v>541</v>
      </c>
      <c r="B491" s="1" t="s">
        <v>2331</v>
      </c>
      <c r="C491" s="1" t="s">
        <v>421</v>
      </c>
      <c r="D491" s="1">
        <f>COUNTIFS('Raw Entries'!B:B,Table4[[#This Row],[Name]],'Raw Entries'!I:I,Table4[[#This Row],[BOOK No.]])</f>
        <v>0</v>
      </c>
      <c r="E491" s="1">
        <f t="array" ref="E491">IF(OR(Table4[[#This Row],[INSTALLMENT]]=1,Table4[[#This Row],[INSTALLMENT]]=2,Table4[[#This Row],[INSTALLMENT]]=3),1,0)</f>
        <v>0</v>
      </c>
      <c r="F491" s="1">
        <f>IF(OR(Table4[[#This Row],[INSTALLMENT]]=2,Table4[[#This Row],[INSTALLMENT]]=3),2,0)</f>
        <v>0</v>
      </c>
      <c r="G491" s="1">
        <f>IF(OR(Table4[[#This Row],[INSTALLMENT]]=3),3,0)</f>
        <v>0</v>
      </c>
    </row>
    <row r="492" spans="1:7">
      <c r="A492" s="1">
        <v>542</v>
      </c>
      <c r="B492" s="1" t="s">
        <v>2332</v>
      </c>
      <c r="C492" s="1" t="s">
        <v>421</v>
      </c>
      <c r="D492" s="1">
        <f>COUNTIFS('Raw Entries'!B:B,Table4[[#This Row],[Name]],'Raw Entries'!I:I,Table4[[#This Row],[BOOK No.]])</f>
        <v>0</v>
      </c>
      <c r="E492" s="1">
        <f t="array" ref="E492">IF(OR(Table4[[#This Row],[INSTALLMENT]]=1,Table4[[#This Row],[INSTALLMENT]]=2,Table4[[#This Row],[INSTALLMENT]]=3),1,0)</f>
        <v>0</v>
      </c>
      <c r="F492" s="1">
        <f>IF(OR(Table4[[#This Row],[INSTALLMENT]]=2,Table4[[#This Row],[INSTALLMENT]]=3),2,0)</f>
        <v>0</v>
      </c>
      <c r="G492" s="1">
        <f>IF(OR(Table4[[#This Row],[INSTALLMENT]]=3),3,0)</f>
        <v>0</v>
      </c>
    </row>
    <row r="493" spans="1:7">
      <c r="A493" s="1">
        <v>543</v>
      </c>
      <c r="B493" s="1" t="s">
        <v>427</v>
      </c>
      <c r="C493" s="1" t="s">
        <v>421</v>
      </c>
      <c r="D493" s="1">
        <f>COUNTIFS('Raw Entries'!B:B,Table4[[#This Row],[Name]],'Raw Entries'!I:I,Table4[[#This Row],[BOOK No.]])</f>
        <v>1</v>
      </c>
      <c r="E493" s="1">
        <f t="array" ref="E493">IF(OR(Table4[[#This Row],[INSTALLMENT]]=1,Table4[[#This Row],[INSTALLMENT]]=2,Table4[[#This Row],[INSTALLMENT]]=3),1,0)</f>
        <v>1</v>
      </c>
      <c r="F493" s="1">
        <f>IF(OR(Table4[[#This Row],[INSTALLMENT]]=2,Table4[[#This Row],[INSTALLMENT]]=3),2,0)</f>
        <v>0</v>
      </c>
      <c r="G493" s="1">
        <f>IF(OR(Table4[[#This Row],[INSTALLMENT]]=3),3,0)</f>
        <v>0</v>
      </c>
    </row>
    <row r="494" spans="1:7">
      <c r="A494" s="1">
        <v>544</v>
      </c>
      <c r="B494" s="1" t="s">
        <v>2333</v>
      </c>
      <c r="C494" s="1" t="s">
        <v>421</v>
      </c>
      <c r="D494" s="1">
        <f>COUNTIFS('Raw Entries'!B:B,Table4[[#This Row],[Name]],'Raw Entries'!I:I,Table4[[#This Row],[BOOK No.]])</f>
        <v>0</v>
      </c>
      <c r="E494" s="1">
        <f t="array" ref="E494">IF(OR(Table4[[#This Row],[INSTALLMENT]]=1,Table4[[#This Row],[INSTALLMENT]]=2,Table4[[#This Row],[INSTALLMENT]]=3),1,0)</f>
        <v>0</v>
      </c>
      <c r="F494" s="1">
        <f>IF(OR(Table4[[#This Row],[INSTALLMENT]]=2,Table4[[#This Row],[INSTALLMENT]]=3),2,0)</f>
        <v>0</v>
      </c>
      <c r="G494" s="1">
        <f>IF(OR(Table4[[#This Row],[INSTALLMENT]]=3),3,0)</f>
        <v>0</v>
      </c>
    </row>
    <row r="495" spans="1:7">
      <c r="A495" s="1">
        <v>545</v>
      </c>
      <c r="B495" s="1" t="s">
        <v>2334</v>
      </c>
      <c r="C495" s="1" t="s">
        <v>421</v>
      </c>
      <c r="D495" s="1">
        <f>COUNTIFS('Raw Entries'!B:B,Table4[[#This Row],[Name]],'Raw Entries'!I:I,Table4[[#This Row],[BOOK No.]])</f>
        <v>0</v>
      </c>
      <c r="E495" s="1">
        <f t="array" ref="E495">IF(OR(Table4[[#This Row],[INSTALLMENT]]=1,Table4[[#This Row],[INSTALLMENT]]=2,Table4[[#This Row],[INSTALLMENT]]=3),1,0)</f>
        <v>0</v>
      </c>
      <c r="F495" s="1">
        <f>IF(OR(Table4[[#This Row],[INSTALLMENT]]=2,Table4[[#This Row],[INSTALLMENT]]=3),2,0)</f>
        <v>0</v>
      </c>
      <c r="G495" s="1">
        <f>IF(OR(Table4[[#This Row],[INSTALLMENT]]=3),3,0)</f>
        <v>0</v>
      </c>
    </row>
    <row r="496" spans="1:7">
      <c r="A496" s="1">
        <v>546</v>
      </c>
      <c r="B496" s="1" t="s">
        <v>2335</v>
      </c>
      <c r="C496" s="1" t="s">
        <v>421</v>
      </c>
      <c r="D496" s="1">
        <f>COUNTIFS('Raw Entries'!B:B,Table4[[#This Row],[Name]],'Raw Entries'!I:I,Table4[[#This Row],[BOOK No.]])</f>
        <v>0</v>
      </c>
      <c r="E496" s="1">
        <f t="array" ref="E496">IF(OR(Table4[[#This Row],[INSTALLMENT]]=1,Table4[[#This Row],[INSTALLMENT]]=2,Table4[[#This Row],[INSTALLMENT]]=3),1,0)</f>
        <v>0</v>
      </c>
      <c r="F496" s="1">
        <f>IF(OR(Table4[[#This Row],[INSTALLMENT]]=2,Table4[[#This Row],[INSTALLMENT]]=3),2,0)</f>
        <v>0</v>
      </c>
      <c r="G496" s="1">
        <f>IF(OR(Table4[[#This Row],[INSTALLMENT]]=3),3,0)</f>
        <v>0</v>
      </c>
    </row>
    <row r="497" spans="1:7">
      <c r="A497" s="1">
        <v>547</v>
      </c>
      <c r="B497" s="1" t="s">
        <v>2336</v>
      </c>
      <c r="C497" s="1" t="s">
        <v>421</v>
      </c>
      <c r="D497" s="1">
        <f>COUNTIFS('Raw Entries'!B:B,Table4[[#This Row],[Name]],'Raw Entries'!I:I,Table4[[#This Row],[BOOK No.]])</f>
        <v>0</v>
      </c>
      <c r="E497" s="1">
        <f t="array" ref="E497">IF(OR(Table4[[#This Row],[INSTALLMENT]]=1,Table4[[#This Row],[INSTALLMENT]]=2,Table4[[#This Row],[INSTALLMENT]]=3),1,0)</f>
        <v>0</v>
      </c>
      <c r="F497" s="1">
        <f>IF(OR(Table4[[#This Row],[INSTALLMENT]]=2,Table4[[#This Row],[INSTALLMENT]]=3),2,0)</f>
        <v>0</v>
      </c>
      <c r="G497" s="1">
        <f>IF(OR(Table4[[#This Row],[INSTALLMENT]]=3),3,0)</f>
        <v>0</v>
      </c>
    </row>
    <row r="498" spans="1:7">
      <c r="A498" s="1">
        <v>548</v>
      </c>
      <c r="B498" s="1" t="s">
        <v>2337</v>
      </c>
      <c r="C498" s="1" t="s">
        <v>421</v>
      </c>
      <c r="D498" s="1">
        <f>COUNTIFS('Raw Entries'!B:B,Table4[[#This Row],[Name]],'Raw Entries'!I:I,Table4[[#This Row],[BOOK No.]])</f>
        <v>0</v>
      </c>
      <c r="E498" s="1">
        <f t="array" ref="E498">IF(OR(Table4[[#This Row],[INSTALLMENT]]=1,Table4[[#This Row],[INSTALLMENT]]=2,Table4[[#This Row],[INSTALLMENT]]=3),1,0)</f>
        <v>0</v>
      </c>
      <c r="F498" s="1">
        <f>IF(OR(Table4[[#This Row],[INSTALLMENT]]=2,Table4[[#This Row],[INSTALLMENT]]=3),2,0)</f>
        <v>0</v>
      </c>
      <c r="G498" s="1">
        <f>IF(OR(Table4[[#This Row],[INSTALLMENT]]=3),3,0)</f>
        <v>0</v>
      </c>
    </row>
    <row r="499" spans="1:7">
      <c r="A499" s="1">
        <v>549</v>
      </c>
      <c r="B499" s="1" t="s">
        <v>2338</v>
      </c>
      <c r="C499" s="1" t="s">
        <v>421</v>
      </c>
      <c r="D499" s="1">
        <f>COUNTIFS('Raw Entries'!B:B,Table4[[#This Row],[Name]],'Raw Entries'!I:I,Table4[[#This Row],[BOOK No.]])</f>
        <v>0</v>
      </c>
      <c r="E499" s="1">
        <f t="array" ref="E499">IF(OR(Table4[[#This Row],[INSTALLMENT]]=1,Table4[[#This Row],[INSTALLMENT]]=2,Table4[[#This Row],[INSTALLMENT]]=3),1,0)</f>
        <v>0</v>
      </c>
      <c r="F499" s="1">
        <f>IF(OR(Table4[[#This Row],[INSTALLMENT]]=2,Table4[[#This Row],[INSTALLMENT]]=3),2,0)</f>
        <v>0</v>
      </c>
      <c r="G499" s="1">
        <f>IF(OR(Table4[[#This Row],[INSTALLMENT]]=3),3,0)</f>
        <v>0</v>
      </c>
    </row>
    <row r="500" spans="1:7">
      <c r="A500" s="1">
        <v>550</v>
      </c>
      <c r="B500" s="1" t="s">
        <v>2339</v>
      </c>
      <c r="C500" s="1" t="s">
        <v>421</v>
      </c>
      <c r="D500" s="1">
        <f>COUNTIFS('Raw Entries'!B:B,Table4[[#This Row],[Name]],'Raw Entries'!I:I,Table4[[#This Row],[BOOK No.]])</f>
        <v>0</v>
      </c>
      <c r="E500" s="1">
        <f t="array" ref="E500">IF(OR(Table4[[#This Row],[INSTALLMENT]]=1,Table4[[#This Row],[INSTALLMENT]]=2,Table4[[#This Row],[INSTALLMENT]]=3),1,0)</f>
        <v>0</v>
      </c>
      <c r="F500" s="1">
        <f>IF(OR(Table4[[#This Row],[INSTALLMENT]]=2,Table4[[#This Row],[INSTALLMENT]]=3),2,0)</f>
        <v>0</v>
      </c>
      <c r="G500" s="1">
        <f>IF(OR(Table4[[#This Row],[INSTALLMENT]]=3),3,0)</f>
        <v>0</v>
      </c>
    </row>
    <row r="501" spans="1:7">
      <c r="A501" s="1">
        <v>551</v>
      </c>
      <c r="B501" s="1" t="s">
        <v>2340</v>
      </c>
      <c r="C501" s="1" t="s">
        <v>421</v>
      </c>
      <c r="D501" s="1">
        <f>COUNTIFS('Raw Entries'!B:B,Table4[[#This Row],[Name]],'Raw Entries'!I:I,Table4[[#This Row],[BOOK No.]])</f>
        <v>0</v>
      </c>
      <c r="E501" s="1">
        <f t="array" ref="E501">IF(OR(Table4[[#This Row],[INSTALLMENT]]=1,Table4[[#This Row],[INSTALLMENT]]=2,Table4[[#This Row],[INSTALLMENT]]=3),1,0)</f>
        <v>0</v>
      </c>
      <c r="F501" s="1">
        <f>IF(OR(Table4[[#This Row],[INSTALLMENT]]=2,Table4[[#This Row],[INSTALLMENT]]=3),2,0)</f>
        <v>0</v>
      </c>
      <c r="G501" s="1">
        <f>IF(OR(Table4[[#This Row],[INSTALLMENT]]=3),3,0)</f>
        <v>0</v>
      </c>
    </row>
    <row r="502" spans="1:7">
      <c r="A502" s="1">
        <v>552</v>
      </c>
      <c r="B502" s="1" t="s">
        <v>2341</v>
      </c>
      <c r="C502" s="1" t="s">
        <v>421</v>
      </c>
      <c r="D502" s="1">
        <f>COUNTIFS('Raw Entries'!B:B,Table4[[#This Row],[Name]],'Raw Entries'!I:I,Table4[[#This Row],[BOOK No.]])</f>
        <v>0</v>
      </c>
      <c r="E502" s="1">
        <f t="array" ref="E502">IF(OR(Table4[[#This Row],[INSTALLMENT]]=1,Table4[[#This Row],[INSTALLMENT]]=2,Table4[[#This Row],[INSTALLMENT]]=3),1,0)</f>
        <v>0</v>
      </c>
      <c r="F502" s="1">
        <f>IF(OR(Table4[[#This Row],[INSTALLMENT]]=2,Table4[[#This Row],[INSTALLMENT]]=3),2,0)</f>
        <v>0</v>
      </c>
      <c r="G502" s="1">
        <f>IF(OR(Table4[[#This Row],[INSTALLMENT]]=3),3,0)</f>
        <v>0</v>
      </c>
    </row>
    <row r="503" spans="1:7">
      <c r="A503" s="1">
        <v>553</v>
      </c>
      <c r="B503" s="1" t="s">
        <v>2342</v>
      </c>
      <c r="C503" s="1" t="s">
        <v>421</v>
      </c>
      <c r="D503" s="1">
        <f>COUNTIFS('Raw Entries'!B:B,Table4[[#This Row],[Name]],'Raw Entries'!I:I,Table4[[#This Row],[BOOK No.]])</f>
        <v>0</v>
      </c>
      <c r="E503" s="1">
        <f t="array" ref="E503">IF(OR(Table4[[#This Row],[INSTALLMENT]]=1,Table4[[#This Row],[INSTALLMENT]]=2,Table4[[#This Row],[INSTALLMENT]]=3),1,0)</f>
        <v>0</v>
      </c>
      <c r="F503" s="1">
        <f>IF(OR(Table4[[#This Row],[INSTALLMENT]]=2,Table4[[#This Row],[INSTALLMENT]]=3),2,0)</f>
        <v>0</v>
      </c>
      <c r="G503" s="1">
        <f>IF(OR(Table4[[#This Row],[INSTALLMENT]]=3),3,0)</f>
        <v>0</v>
      </c>
    </row>
    <row r="504" spans="1:7">
      <c r="A504" s="1">
        <v>554</v>
      </c>
      <c r="B504" s="1" t="s">
        <v>2343</v>
      </c>
      <c r="C504" s="1" t="s">
        <v>421</v>
      </c>
      <c r="D504" s="1">
        <f>COUNTIFS('Raw Entries'!B:B,Table4[[#This Row],[Name]],'Raw Entries'!I:I,Table4[[#This Row],[BOOK No.]])</f>
        <v>0</v>
      </c>
      <c r="E504" s="1">
        <f t="array" ref="E504">IF(OR(Table4[[#This Row],[INSTALLMENT]]=1,Table4[[#This Row],[INSTALLMENT]]=2,Table4[[#This Row],[INSTALLMENT]]=3),1,0)</f>
        <v>0</v>
      </c>
      <c r="F504" s="1">
        <f>IF(OR(Table4[[#This Row],[INSTALLMENT]]=2,Table4[[#This Row],[INSTALLMENT]]=3),2,0)</f>
        <v>0</v>
      </c>
      <c r="G504" s="1">
        <f>IF(OR(Table4[[#This Row],[INSTALLMENT]]=3),3,0)</f>
        <v>0</v>
      </c>
    </row>
    <row r="505" spans="1:7">
      <c r="A505" s="1">
        <v>555</v>
      </c>
      <c r="B505" s="1" t="s">
        <v>2344</v>
      </c>
      <c r="C505" s="1" t="s">
        <v>421</v>
      </c>
      <c r="D505" s="1">
        <f>COUNTIFS('Raw Entries'!B:B,Table4[[#This Row],[Name]],'Raw Entries'!I:I,Table4[[#This Row],[BOOK No.]])</f>
        <v>0</v>
      </c>
      <c r="E505" s="1">
        <f t="array" ref="E505">IF(OR(Table4[[#This Row],[INSTALLMENT]]=1,Table4[[#This Row],[INSTALLMENT]]=2,Table4[[#This Row],[INSTALLMENT]]=3),1,0)</f>
        <v>0</v>
      </c>
      <c r="F505" s="1">
        <f>IF(OR(Table4[[#This Row],[INSTALLMENT]]=2,Table4[[#This Row],[INSTALLMENT]]=3),2,0)</f>
        <v>0</v>
      </c>
      <c r="G505" s="1">
        <f>IF(OR(Table4[[#This Row],[INSTALLMENT]]=3),3,0)</f>
        <v>0</v>
      </c>
    </row>
    <row r="506" spans="1:7">
      <c r="A506" s="1">
        <v>556</v>
      </c>
      <c r="B506" s="1" t="s">
        <v>2345</v>
      </c>
      <c r="C506" s="1" t="s">
        <v>421</v>
      </c>
      <c r="D506" s="1">
        <f>COUNTIFS('Raw Entries'!B:B,Table4[[#This Row],[Name]],'Raw Entries'!I:I,Table4[[#This Row],[BOOK No.]])</f>
        <v>0</v>
      </c>
      <c r="E506" s="1">
        <f t="array" ref="E506">IF(OR(Table4[[#This Row],[INSTALLMENT]]=1,Table4[[#This Row],[INSTALLMENT]]=2,Table4[[#This Row],[INSTALLMENT]]=3),1,0)</f>
        <v>0</v>
      </c>
      <c r="F506" s="1">
        <f>IF(OR(Table4[[#This Row],[INSTALLMENT]]=2,Table4[[#This Row],[INSTALLMENT]]=3),2,0)</f>
        <v>0</v>
      </c>
      <c r="G506" s="1">
        <f>IF(OR(Table4[[#This Row],[INSTALLMENT]]=3),3,0)</f>
        <v>0</v>
      </c>
    </row>
    <row r="507" spans="1:7">
      <c r="A507" s="1">
        <v>557</v>
      </c>
      <c r="B507" s="1" t="s">
        <v>426</v>
      </c>
      <c r="C507" s="1" t="s">
        <v>421</v>
      </c>
      <c r="D507" s="1">
        <f>COUNTIFS('Raw Entries'!B:B,Table4[[#This Row],[Name]],'Raw Entries'!I:I,Table4[[#This Row],[BOOK No.]])</f>
        <v>1</v>
      </c>
      <c r="E507" s="1">
        <f t="array" ref="E507">IF(OR(Table4[[#This Row],[INSTALLMENT]]=1,Table4[[#This Row],[INSTALLMENT]]=2,Table4[[#This Row],[INSTALLMENT]]=3),1,0)</f>
        <v>1</v>
      </c>
      <c r="F507" s="1">
        <f>IF(OR(Table4[[#This Row],[INSTALLMENT]]=2,Table4[[#This Row],[INSTALLMENT]]=3),2,0)</f>
        <v>0</v>
      </c>
      <c r="G507" s="1">
        <f>IF(OR(Table4[[#This Row],[INSTALLMENT]]=3),3,0)</f>
        <v>0</v>
      </c>
    </row>
    <row r="508" spans="1:7">
      <c r="A508" s="1">
        <v>558</v>
      </c>
      <c r="B508" s="1" t="s">
        <v>2346</v>
      </c>
      <c r="C508" s="1" t="s">
        <v>421</v>
      </c>
      <c r="D508" s="1">
        <f>COUNTIFS('Raw Entries'!B:B,Table4[[#This Row],[Name]],'Raw Entries'!I:I,Table4[[#This Row],[BOOK No.]])</f>
        <v>0</v>
      </c>
      <c r="E508" s="1">
        <f t="array" ref="E508">IF(OR(Table4[[#This Row],[INSTALLMENT]]=1,Table4[[#This Row],[INSTALLMENT]]=2,Table4[[#This Row],[INSTALLMENT]]=3),1,0)</f>
        <v>0</v>
      </c>
      <c r="F508" s="1">
        <f>IF(OR(Table4[[#This Row],[INSTALLMENT]]=2,Table4[[#This Row],[INSTALLMENT]]=3),2,0)</f>
        <v>0</v>
      </c>
      <c r="G508" s="1">
        <f>IF(OR(Table4[[#This Row],[INSTALLMENT]]=3),3,0)</f>
        <v>0</v>
      </c>
    </row>
    <row r="509" spans="1:7">
      <c r="A509" s="1">
        <v>559</v>
      </c>
      <c r="B509" s="1" t="s">
        <v>422</v>
      </c>
      <c r="C509" s="1" t="s">
        <v>421</v>
      </c>
      <c r="D509" s="1">
        <f>COUNTIFS('Raw Entries'!B:B,Table4[[#This Row],[Name]],'Raw Entries'!I:I,Table4[[#This Row],[BOOK No.]])</f>
        <v>1</v>
      </c>
      <c r="E509" s="1">
        <f t="array" ref="E509">IF(OR(Table4[[#This Row],[INSTALLMENT]]=1,Table4[[#This Row],[INSTALLMENT]]=2,Table4[[#This Row],[INSTALLMENT]]=3),1,0)</f>
        <v>1</v>
      </c>
      <c r="F509" s="1">
        <f>IF(OR(Table4[[#This Row],[INSTALLMENT]]=2,Table4[[#This Row],[INSTALLMENT]]=3),2,0)</f>
        <v>0</v>
      </c>
      <c r="G509" s="1">
        <f>IF(OR(Table4[[#This Row],[INSTALLMENT]]=3),3,0)</f>
        <v>0</v>
      </c>
    </row>
    <row r="510" spans="1:7">
      <c r="A510" s="1">
        <v>560</v>
      </c>
      <c r="B510" s="1" t="s">
        <v>2347</v>
      </c>
      <c r="C510" s="1" t="s">
        <v>421</v>
      </c>
      <c r="D510" s="1">
        <f>COUNTIFS('Raw Entries'!B:B,Table4[[#This Row],[Name]],'Raw Entries'!I:I,Table4[[#This Row],[BOOK No.]])</f>
        <v>0</v>
      </c>
      <c r="E510" s="1">
        <f t="array" ref="E510">IF(OR(Table4[[#This Row],[INSTALLMENT]]=1,Table4[[#This Row],[INSTALLMENT]]=2,Table4[[#This Row],[INSTALLMENT]]=3),1,0)</f>
        <v>0</v>
      </c>
      <c r="F510" s="1">
        <f>IF(OR(Table4[[#This Row],[INSTALLMENT]]=2,Table4[[#This Row],[INSTALLMENT]]=3),2,0)</f>
        <v>0</v>
      </c>
      <c r="G510" s="1">
        <f>IF(OR(Table4[[#This Row],[INSTALLMENT]]=3),3,0)</f>
        <v>0</v>
      </c>
    </row>
    <row r="511" spans="1:7">
      <c r="A511" s="1">
        <v>561</v>
      </c>
      <c r="B511" s="1" t="s">
        <v>2348</v>
      </c>
      <c r="C511" s="1" t="s">
        <v>421</v>
      </c>
      <c r="D511" s="1">
        <f>COUNTIFS('Raw Entries'!B:B,Table4[[#This Row],[Name]],'Raw Entries'!I:I,Table4[[#This Row],[BOOK No.]])</f>
        <v>0</v>
      </c>
      <c r="E511" s="1">
        <f t="array" ref="E511">IF(OR(Table4[[#This Row],[INSTALLMENT]]=1,Table4[[#This Row],[INSTALLMENT]]=2,Table4[[#This Row],[INSTALLMENT]]=3),1,0)</f>
        <v>0</v>
      </c>
      <c r="F511" s="1">
        <f>IF(OR(Table4[[#This Row],[INSTALLMENT]]=2,Table4[[#This Row],[INSTALLMENT]]=3),2,0)</f>
        <v>0</v>
      </c>
      <c r="G511" s="1">
        <f>IF(OR(Table4[[#This Row],[INSTALLMENT]]=3),3,0)</f>
        <v>0</v>
      </c>
    </row>
    <row r="512" spans="1:7">
      <c r="A512" s="1">
        <v>562</v>
      </c>
      <c r="B512" s="1" t="s">
        <v>2349</v>
      </c>
      <c r="C512" s="1" t="s">
        <v>421</v>
      </c>
      <c r="D512" s="1">
        <f>COUNTIFS('Raw Entries'!B:B,Table4[[#This Row],[Name]],'Raw Entries'!I:I,Table4[[#This Row],[BOOK No.]])</f>
        <v>0</v>
      </c>
      <c r="E512" s="1">
        <f t="array" ref="E512">IF(OR(Table4[[#This Row],[INSTALLMENT]]=1,Table4[[#This Row],[INSTALLMENT]]=2,Table4[[#This Row],[INSTALLMENT]]=3),1,0)</f>
        <v>0</v>
      </c>
      <c r="F512" s="1">
        <f>IF(OR(Table4[[#This Row],[INSTALLMENT]]=2,Table4[[#This Row],[INSTALLMENT]]=3),2,0)</f>
        <v>0</v>
      </c>
      <c r="G512" s="1">
        <f>IF(OR(Table4[[#This Row],[INSTALLMENT]]=3),3,0)</f>
        <v>0</v>
      </c>
    </row>
    <row r="513" spans="1:7">
      <c r="A513" s="1">
        <v>563</v>
      </c>
      <c r="B513" s="1" t="s">
        <v>2350</v>
      </c>
      <c r="C513" s="1" t="s">
        <v>429</v>
      </c>
      <c r="D513" s="1">
        <f>COUNTIFS('Raw Entries'!B:B,Table4[[#This Row],[Name]],'Raw Entries'!I:I,Table4[[#This Row],[BOOK No.]])</f>
        <v>0</v>
      </c>
      <c r="E513" s="1">
        <f t="array" ref="E513">IF(OR(Table4[[#This Row],[INSTALLMENT]]=1,Table4[[#This Row],[INSTALLMENT]]=2,Table4[[#This Row],[INSTALLMENT]]=3),1,0)</f>
        <v>0</v>
      </c>
      <c r="F513" s="1">
        <f>IF(OR(Table4[[#This Row],[INSTALLMENT]]=2,Table4[[#This Row],[INSTALLMENT]]=3),2,0)</f>
        <v>0</v>
      </c>
      <c r="G513" s="1">
        <f>IF(OR(Table4[[#This Row],[INSTALLMENT]]=3),3,0)</f>
        <v>0</v>
      </c>
    </row>
    <row r="514" spans="1:7">
      <c r="A514" s="1">
        <v>564</v>
      </c>
      <c r="B514" s="1" t="s">
        <v>2351</v>
      </c>
      <c r="C514" s="1" t="s">
        <v>429</v>
      </c>
      <c r="D514" s="1">
        <f>COUNTIFS('Raw Entries'!B:B,Table4[[#This Row],[Name]],'Raw Entries'!I:I,Table4[[#This Row],[BOOK No.]])</f>
        <v>0</v>
      </c>
      <c r="E514" s="1">
        <f t="array" ref="E514">IF(OR(Table4[[#This Row],[INSTALLMENT]]=1,Table4[[#This Row],[INSTALLMENT]]=2,Table4[[#This Row],[INSTALLMENT]]=3),1,0)</f>
        <v>0</v>
      </c>
      <c r="F514" s="1">
        <f>IF(OR(Table4[[#This Row],[INSTALLMENT]]=2,Table4[[#This Row],[INSTALLMENT]]=3),2,0)</f>
        <v>0</v>
      </c>
      <c r="G514" s="1">
        <f>IF(OR(Table4[[#This Row],[INSTALLMENT]]=3),3,0)</f>
        <v>0</v>
      </c>
    </row>
    <row r="515" spans="1:7">
      <c r="A515" s="1">
        <v>565</v>
      </c>
      <c r="B515" s="1" t="s">
        <v>2352</v>
      </c>
      <c r="C515" s="1" t="s">
        <v>429</v>
      </c>
      <c r="D515" s="1">
        <f>COUNTIFS('Raw Entries'!B:B,Table4[[#This Row],[Name]],'Raw Entries'!I:I,Table4[[#This Row],[BOOK No.]])</f>
        <v>0</v>
      </c>
      <c r="E515" s="1">
        <f t="array" ref="E515">IF(OR(Table4[[#This Row],[INSTALLMENT]]=1,Table4[[#This Row],[INSTALLMENT]]=2,Table4[[#This Row],[INSTALLMENT]]=3),1,0)</f>
        <v>0</v>
      </c>
      <c r="F515" s="1">
        <f>IF(OR(Table4[[#This Row],[INSTALLMENT]]=2,Table4[[#This Row],[INSTALLMENT]]=3),2,0)</f>
        <v>0</v>
      </c>
      <c r="G515" s="1">
        <f>IF(OR(Table4[[#This Row],[INSTALLMENT]]=3),3,0)</f>
        <v>0</v>
      </c>
    </row>
    <row r="516" spans="1:7">
      <c r="A516" s="1">
        <v>566</v>
      </c>
      <c r="B516" s="1" t="s">
        <v>2353</v>
      </c>
      <c r="C516" s="1" t="s">
        <v>429</v>
      </c>
      <c r="D516" s="1">
        <f>COUNTIFS('Raw Entries'!B:B,Table4[[#This Row],[Name]],'Raw Entries'!I:I,Table4[[#This Row],[BOOK No.]])</f>
        <v>0</v>
      </c>
      <c r="E516" s="1">
        <f t="array" ref="E516">IF(OR(Table4[[#This Row],[INSTALLMENT]]=1,Table4[[#This Row],[INSTALLMENT]]=2,Table4[[#This Row],[INSTALLMENT]]=3),1,0)</f>
        <v>0</v>
      </c>
      <c r="F516" s="1">
        <f>IF(OR(Table4[[#This Row],[INSTALLMENT]]=2,Table4[[#This Row],[INSTALLMENT]]=3),2,0)</f>
        <v>0</v>
      </c>
      <c r="G516" s="1">
        <f>IF(OR(Table4[[#This Row],[INSTALLMENT]]=3),3,0)</f>
        <v>0</v>
      </c>
    </row>
    <row r="517" spans="1:7">
      <c r="A517" s="1">
        <v>567</v>
      </c>
      <c r="B517" s="1" t="s">
        <v>1978</v>
      </c>
      <c r="C517" s="1" t="s">
        <v>429</v>
      </c>
      <c r="D517" s="1">
        <f>COUNTIFS('Raw Entries'!B:B,Table4[[#This Row],[Name]],'Raw Entries'!I:I,Table4[[#This Row],[BOOK No.]])</f>
        <v>0</v>
      </c>
      <c r="E517" s="1">
        <f t="array" ref="E517">IF(OR(Table4[[#This Row],[INSTALLMENT]]=1,Table4[[#This Row],[INSTALLMENT]]=2,Table4[[#This Row],[INSTALLMENT]]=3),1,0)</f>
        <v>0</v>
      </c>
      <c r="F517" s="1">
        <f>IF(OR(Table4[[#This Row],[INSTALLMENT]]=2,Table4[[#This Row],[INSTALLMENT]]=3),2,0)</f>
        <v>0</v>
      </c>
      <c r="G517" s="1">
        <f>IF(OR(Table4[[#This Row],[INSTALLMENT]]=3),3,0)</f>
        <v>0</v>
      </c>
    </row>
    <row r="518" spans="1:7">
      <c r="A518" s="1">
        <v>568</v>
      </c>
      <c r="B518" s="1" t="s">
        <v>2354</v>
      </c>
      <c r="C518" s="1" t="s">
        <v>429</v>
      </c>
      <c r="D518" s="1">
        <f>COUNTIFS('Raw Entries'!B:B,Table4[[#This Row],[Name]],'Raw Entries'!I:I,Table4[[#This Row],[BOOK No.]])</f>
        <v>0</v>
      </c>
      <c r="E518" s="1">
        <f t="array" ref="E518">IF(OR(Table4[[#This Row],[INSTALLMENT]]=1,Table4[[#This Row],[INSTALLMENT]]=2,Table4[[#This Row],[INSTALLMENT]]=3),1,0)</f>
        <v>0</v>
      </c>
      <c r="F518" s="1">
        <f>IF(OR(Table4[[#This Row],[INSTALLMENT]]=2,Table4[[#This Row],[INSTALLMENT]]=3),2,0)</f>
        <v>0</v>
      </c>
      <c r="G518" s="1">
        <f>IF(OR(Table4[[#This Row],[INSTALLMENT]]=3),3,0)</f>
        <v>0</v>
      </c>
    </row>
    <row r="519" spans="1:7">
      <c r="A519" s="1">
        <v>569</v>
      </c>
      <c r="B519" s="1" t="s">
        <v>621</v>
      </c>
      <c r="C519" s="1" t="s">
        <v>429</v>
      </c>
      <c r="D519" s="1">
        <f>COUNTIFS('Raw Entries'!B:B,Table4[[#This Row],[Name]],'Raw Entries'!I:I,Table4[[#This Row],[BOOK No.]])</f>
        <v>1</v>
      </c>
      <c r="E519" s="1">
        <f t="array" ref="E519">IF(OR(Table4[[#This Row],[INSTALLMENT]]=1,Table4[[#This Row],[INSTALLMENT]]=2,Table4[[#This Row],[INSTALLMENT]]=3),1,0)</f>
        <v>1</v>
      </c>
      <c r="F519" s="1">
        <f>IF(OR(Table4[[#This Row],[INSTALLMENT]]=2,Table4[[#This Row],[INSTALLMENT]]=3),2,0)</f>
        <v>0</v>
      </c>
      <c r="G519" s="1">
        <f>IF(OR(Table4[[#This Row],[INSTALLMENT]]=3),3,0)</f>
        <v>0</v>
      </c>
    </row>
    <row r="520" spans="1:7">
      <c r="A520" s="1">
        <v>570</v>
      </c>
      <c r="B520" s="1" t="s">
        <v>2355</v>
      </c>
      <c r="C520" s="1" t="s">
        <v>429</v>
      </c>
      <c r="D520" s="1">
        <f>COUNTIFS('Raw Entries'!B:B,Table4[[#This Row],[Name]],'Raw Entries'!I:I,Table4[[#This Row],[BOOK No.]])</f>
        <v>3</v>
      </c>
      <c r="E520" s="1">
        <f t="array" ref="E520">IF(OR(Table4[[#This Row],[INSTALLMENT]]=1,Table4[[#This Row],[INSTALLMENT]]=2,Table4[[#This Row],[INSTALLMENT]]=3),1,0)</f>
        <v>1</v>
      </c>
      <c r="F520" s="1">
        <f>IF(OR(Table4[[#This Row],[INSTALLMENT]]=2,Table4[[#This Row],[INSTALLMENT]]=3),2,0)</f>
        <v>2</v>
      </c>
      <c r="G520" s="1">
        <f>IF(OR(Table4[[#This Row],[INSTALLMENT]]=3),3,0)</f>
        <v>3</v>
      </c>
    </row>
    <row r="521" spans="1:7">
      <c r="A521" s="1">
        <v>571</v>
      </c>
      <c r="B521" s="1" t="s">
        <v>2356</v>
      </c>
      <c r="C521" s="1" t="s">
        <v>429</v>
      </c>
      <c r="D521" s="1">
        <f>COUNTIFS('Raw Entries'!B:B,Table4[[#This Row],[Name]],'Raw Entries'!I:I,Table4[[#This Row],[BOOK No.]])</f>
        <v>0</v>
      </c>
      <c r="E521" s="1">
        <f t="array" ref="E521">IF(OR(Table4[[#This Row],[INSTALLMENT]]=1,Table4[[#This Row],[INSTALLMENT]]=2,Table4[[#This Row],[INSTALLMENT]]=3),1,0)</f>
        <v>0</v>
      </c>
      <c r="F521" s="1">
        <f>IF(OR(Table4[[#This Row],[INSTALLMENT]]=2,Table4[[#This Row],[INSTALLMENT]]=3),2,0)</f>
        <v>0</v>
      </c>
      <c r="G521" s="1">
        <f>IF(OR(Table4[[#This Row],[INSTALLMENT]]=3),3,0)</f>
        <v>0</v>
      </c>
    </row>
    <row r="522" spans="1:7">
      <c r="A522" s="1">
        <v>572</v>
      </c>
      <c r="B522" s="1" t="s">
        <v>434</v>
      </c>
      <c r="C522" s="1" t="s">
        <v>429</v>
      </c>
      <c r="D522" s="1">
        <f>COUNTIFS('Raw Entries'!B:B,Table4[[#This Row],[Name]],'Raw Entries'!I:I,Table4[[#This Row],[BOOK No.]])</f>
        <v>1</v>
      </c>
      <c r="E522" s="1">
        <f t="array" ref="E522">IF(OR(Table4[[#This Row],[INSTALLMENT]]=1,Table4[[#This Row],[INSTALLMENT]]=2,Table4[[#This Row],[INSTALLMENT]]=3),1,0)</f>
        <v>1</v>
      </c>
      <c r="F522" s="1">
        <f>IF(OR(Table4[[#This Row],[INSTALLMENT]]=2,Table4[[#This Row],[INSTALLMENT]]=3),2,0)</f>
        <v>0</v>
      </c>
      <c r="G522" s="1">
        <f>IF(OR(Table4[[#This Row],[INSTALLMENT]]=3),3,0)</f>
        <v>0</v>
      </c>
    </row>
    <row r="523" spans="1:7">
      <c r="A523" s="1">
        <v>573</v>
      </c>
      <c r="B523" s="1" t="s">
        <v>2357</v>
      </c>
      <c r="C523" s="1" t="s">
        <v>429</v>
      </c>
      <c r="D523" s="1">
        <f>COUNTIFS('Raw Entries'!B:B,Table4[[#This Row],[Name]],'Raw Entries'!I:I,Table4[[#This Row],[BOOK No.]])</f>
        <v>0</v>
      </c>
      <c r="E523" s="1">
        <f t="array" ref="E523">IF(OR(Table4[[#This Row],[INSTALLMENT]]=1,Table4[[#This Row],[INSTALLMENT]]=2,Table4[[#This Row],[INSTALLMENT]]=3),1,0)</f>
        <v>0</v>
      </c>
      <c r="F523" s="1">
        <f>IF(OR(Table4[[#This Row],[INSTALLMENT]]=2,Table4[[#This Row],[INSTALLMENT]]=3),2,0)</f>
        <v>0</v>
      </c>
      <c r="G523" s="1">
        <f>IF(OR(Table4[[#This Row],[INSTALLMENT]]=3),3,0)</f>
        <v>0</v>
      </c>
    </row>
    <row r="524" spans="1:7">
      <c r="A524" s="1">
        <v>574</v>
      </c>
      <c r="B524" s="1" t="s">
        <v>620</v>
      </c>
      <c r="C524" s="1" t="s">
        <v>429</v>
      </c>
      <c r="D524" s="1">
        <f>COUNTIFS('Raw Entries'!B:B,Table4[[#This Row],[Name]],'Raw Entries'!I:I,Table4[[#This Row],[BOOK No.]])</f>
        <v>1</v>
      </c>
      <c r="E524" s="1">
        <f t="array" ref="E524">IF(OR(Table4[[#This Row],[INSTALLMENT]]=1,Table4[[#This Row],[INSTALLMENT]]=2,Table4[[#This Row],[INSTALLMENT]]=3),1,0)</f>
        <v>1</v>
      </c>
      <c r="F524" s="1">
        <f>IF(OR(Table4[[#This Row],[INSTALLMENT]]=2,Table4[[#This Row],[INSTALLMENT]]=3),2,0)</f>
        <v>0</v>
      </c>
      <c r="G524" s="1">
        <f>IF(OR(Table4[[#This Row],[INSTALLMENT]]=3),3,0)</f>
        <v>0</v>
      </c>
    </row>
    <row r="525" spans="1:7">
      <c r="A525" s="1">
        <v>575</v>
      </c>
      <c r="B525" s="1" t="s">
        <v>2358</v>
      </c>
      <c r="C525" s="1" t="s">
        <v>429</v>
      </c>
      <c r="D525" s="1">
        <f>COUNTIFS('Raw Entries'!B:B,Table4[[#This Row],[Name]],'Raw Entries'!I:I,Table4[[#This Row],[BOOK No.]])</f>
        <v>0</v>
      </c>
      <c r="E525" s="1">
        <f t="array" ref="E525">IF(OR(Table4[[#This Row],[INSTALLMENT]]=1,Table4[[#This Row],[INSTALLMENT]]=2,Table4[[#This Row],[INSTALLMENT]]=3),1,0)</f>
        <v>0</v>
      </c>
      <c r="F525" s="1">
        <f>IF(OR(Table4[[#This Row],[INSTALLMENT]]=2,Table4[[#This Row],[INSTALLMENT]]=3),2,0)</f>
        <v>0</v>
      </c>
      <c r="G525" s="1">
        <f>IF(OR(Table4[[#This Row],[INSTALLMENT]]=3),3,0)</f>
        <v>0</v>
      </c>
    </row>
    <row r="526" spans="1:7">
      <c r="A526" s="1">
        <v>576</v>
      </c>
      <c r="B526" s="1" t="s">
        <v>2359</v>
      </c>
      <c r="C526" s="1" t="s">
        <v>429</v>
      </c>
      <c r="D526" s="1">
        <f>COUNTIFS('Raw Entries'!B:B,Table4[[#This Row],[Name]],'Raw Entries'!I:I,Table4[[#This Row],[BOOK No.]])</f>
        <v>0</v>
      </c>
      <c r="E526" s="1">
        <f t="array" ref="E526">IF(OR(Table4[[#This Row],[INSTALLMENT]]=1,Table4[[#This Row],[INSTALLMENT]]=2,Table4[[#This Row],[INSTALLMENT]]=3),1,0)</f>
        <v>0</v>
      </c>
      <c r="F526" s="1">
        <f>IF(OR(Table4[[#This Row],[INSTALLMENT]]=2,Table4[[#This Row],[INSTALLMENT]]=3),2,0)</f>
        <v>0</v>
      </c>
      <c r="G526" s="1">
        <f>IF(OR(Table4[[#This Row],[INSTALLMENT]]=3),3,0)</f>
        <v>0</v>
      </c>
    </row>
    <row r="527" spans="1:7">
      <c r="A527" s="1">
        <v>577</v>
      </c>
      <c r="B527" s="1" t="s">
        <v>2360</v>
      </c>
      <c r="C527" s="1" t="s">
        <v>429</v>
      </c>
      <c r="D527" s="1">
        <f>COUNTIFS('Raw Entries'!B:B,Table4[[#This Row],[Name]],'Raw Entries'!I:I,Table4[[#This Row],[BOOK No.]])</f>
        <v>0</v>
      </c>
      <c r="E527" s="1">
        <f t="array" ref="E527">IF(OR(Table4[[#This Row],[INSTALLMENT]]=1,Table4[[#This Row],[INSTALLMENT]]=2,Table4[[#This Row],[INSTALLMENT]]=3),1,0)</f>
        <v>0</v>
      </c>
      <c r="F527" s="1">
        <f>IF(OR(Table4[[#This Row],[INSTALLMENT]]=2,Table4[[#This Row],[INSTALLMENT]]=3),2,0)</f>
        <v>0</v>
      </c>
      <c r="G527" s="1">
        <f>IF(OR(Table4[[#This Row],[INSTALLMENT]]=3),3,0)</f>
        <v>0</v>
      </c>
    </row>
    <row r="528" spans="1:7">
      <c r="A528" s="1">
        <v>578</v>
      </c>
      <c r="B528" s="1" t="s">
        <v>2361</v>
      </c>
      <c r="C528" s="1" t="s">
        <v>429</v>
      </c>
      <c r="D528" s="1">
        <f>COUNTIFS('Raw Entries'!B:B,Table4[[#This Row],[Name]],'Raw Entries'!I:I,Table4[[#This Row],[BOOK No.]])</f>
        <v>0</v>
      </c>
      <c r="E528" s="1">
        <f t="array" ref="E528">IF(OR(Table4[[#This Row],[INSTALLMENT]]=1,Table4[[#This Row],[INSTALLMENT]]=2,Table4[[#This Row],[INSTALLMENT]]=3),1,0)</f>
        <v>0</v>
      </c>
      <c r="F528" s="1">
        <f>IF(OR(Table4[[#This Row],[INSTALLMENT]]=2,Table4[[#This Row],[INSTALLMENT]]=3),2,0)</f>
        <v>0</v>
      </c>
      <c r="G528" s="1">
        <f>IF(OR(Table4[[#This Row],[INSTALLMENT]]=3),3,0)</f>
        <v>0</v>
      </c>
    </row>
    <row r="529" spans="1:7">
      <c r="A529" s="1">
        <v>579</v>
      </c>
      <c r="B529" s="1" t="s">
        <v>433</v>
      </c>
      <c r="C529" s="1" t="s">
        <v>429</v>
      </c>
      <c r="D529" s="1">
        <f>COUNTIFS('Raw Entries'!B:B,Table4[[#This Row],[Name]],'Raw Entries'!I:I,Table4[[#This Row],[BOOK No.]])</f>
        <v>3</v>
      </c>
      <c r="E529" s="1">
        <f t="array" ref="E529">IF(OR(Table4[[#This Row],[INSTALLMENT]]=1,Table4[[#This Row],[INSTALLMENT]]=2,Table4[[#This Row],[INSTALLMENT]]=3),1,0)</f>
        <v>1</v>
      </c>
      <c r="F529" s="1">
        <f>IF(OR(Table4[[#This Row],[INSTALLMENT]]=2,Table4[[#This Row],[INSTALLMENT]]=3),2,0)</f>
        <v>2</v>
      </c>
      <c r="G529" s="1">
        <f>IF(OR(Table4[[#This Row],[INSTALLMENT]]=3),3,0)</f>
        <v>3</v>
      </c>
    </row>
    <row r="530" spans="1:7">
      <c r="A530" s="1">
        <v>580</v>
      </c>
      <c r="B530" s="1" t="s">
        <v>2362</v>
      </c>
      <c r="C530" s="1" t="s">
        <v>429</v>
      </c>
      <c r="D530" s="1">
        <f>COUNTIFS('Raw Entries'!B:B,Table4[[#This Row],[Name]],'Raw Entries'!I:I,Table4[[#This Row],[BOOK No.]])</f>
        <v>0</v>
      </c>
      <c r="E530" s="1">
        <f t="array" ref="E530">IF(OR(Table4[[#This Row],[INSTALLMENT]]=1,Table4[[#This Row],[INSTALLMENT]]=2,Table4[[#This Row],[INSTALLMENT]]=3),1,0)</f>
        <v>0</v>
      </c>
      <c r="F530" s="1">
        <f>IF(OR(Table4[[#This Row],[INSTALLMENT]]=2,Table4[[#This Row],[INSTALLMENT]]=3),2,0)</f>
        <v>0</v>
      </c>
      <c r="G530" s="1">
        <f>IF(OR(Table4[[#This Row],[INSTALLMENT]]=3),3,0)</f>
        <v>0</v>
      </c>
    </row>
    <row r="531" spans="1:7">
      <c r="A531" s="1">
        <v>581</v>
      </c>
      <c r="B531" s="1" t="s">
        <v>2363</v>
      </c>
      <c r="C531" s="1" t="s">
        <v>429</v>
      </c>
      <c r="D531" s="1">
        <f>COUNTIFS('Raw Entries'!B:B,Table4[[#This Row],[Name]],'Raw Entries'!I:I,Table4[[#This Row],[BOOK No.]])</f>
        <v>0</v>
      </c>
      <c r="E531" s="1">
        <f t="array" ref="E531">IF(OR(Table4[[#This Row],[INSTALLMENT]]=1,Table4[[#This Row],[INSTALLMENT]]=2,Table4[[#This Row],[INSTALLMENT]]=3),1,0)</f>
        <v>0</v>
      </c>
      <c r="F531" s="1">
        <f>IF(OR(Table4[[#This Row],[INSTALLMENT]]=2,Table4[[#This Row],[INSTALLMENT]]=3),2,0)</f>
        <v>0</v>
      </c>
      <c r="G531" s="1">
        <f>IF(OR(Table4[[#This Row],[INSTALLMENT]]=3),3,0)</f>
        <v>0</v>
      </c>
    </row>
    <row r="532" spans="1:7">
      <c r="A532" s="1">
        <v>582</v>
      </c>
      <c r="B532" s="1" t="s">
        <v>2364</v>
      </c>
      <c r="C532" s="1" t="s">
        <v>429</v>
      </c>
      <c r="D532" s="1">
        <f>COUNTIFS('Raw Entries'!B:B,Table4[[#This Row],[Name]],'Raw Entries'!I:I,Table4[[#This Row],[BOOK No.]])</f>
        <v>0</v>
      </c>
      <c r="E532" s="1">
        <f t="array" ref="E532">IF(OR(Table4[[#This Row],[INSTALLMENT]]=1,Table4[[#This Row],[INSTALLMENT]]=2,Table4[[#This Row],[INSTALLMENT]]=3),1,0)</f>
        <v>0</v>
      </c>
      <c r="F532" s="1">
        <f>IF(OR(Table4[[#This Row],[INSTALLMENT]]=2,Table4[[#This Row],[INSTALLMENT]]=3),2,0)</f>
        <v>0</v>
      </c>
      <c r="G532" s="1">
        <f>IF(OR(Table4[[#This Row],[INSTALLMENT]]=3),3,0)</f>
        <v>0</v>
      </c>
    </row>
    <row r="533" spans="1:7">
      <c r="A533" s="1">
        <v>583</v>
      </c>
      <c r="B533" s="1" t="s">
        <v>2365</v>
      </c>
      <c r="C533" s="1" t="s">
        <v>429</v>
      </c>
      <c r="D533" s="1">
        <f>COUNTIFS('Raw Entries'!B:B,Table4[[#This Row],[Name]],'Raw Entries'!I:I,Table4[[#This Row],[BOOK No.]])</f>
        <v>0</v>
      </c>
      <c r="E533" s="1">
        <f t="array" ref="E533">IF(OR(Table4[[#This Row],[INSTALLMENT]]=1,Table4[[#This Row],[INSTALLMENT]]=2,Table4[[#This Row],[INSTALLMENT]]=3),1,0)</f>
        <v>0</v>
      </c>
      <c r="F533" s="1">
        <f>IF(OR(Table4[[#This Row],[INSTALLMENT]]=2,Table4[[#This Row],[INSTALLMENT]]=3),2,0)</f>
        <v>0</v>
      </c>
      <c r="G533" s="1">
        <f>IF(OR(Table4[[#This Row],[INSTALLMENT]]=3),3,0)</f>
        <v>0</v>
      </c>
    </row>
    <row r="534" spans="1:7">
      <c r="A534" s="1">
        <v>584</v>
      </c>
      <c r="B534" s="1" t="s">
        <v>2366</v>
      </c>
      <c r="C534" s="1" t="s">
        <v>429</v>
      </c>
      <c r="D534" s="1">
        <f>COUNTIFS('Raw Entries'!B:B,Table4[[#This Row],[Name]],'Raw Entries'!I:I,Table4[[#This Row],[BOOK No.]])</f>
        <v>0</v>
      </c>
      <c r="E534" s="1">
        <f t="array" ref="E534">IF(OR(Table4[[#This Row],[INSTALLMENT]]=1,Table4[[#This Row],[INSTALLMENT]]=2,Table4[[#This Row],[INSTALLMENT]]=3),1,0)</f>
        <v>0</v>
      </c>
      <c r="F534" s="1">
        <f>IF(OR(Table4[[#This Row],[INSTALLMENT]]=2,Table4[[#This Row],[INSTALLMENT]]=3),2,0)</f>
        <v>0</v>
      </c>
      <c r="G534" s="1">
        <f>IF(OR(Table4[[#This Row],[INSTALLMENT]]=3),3,0)</f>
        <v>0</v>
      </c>
    </row>
    <row r="535" spans="1:7">
      <c r="A535" s="1">
        <v>585</v>
      </c>
      <c r="B535" s="1" t="s">
        <v>2367</v>
      </c>
      <c r="C535" s="1" t="s">
        <v>429</v>
      </c>
      <c r="D535" s="1">
        <f>COUNTIFS('Raw Entries'!B:B,Table4[[#This Row],[Name]],'Raw Entries'!I:I,Table4[[#This Row],[BOOK No.]])</f>
        <v>0</v>
      </c>
      <c r="E535" s="1">
        <f t="array" ref="E535">IF(OR(Table4[[#This Row],[INSTALLMENT]]=1,Table4[[#This Row],[INSTALLMENT]]=2,Table4[[#This Row],[INSTALLMENT]]=3),1,0)</f>
        <v>0</v>
      </c>
      <c r="F535" s="1">
        <f>IF(OR(Table4[[#This Row],[INSTALLMENT]]=2,Table4[[#This Row],[INSTALLMENT]]=3),2,0)</f>
        <v>0</v>
      </c>
      <c r="G535" s="1">
        <f>IF(OR(Table4[[#This Row],[INSTALLMENT]]=3),3,0)</f>
        <v>0</v>
      </c>
    </row>
    <row r="536" spans="1:7">
      <c r="A536" s="1">
        <v>586</v>
      </c>
      <c r="B536" s="1" t="s">
        <v>2368</v>
      </c>
      <c r="C536" s="1" t="s">
        <v>429</v>
      </c>
      <c r="D536" s="1">
        <f>COUNTIFS('Raw Entries'!B:B,Table4[[#This Row],[Name]],'Raw Entries'!I:I,Table4[[#This Row],[BOOK No.]])</f>
        <v>0</v>
      </c>
      <c r="E536" s="1">
        <f t="array" ref="E536">IF(OR(Table4[[#This Row],[INSTALLMENT]]=1,Table4[[#This Row],[INSTALLMENT]]=2,Table4[[#This Row],[INSTALLMENT]]=3),1,0)</f>
        <v>0</v>
      </c>
      <c r="F536" s="1">
        <f>IF(OR(Table4[[#This Row],[INSTALLMENT]]=2,Table4[[#This Row],[INSTALLMENT]]=3),2,0)</f>
        <v>0</v>
      </c>
      <c r="G536" s="1">
        <f>IF(OR(Table4[[#This Row],[INSTALLMENT]]=3),3,0)</f>
        <v>0</v>
      </c>
    </row>
    <row r="537" spans="1:7">
      <c r="A537" s="1">
        <v>587</v>
      </c>
      <c r="B537" s="1" t="s">
        <v>435</v>
      </c>
      <c r="C537" s="1" t="s">
        <v>429</v>
      </c>
      <c r="D537" s="1">
        <f>COUNTIFS('Raw Entries'!B:B,Table4[[#This Row],[Name]],'Raw Entries'!I:I,Table4[[#This Row],[BOOK No.]])</f>
        <v>2</v>
      </c>
      <c r="E537" s="1">
        <f t="array" ref="E537">IF(OR(Table4[[#This Row],[INSTALLMENT]]=1,Table4[[#This Row],[INSTALLMENT]]=2,Table4[[#This Row],[INSTALLMENT]]=3),1,0)</f>
        <v>1</v>
      </c>
      <c r="F537" s="1">
        <f>IF(OR(Table4[[#This Row],[INSTALLMENT]]=2,Table4[[#This Row],[INSTALLMENT]]=3),2,0)</f>
        <v>2</v>
      </c>
      <c r="G537" s="1">
        <f>IF(OR(Table4[[#This Row],[INSTALLMENT]]=3),3,0)</f>
        <v>0</v>
      </c>
    </row>
    <row r="538" spans="1:7">
      <c r="A538" s="1">
        <v>588</v>
      </c>
      <c r="B538" s="1" t="s">
        <v>432</v>
      </c>
      <c r="C538" s="1" t="s">
        <v>429</v>
      </c>
      <c r="D538" s="1">
        <f>COUNTIFS('Raw Entries'!B:B,Table4[[#This Row],[Name]],'Raw Entries'!I:I,Table4[[#This Row],[BOOK No.]])</f>
        <v>3</v>
      </c>
      <c r="E538" s="1">
        <f t="array" ref="E538">IF(OR(Table4[[#This Row],[INSTALLMENT]]=1,Table4[[#This Row],[INSTALLMENT]]=2,Table4[[#This Row],[INSTALLMENT]]=3),1,0)</f>
        <v>1</v>
      </c>
      <c r="F538" s="1">
        <f>IF(OR(Table4[[#This Row],[INSTALLMENT]]=2,Table4[[#This Row],[INSTALLMENT]]=3),2,0)</f>
        <v>2</v>
      </c>
      <c r="G538" s="1">
        <f>IF(OR(Table4[[#This Row],[INSTALLMENT]]=3),3,0)</f>
        <v>3</v>
      </c>
    </row>
    <row r="539" spans="1:7">
      <c r="A539" s="1">
        <v>589</v>
      </c>
      <c r="B539" s="1" t="s">
        <v>2369</v>
      </c>
      <c r="C539" s="1" t="s">
        <v>429</v>
      </c>
      <c r="D539" s="1">
        <f>COUNTIFS('Raw Entries'!B:B,Table4[[#This Row],[Name]],'Raw Entries'!I:I,Table4[[#This Row],[BOOK No.]])</f>
        <v>0</v>
      </c>
      <c r="E539" s="1">
        <f t="array" ref="E539">IF(OR(Table4[[#This Row],[INSTALLMENT]]=1,Table4[[#This Row],[INSTALLMENT]]=2,Table4[[#This Row],[INSTALLMENT]]=3),1,0)</f>
        <v>0</v>
      </c>
      <c r="F539" s="1">
        <f>IF(OR(Table4[[#This Row],[INSTALLMENT]]=2,Table4[[#This Row],[INSTALLMENT]]=3),2,0)</f>
        <v>0</v>
      </c>
      <c r="G539" s="1">
        <f>IF(OR(Table4[[#This Row],[INSTALLMENT]]=3),3,0)</f>
        <v>0</v>
      </c>
    </row>
    <row r="540" spans="1:7">
      <c r="A540" s="1">
        <v>590</v>
      </c>
      <c r="B540" s="1" t="s">
        <v>431</v>
      </c>
      <c r="C540" s="1" t="s">
        <v>429</v>
      </c>
      <c r="D540" s="1">
        <f>COUNTIFS('Raw Entries'!B:B,Table4[[#This Row],[Name]],'Raw Entries'!I:I,Table4[[#This Row],[BOOK No.]])</f>
        <v>3</v>
      </c>
      <c r="E540" s="1">
        <f t="array" ref="E540">IF(OR(Table4[[#This Row],[INSTALLMENT]]=1,Table4[[#This Row],[INSTALLMENT]]=2,Table4[[#This Row],[INSTALLMENT]]=3),1,0)</f>
        <v>1</v>
      </c>
      <c r="F540" s="1">
        <f>IF(OR(Table4[[#This Row],[INSTALLMENT]]=2,Table4[[#This Row],[INSTALLMENT]]=3),2,0)</f>
        <v>2</v>
      </c>
      <c r="G540" s="1">
        <f>IF(OR(Table4[[#This Row],[INSTALLMENT]]=3),3,0)</f>
        <v>3</v>
      </c>
    </row>
    <row r="541" spans="1:7">
      <c r="A541" s="1">
        <v>591</v>
      </c>
      <c r="B541" s="1" t="s">
        <v>2370</v>
      </c>
      <c r="C541" s="1" t="s">
        <v>429</v>
      </c>
      <c r="D541" s="1">
        <f>COUNTIFS('Raw Entries'!B:B,Table4[[#This Row],[Name]],'Raw Entries'!I:I,Table4[[#This Row],[BOOK No.]])</f>
        <v>0</v>
      </c>
      <c r="E541" s="1">
        <f t="array" ref="E541">IF(OR(Table4[[#This Row],[INSTALLMENT]]=1,Table4[[#This Row],[INSTALLMENT]]=2,Table4[[#This Row],[INSTALLMENT]]=3),1,0)</f>
        <v>0</v>
      </c>
      <c r="F541" s="1">
        <f>IF(OR(Table4[[#This Row],[INSTALLMENT]]=2,Table4[[#This Row],[INSTALLMENT]]=3),2,0)</f>
        <v>0</v>
      </c>
      <c r="G541" s="1">
        <f>IF(OR(Table4[[#This Row],[INSTALLMENT]]=3),3,0)</f>
        <v>0</v>
      </c>
    </row>
    <row r="542" spans="1:7">
      <c r="A542" s="1">
        <v>592</v>
      </c>
      <c r="B542" s="1" t="s">
        <v>2371</v>
      </c>
      <c r="C542" s="1" t="s">
        <v>429</v>
      </c>
      <c r="D542" s="1">
        <f>COUNTIFS('Raw Entries'!B:B,Table4[[#This Row],[Name]],'Raw Entries'!I:I,Table4[[#This Row],[BOOK No.]])</f>
        <v>0</v>
      </c>
      <c r="E542" s="1">
        <f t="array" ref="E542">IF(OR(Table4[[#This Row],[INSTALLMENT]]=1,Table4[[#This Row],[INSTALLMENT]]=2,Table4[[#This Row],[INSTALLMENT]]=3),1,0)</f>
        <v>0</v>
      </c>
      <c r="F542" s="1">
        <f>IF(OR(Table4[[#This Row],[INSTALLMENT]]=2,Table4[[#This Row],[INSTALLMENT]]=3),2,0)</f>
        <v>0</v>
      </c>
      <c r="G542" s="1">
        <f>IF(OR(Table4[[#This Row],[INSTALLMENT]]=3),3,0)</f>
        <v>0</v>
      </c>
    </row>
    <row r="543" spans="1:7">
      <c r="A543" s="1">
        <v>593</v>
      </c>
      <c r="B543" s="1" t="s">
        <v>2372</v>
      </c>
      <c r="C543" s="1" t="s">
        <v>429</v>
      </c>
      <c r="D543" s="1">
        <f>COUNTIFS('Raw Entries'!B:B,Table4[[#This Row],[Name]],'Raw Entries'!I:I,Table4[[#This Row],[BOOK No.]])</f>
        <v>0</v>
      </c>
      <c r="E543" s="1">
        <f t="array" ref="E543">IF(OR(Table4[[#This Row],[INSTALLMENT]]=1,Table4[[#This Row],[INSTALLMENT]]=2,Table4[[#This Row],[INSTALLMENT]]=3),1,0)</f>
        <v>0</v>
      </c>
      <c r="F543" s="1">
        <f>IF(OR(Table4[[#This Row],[INSTALLMENT]]=2,Table4[[#This Row],[INSTALLMENT]]=3),2,0)</f>
        <v>0</v>
      </c>
      <c r="G543" s="1">
        <f>IF(OR(Table4[[#This Row],[INSTALLMENT]]=3),3,0)</f>
        <v>0</v>
      </c>
    </row>
    <row r="544" spans="1:7">
      <c r="A544" s="1">
        <v>594</v>
      </c>
      <c r="B544" s="1" t="s">
        <v>2373</v>
      </c>
      <c r="C544" s="1" t="s">
        <v>429</v>
      </c>
      <c r="D544" s="1">
        <f>COUNTIFS('Raw Entries'!B:B,Table4[[#This Row],[Name]],'Raw Entries'!I:I,Table4[[#This Row],[BOOK No.]])</f>
        <v>0</v>
      </c>
      <c r="E544" s="1">
        <f t="array" ref="E544">IF(OR(Table4[[#This Row],[INSTALLMENT]]=1,Table4[[#This Row],[INSTALLMENT]]=2,Table4[[#This Row],[INSTALLMENT]]=3),1,0)</f>
        <v>0</v>
      </c>
      <c r="F544" s="1">
        <f>IF(OR(Table4[[#This Row],[INSTALLMENT]]=2,Table4[[#This Row],[INSTALLMENT]]=3),2,0)</f>
        <v>0</v>
      </c>
      <c r="G544" s="1">
        <f>IF(OR(Table4[[#This Row],[INSTALLMENT]]=3),3,0)</f>
        <v>0</v>
      </c>
    </row>
    <row r="545" spans="1:7">
      <c r="A545" s="1">
        <v>595</v>
      </c>
      <c r="B545" s="1" t="s">
        <v>2374</v>
      </c>
      <c r="C545" s="1" t="s">
        <v>429</v>
      </c>
      <c r="D545" s="1">
        <f>COUNTIFS('Raw Entries'!B:B,Table4[[#This Row],[Name]],'Raw Entries'!I:I,Table4[[#This Row],[BOOK No.]])</f>
        <v>0</v>
      </c>
      <c r="E545" s="1">
        <f t="array" ref="E545">IF(OR(Table4[[#This Row],[INSTALLMENT]]=1,Table4[[#This Row],[INSTALLMENT]]=2,Table4[[#This Row],[INSTALLMENT]]=3),1,0)</f>
        <v>0</v>
      </c>
      <c r="F545" s="1">
        <f>IF(OR(Table4[[#This Row],[INSTALLMENT]]=2,Table4[[#This Row],[INSTALLMENT]]=3),2,0)</f>
        <v>0</v>
      </c>
      <c r="G545" s="1">
        <f>IF(OR(Table4[[#This Row],[INSTALLMENT]]=3),3,0)</f>
        <v>0</v>
      </c>
    </row>
    <row r="546" spans="1:7">
      <c r="A546" s="1">
        <v>596</v>
      </c>
      <c r="B546" s="1" t="s">
        <v>2375</v>
      </c>
      <c r="C546" s="1" t="s">
        <v>429</v>
      </c>
      <c r="D546" s="1">
        <f>COUNTIFS('Raw Entries'!B:B,Table4[[#This Row],[Name]],'Raw Entries'!I:I,Table4[[#This Row],[BOOK No.]])</f>
        <v>0</v>
      </c>
      <c r="E546" s="1">
        <f t="array" ref="E546">IF(OR(Table4[[#This Row],[INSTALLMENT]]=1,Table4[[#This Row],[INSTALLMENT]]=2,Table4[[#This Row],[INSTALLMENT]]=3),1,0)</f>
        <v>0</v>
      </c>
      <c r="F546" s="1">
        <f>IF(OR(Table4[[#This Row],[INSTALLMENT]]=2,Table4[[#This Row],[INSTALLMENT]]=3),2,0)</f>
        <v>0</v>
      </c>
      <c r="G546" s="1">
        <f>IF(OR(Table4[[#This Row],[INSTALLMENT]]=3),3,0)</f>
        <v>0</v>
      </c>
    </row>
    <row r="547" spans="1:7">
      <c r="A547" s="1">
        <v>597</v>
      </c>
      <c r="B547" s="1" t="s">
        <v>2376</v>
      </c>
      <c r="C547" s="1" t="s">
        <v>429</v>
      </c>
      <c r="D547" s="1">
        <f>COUNTIFS('Raw Entries'!B:B,Table4[[#This Row],[Name]],'Raw Entries'!I:I,Table4[[#This Row],[BOOK No.]])</f>
        <v>0</v>
      </c>
      <c r="E547" s="1">
        <f t="array" ref="E547">IF(OR(Table4[[#This Row],[INSTALLMENT]]=1,Table4[[#This Row],[INSTALLMENT]]=2,Table4[[#This Row],[INSTALLMENT]]=3),1,0)</f>
        <v>0</v>
      </c>
      <c r="F547" s="1">
        <f>IF(OR(Table4[[#This Row],[INSTALLMENT]]=2,Table4[[#This Row],[INSTALLMENT]]=3),2,0)</f>
        <v>0</v>
      </c>
      <c r="G547" s="1">
        <f>IF(OR(Table4[[#This Row],[INSTALLMENT]]=3),3,0)</f>
        <v>0</v>
      </c>
    </row>
    <row r="548" spans="1:7">
      <c r="A548" s="1">
        <v>598</v>
      </c>
      <c r="B548" s="1" t="s">
        <v>2377</v>
      </c>
      <c r="C548" s="1" t="s">
        <v>429</v>
      </c>
      <c r="D548" s="1">
        <f>COUNTIFS('Raw Entries'!B:B,Table4[[#This Row],[Name]],'Raw Entries'!I:I,Table4[[#This Row],[BOOK No.]])</f>
        <v>0</v>
      </c>
      <c r="E548" s="1">
        <f t="array" ref="E548">IF(OR(Table4[[#This Row],[INSTALLMENT]]=1,Table4[[#This Row],[INSTALLMENT]]=2,Table4[[#This Row],[INSTALLMENT]]=3),1,0)</f>
        <v>0</v>
      </c>
      <c r="F548" s="1">
        <f>IF(OR(Table4[[#This Row],[INSTALLMENT]]=2,Table4[[#This Row],[INSTALLMENT]]=3),2,0)</f>
        <v>0</v>
      </c>
      <c r="G548" s="1">
        <f>IF(OR(Table4[[#This Row],[INSTALLMENT]]=3),3,0)</f>
        <v>0</v>
      </c>
    </row>
    <row r="549" spans="1:7">
      <c r="A549" s="1">
        <v>599</v>
      </c>
      <c r="B549" s="1" t="s">
        <v>2378</v>
      </c>
      <c r="C549" s="1" t="s">
        <v>429</v>
      </c>
      <c r="D549" s="1">
        <f>COUNTIFS('Raw Entries'!B:B,Table4[[#This Row],[Name]],'Raw Entries'!I:I,Table4[[#This Row],[BOOK No.]])</f>
        <v>0</v>
      </c>
      <c r="E549" s="1">
        <f t="array" ref="E549">IF(OR(Table4[[#This Row],[INSTALLMENT]]=1,Table4[[#This Row],[INSTALLMENT]]=2,Table4[[#This Row],[INSTALLMENT]]=3),1,0)</f>
        <v>0</v>
      </c>
      <c r="F549" s="1">
        <f>IF(OR(Table4[[#This Row],[INSTALLMENT]]=2,Table4[[#This Row],[INSTALLMENT]]=3),2,0)</f>
        <v>0</v>
      </c>
      <c r="G549" s="1">
        <f>IF(OR(Table4[[#This Row],[INSTALLMENT]]=3),3,0)</f>
        <v>0</v>
      </c>
    </row>
    <row r="550" spans="1:7">
      <c r="A550" s="1">
        <v>600</v>
      </c>
      <c r="B550" s="1" t="s">
        <v>2379</v>
      </c>
      <c r="C550" s="1" t="s">
        <v>429</v>
      </c>
      <c r="D550" s="1">
        <f>COUNTIFS('Raw Entries'!B:B,Table4[[#This Row],[Name]],'Raw Entries'!I:I,Table4[[#This Row],[BOOK No.]])</f>
        <v>0</v>
      </c>
      <c r="E550" s="1">
        <f t="array" ref="E550">IF(OR(Table4[[#This Row],[INSTALLMENT]]=1,Table4[[#This Row],[INSTALLMENT]]=2,Table4[[#This Row],[INSTALLMENT]]=3),1,0)</f>
        <v>0</v>
      </c>
      <c r="F550" s="1">
        <f>IF(OR(Table4[[#This Row],[INSTALLMENT]]=2,Table4[[#This Row],[INSTALLMENT]]=3),2,0)</f>
        <v>0</v>
      </c>
      <c r="G550" s="1">
        <f>IF(OR(Table4[[#This Row],[INSTALLMENT]]=3),3,0)</f>
        <v>0</v>
      </c>
    </row>
    <row r="551" spans="1:7">
      <c r="A551" s="1">
        <v>601</v>
      </c>
      <c r="B551" s="1" t="s">
        <v>2380</v>
      </c>
      <c r="C551" s="1" t="s">
        <v>436</v>
      </c>
      <c r="D551" s="1">
        <f>COUNTIFS('Raw Entries'!B:B,Table4[[#This Row],[Name]],'Raw Entries'!I:I,Table4[[#This Row],[BOOK No.]])</f>
        <v>0</v>
      </c>
      <c r="E551" s="1">
        <f t="array" ref="E551">IF(OR(Table4[[#This Row],[INSTALLMENT]]=1,Table4[[#This Row],[INSTALLMENT]]=2,Table4[[#This Row],[INSTALLMENT]]=3),1,0)</f>
        <v>0</v>
      </c>
      <c r="F551" s="1">
        <f>IF(OR(Table4[[#This Row],[INSTALLMENT]]=2,Table4[[#This Row],[INSTALLMENT]]=3),2,0)</f>
        <v>0</v>
      </c>
      <c r="G551" s="1">
        <f>IF(OR(Table4[[#This Row],[INSTALLMENT]]=3),3,0)</f>
        <v>0</v>
      </c>
    </row>
    <row r="552" spans="1:7">
      <c r="A552" s="1">
        <v>602</v>
      </c>
      <c r="B552" s="1" t="s">
        <v>2381</v>
      </c>
      <c r="C552" s="1" t="s">
        <v>436</v>
      </c>
      <c r="D552" s="1">
        <f>COUNTIFS('Raw Entries'!B:B,Table4[[#This Row],[Name]],'Raw Entries'!I:I,Table4[[#This Row],[BOOK No.]])</f>
        <v>0</v>
      </c>
      <c r="E552" s="1">
        <f t="array" ref="E552">IF(OR(Table4[[#This Row],[INSTALLMENT]]=1,Table4[[#This Row],[INSTALLMENT]]=2,Table4[[#This Row],[INSTALLMENT]]=3),1,0)</f>
        <v>0</v>
      </c>
      <c r="F552" s="1">
        <f>IF(OR(Table4[[#This Row],[INSTALLMENT]]=2,Table4[[#This Row],[INSTALLMENT]]=3),2,0)</f>
        <v>0</v>
      </c>
      <c r="G552" s="1">
        <f>IF(OR(Table4[[#This Row],[INSTALLMENT]]=3),3,0)</f>
        <v>0</v>
      </c>
    </row>
    <row r="553" spans="1:7">
      <c r="A553" s="1">
        <v>603</v>
      </c>
      <c r="B553" s="1" t="s">
        <v>2382</v>
      </c>
      <c r="C553" s="1" t="s">
        <v>436</v>
      </c>
      <c r="D553" s="1">
        <f>COUNTIFS('Raw Entries'!B:B,Table4[[#This Row],[Name]],'Raw Entries'!I:I,Table4[[#This Row],[BOOK No.]])</f>
        <v>0</v>
      </c>
      <c r="E553" s="1">
        <f t="array" ref="E553">IF(OR(Table4[[#This Row],[INSTALLMENT]]=1,Table4[[#This Row],[INSTALLMENT]]=2,Table4[[#This Row],[INSTALLMENT]]=3),1,0)</f>
        <v>0</v>
      </c>
      <c r="F553" s="1">
        <f>IF(OR(Table4[[#This Row],[INSTALLMENT]]=2,Table4[[#This Row],[INSTALLMENT]]=3),2,0)</f>
        <v>0</v>
      </c>
      <c r="G553" s="1">
        <f>IF(OR(Table4[[#This Row],[INSTALLMENT]]=3),3,0)</f>
        <v>0</v>
      </c>
    </row>
    <row r="554" spans="1:7">
      <c r="A554" s="1">
        <v>604</v>
      </c>
      <c r="B554" s="1" t="s">
        <v>2383</v>
      </c>
      <c r="C554" s="1" t="s">
        <v>436</v>
      </c>
      <c r="D554" s="1">
        <f>COUNTIFS('Raw Entries'!B:B,Table4[[#This Row],[Name]],'Raw Entries'!I:I,Table4[[#This Row],[BOOK No.]])</f>
        <v>0</v>
      </c>
      <c r="E554" s="1">
        <f t="array" ref="E554">IF(OR(Table4[[#This Row],[INSTALLMENT]]=1,Table4[[#This Row],[INSTALLMENT]]=2,Table4[[#This Row],[INSTALLMENT]]=3),1,0)</f>
        <v>0</v>
      </c>
      <c r="F554" s="1">
        <f>IF(OR(Table4[[#This Row],[INSTALLMENT]]=2,Table4[[#This Row],[INSTALLMENT]]=3),2,0)</f>
        <v>0</v>
      </c>
      <c r="G554" s="1">
        <f>IF(OR(Table4[[#This Row],[INSTALLMENT]]=3),3,0)</f>
        <v>0</v>
      </c>
    </row>
    <row r="555" spans="1:7">
      <c r="A555" s="1">
        <v>605</v>
      </c>
      <c r="B555" s="1" t="s">
        <v>2384</v>
      </c>
      <c r="C555" s="1" t="s">
        <v>436</v>
      </c>
      <c r="D555" s="1">
        <f>COUNTIFS('Raw Entries'!B:B,Table4[[#This Row],[Name]],'Raw Entries'!I:I,Table4[[#This Row],[BOOK No.]])</f>
        <v>0</v>
      </c>
      <c r="E555" s="1">
        <f t="array" ref="E555">IF(OR(Table4[[#This Row],[INSTALLMENT]]=1,Table4[[#This Row],[INSTALLMENT]]=2,Table4[[#This Row],[INSTALLMENT]]=3),1,0)</f>
        <v>0</v>
      </c>
      <c r="F555" s="1">
        <f>IF(OR(Table4[[#This Row],[INSTALLMENT]]=2,Table4[[#This Row],[INSTALLMENT]]=3),2,0)</f>
        <v>0</v>
      </c>
      <c r="G555" s="1">
        <f>IF(OR(Table4[[#This Row],[INSTALLMENT]]=3),3,0)</f>
        <v>0</v>
      </c>
    </row>
    <row r="556" spans="1:7">
      <c r="A556" s="1">
        <v>606</v>
      </c>
      <c r="B556" s="1" t="s">
        <v>2385</v>
      </c>
      <c r="C556" s="1" t="s">
        <v>436</v>
      </c>
      <c r="D556" s="1">
        <f>COUNTIFS('Raw Entries'!B:B,Table4[[#This Row],[Name]],'Raw Entries'!I:I,Table4[[#This Row],[BOOK No.]])</f>
        <v>0</v>
      </c>
      <c r="E556" s="1">
        <f t="array" ref="E556">IF(OR(Table4[[#This Row],[INSTALLMENT]]=1,Table4[[#This Row],[INSTALLMENT]]=2,Table4[[#This Row],[INSTALLMENT]]=3),1,0)</f>
        <v>0</v>
      </c>
      <c r="F556" s="1">
        <f>IF(OR(Table4[[#This Row],[INSTALLMENT]]=2,Table4[[#This Row],[INSTALLMENT]]=3),2,0)</f>
        <v>0</v>
      </c>
      <c r="G556" s="1">
        <f>IF(OR(Table4[[#This Row],[INSTALLMENT]]=3),3,0)</f>
        <v>0</v>
      </c>
    </row>
    <row r="557" spans="1:7">
      <c r="A557" s="1">
        <v>607</v>
      </c>
      <c r="B557" s="1" t="s">
        <v>437</v>
      </c>
      <c r="C557" s="1" t="s">
        <v>436</v>
      </c>
      <c r="D557" s="1">
        <f>COUNTIFS('Raw Entries'!B:B,Table4[[#This Row],[Name]],'Raw Entries'!I:I,Table4[[#This Row],[BOOK No.]])</f>
        <v>1</v>
      </c>
      <c r="E557" s="1">
        <f t="array" ref="E557">IF(OR(Table4[[#This Row],[INSTALLMENT]]=1,Table4[[#This Row],[INSTALLMENT]]=2,Table4[[#This Row],[INSTALLMENT]]=3),1,0)</f>
        <v>1</v>
      </c>
      <c r="F557" s="1">
        <f>IF(OR(Table4[[#This Row],[INSTALLMENT]]=2,Table4[[#This Row],[INSTALLMENT]]=3),2,0)</f>
        <v>0</v>
      </c>
      <c r="G557" s="1">
        <f>IF(OR(Table4[[#This Row],[INSTALLMENT]]=3),3,0)</f>
        <v>0</v>
      </c>
    </row>
    <row r="558" spans="1:7">
      <c r="A558" s="1">
        <v>608</v>
      </c>
      <c r="B558" s="1" t="s">
        <v>439</v>
      </c>
      <c r="C558" s="1" t="s">
        <v>436</v>
      </c>
      <c r="D558" s="1">
        <f>COUNTIFS('Raw Entries'!B:B,Table4[[#This Row],[Name]],'Raw Entries'!I:I,Table4[[#This Row],[BOOK No.]])</f>
        <v>3</v>
      </c>
      <c r="E558" s="1">
        <f t="array" ref="E558">IF(OR(Table4[[#This Row],[INSTALLMENT]]=1,Table4[[#This Row],[INSTALLMENT]]=2,Table4[[#This Row],[INSTALLMENT]]=3),1,0)</f>
        <v>1</v>
      </c>
      <c r="F558" s="1">
        <f>IF(OR(Table4[[#This Row],[INSTALLMENT]]=2,Table4[[#This Row],[INSTALLMENT]]=3),2,0)</f>
        <v>2</v>
      </c>
      <c r="G558" s="1">
        <f>IF(OR(Table4[[#This Row],[INSTALLMENT]]=3),3,0)</f>
        <v>3</v>
      </c>
    </row>
    <row r="559" spans="1:7">
      <c r="A559" s="1">
        <v>609</v>
      </c>
      <c r="B559" s="1" t="s">
        <v>2386</v>
      </c>
      <c r="C559" s="1" t="s">
        <v>436</v>
      </c>
      <c r="D559" s="1">
        <f>COUNTIFS('Raw Entries'!B:B,Table4[[#This Row],[Name]],'Raw Entries'!I:I,Table4[[#This Row],[BOOK No.]])</f>
        <v>0</v>
      </c>
      <c r="E559" s="1">
        <f t="array" ref="E559">IF(OR(Table4[[#This Row],[INSTALLMENT]]=1,Table4[[#This Row],[INSTALLMENT]]=2,Table4[[#This Row],[INSTALLMENT]]=3),1,0)</f>
        <v>0</v>
      </c>
      <c r="F559" s="1">
        <f>IF(OR(Table4[[#This Row],[INSTALLMENT]]=2,Table4[[#This Row],[INSTALLMENT]]=3),2,0)</f>
        <v>0</v>
      </c>
      <c r="G559" s="1">
        <f>IF(OR(Table4[[#This Row],[INSTALLMENT]]=3),3,0)</f>
        <v>0</v>
      </c>
    </row>
    <row r="560" spans="1:7">
      <c r="A560" s="1">
        <v>610</v>
      </c>
      <c r="B560" s="1" t="s">
        <v>2387</v>
      </c>
      <c r="C560" s="1" t="s">
        <v>436</v>
      </c>
      <c r="D560" s="1">
        <f>COUNTIFS('Raw Entries'!B:B,Table4[[#This Row],[Name]],'Raw Entries'!I:I,Table4[[#This Row],[BOOK No.]])</f>
        <v>0</v>
      </c>
      <c r="E560" s="1">
        <f t="array" ref="E560">IF(OR(Table4[[#This Row],[INSTALLMENT]]=1,Table4[[#This Row],[INSTALLMENT]]=2,Table4[[#This Row],[INSTALLMENT]]=3),1,0)</f>
        <v>0</v>
      </c>
      <c r="F560" s="1">
        <f>IF(OR(Table4[[#This Row],[INSTALLMENT]]=2,Table4[[#This Row],[INSTALLMENT]]=3),2,0)</f>
        <v>0</v>
      </c>
      <c r="G560" s="1">
        <f>IF(OR(Table4[[#This Row],[INSTALLMENT]]=3),3,0)</f>
        <v>0</v>
      </c>
    </row>
    <row r="561" spans="1:7">
      <c r="A561" s="1">
        <v>611</v>
      </c>
      <c r="B561" s="1" t="s">
        <v>2388</v>
      </c>
      <c r="C561" s="1" t="s">
        <v>436</v>
      </c>
      <c r="D561" s="1">
        <f>COUNTIFS('Raw Entries'!B:B,Table4[[#This Row],[Name]],'Raw Entries'!I:I,Table4[[#This Row],[BOOK No.]])</f>
        <v>0</v>
      </c>
      <c r="E561" s="1">
        <f t="array" ref="E561">IF(OR(Table4[[#This Row],[INSTALLMENT]]=1,Table4[[#This Row],[INSTALLMENT]]=2,Table4[[#This Row],[INSTALLMENT]]=3),1,0)</f>
        <v>0</v>
      </c>
      <c r="F561" s="1">
        <f>IF(OR(Table4[[#This Row],[INSTALLMENT]]=2,Table4[[#This Row],[INSTALLMENT]]=3),2,0)</f>
        <v>0</v>
      </c>
      <c r="G561" s="1">
        <f>IF(OR(Table4[[#This Row],[INSTALLMENT]]=3),3,0)</f>
        <v>0</v>
      </c>
    </row>
    <row r="562" spans="1:7">
      <c r="A562" s="1">
        <v>612</v>
      </c>
      <c r="B562" s="1" t="s">
        <v>2389</v>
      </c>
      <c r="C562" s="1" t="s">
        <v>436</v>
      </c>
      <c r="D562" s="1">
        <f>COUNTIFS('Raw Entries'!B:B,Table4[[#This Row],[Name]],'Raw Entries'!I:I,Table4[[#This Row],[BOOK No.]])</f>
        <v>0</v>
      </c>
      <c r="E562" s="1">
        <f t="array" ref="E562">IF(OR(Table4[[#This Row],[INSTALLMENT]]=1,Table4[[#This Row],[INSTALLMENT]]=2,Table4[[#This Row],[INSTALLMENT]]=3),1,0)</f>
        <v>0</v>
      </c>
      <c r="F562" s="1">
        <f>IF(OR(Table4[[#This Row],[INSTALLMENT]]=2,Table4[[#This Row],[INSTALLMENT]]=3),2,0)</f>
        <v>0</v>
      </c>
      <c r="G562" s="1">
        <f>IF(OR(Table4[[#This Row],[INSTALLMENT]]=3),3,0)</f>
        <v>0</v>
      </c>
    </row>
    <row r="563" spans="1:7">
      <c r="A563" s="1">
        <v>613</v>
      </c>
      <c r="B563" s="1" t="s">
        <v>2390</v>
      </c>
      <c r="C563" s="1" t="s">
        <v>436</v>
      </c>
      <c r="D563" s="1">
        <f>COUNTIFS('Raw Entries'!B:B,Table4[[#This Row],[Name]],'Raw Entries'!I:I,Table4[[#This Row],[BOOK No.]])</f>
        <v>0</v>
      </c>
      <c r="E563" s="1">
        <f t="array" ref="E563">IF(OR(Table4[[#This Row],[INSTALLMENT]]=1,Table4[[#This Row],[INSTALLMENT]]=2,Table4[[#This Row],[INSTALLMENT]]=3),1,0)</f>
        <v>0</v>
      </c>
      <c r="F563" s="1">
        <f>IF(OR(Table4[[#This Row],[INSTALLMENT]]=2,Table4[[#This Row],[INSTALLMENT]]=3),2,0)</f>
        <v>0</v>
      </c>
      <c r="G563" s="1">
        <f>IF(OR(Table4[[#This Row],[INSTALLMENT]]=3),3,0)</f>
        <v>0</v>
      </c>
    </row>
    <row r="564" spans="1:7">
      <c r="A564" s="1">
        <v>614</v>
      </c>
      <c r="B564" s="1" t="s">
        <v>2391</v>
      </c>
      <c r="C564" s="1" t="s">
        <v>436</v>
      </c>
      <c r="D564" s="1">
        <f>COUNTIFS('Raw Entries'!B:B,Table4[[#This Row],[Name]],'Raw Entries'!I:I,Table4[[#This Row],[BOOK No.]])</f>
        <v>0</v>
      </c>
      <c r="E564" s="1">
        <f t="array" ref="E564">IF(OR(Table4[[#This Row],[INSTALLMENT]]=1,Table4[[#This Row],[INSTALLMENT]]=2,Table4[[#This Row],[INSTALLMENT]]=3),1,0)</f>
        <v>0</v>
      </c>
      <c r="F564" s="1">
        <f>IF(OR(Table4[[#This Row],[INSTALLMENT]]=2,Table4[[#This Row],[INSTALLMENT]]=3),2,0)</f>
        <v>0</v>
      </c>
      <c r="G564" s="1">
        <f>IF(OR(Table4[[#This Row],[INSTALLMENT]]=3),3,0)</f>
        <v>0</v>
      </c>
    </row>
    <row r="565" spans="1:7">
      <c r="A565" s="1">
        <v>615</v>
      </c>
      <c r="B565" s="1" t="s">
        <v>2392</v>
      </c>
      <c r="C565" s="1" t="s">
        <v>436</v>
      </c>
      <c r="D565" s="1">
        <f>COUNTIFS('Raw Entries'!B:B,Table4[[#This Row],[Name]],'Raw Entries'!I:I,Table4[[#This Row],[BOOK No.]])</f>
        <v>0</v>
      </c>
      <c r="E565" s="1">
        <f t="array" ref="E565">IF(OR(Table4[[#This Row],[INSTALLMENT]]=1,Table4[[#This Row],[INSTALLMENT]]=2,Table4[[#This Row],[INSTALLMENT]]=3),1,0)</f>
        <v>0</v>
      </c>
      <c r="F565" s="1">
        <f>IF(OR(Table4[[#This Row],[INSTALLMENT]]=2,Table4[[#This Row],[INSTALLMENT]]=3),2,0)</f>
        <v>0</v>
      </c>
      <c r="G565" s="1">
        <f>IF(OR(Table4[[#This Row],[INSTALLMENT]]=3),3,0)</f>
        <v>0</v>
      </c>
    </row>
    <row r="566" spans="1:7">
      <c r="A566" s="1">
        <v>616</v>
      </c>
      <c r="B566" s="1" t="s">
        <v>2393</v>
      </c>
      <c r="C566" s="1" t="s">
        <v>436</v>
      </c>
      <c r="D566" s="1">
        <f>COUNTIFS('Raw Entries'!B:B,Table4[[#This Row],[Name]],'Raw Entries'!I:I,Table4[[#This Row],[BOOK No.]])</f>
        <v>0</v>
      </c>
      <c r="E566" s="1">
        <f t="array" ref="E566">IF(OR(Table4[[#This Row],[INSTALLMENT]]=1,Table4[[#This Row],[INSTALLMENT]]=2,Table4[[#This Row],[INSTALLMENT]]=3),1,0)</f>
        <v>0</v>
      </c>
      <c r="F566" s="1">
        <f>IF(OR(Table4[[#This Row],[INSTALLMENT]]=2,Table4[[#This Row],[INSTALLMENT]]=3),2,0)</f>
        <v>0</v>
      </c>
      <c r="G566" s="1">
        <f>IF(OR(Table4[[#This Row],[INSTALLMENT]]=3),3,0)</f>
        <v>0</v>
      </c>
    </row>
    <row r="567" spans="1:7">
      <c r="A567" s="1">
        <v>617</v>
      </c>
      <c r="B567" s="1" t="s">
        <v>2394</v>
      </c>
      <c r="C567" s="1" t="s">
        <v>436</v>
      </c>
      <c r="D567" s="1">
        <f>COUNTIFS('Raw Entries'!B:B,Table4[[#This Row],[Name]],'Raw Entries'!I:I,Table4[[#This Row],[BOOK No.]])</f>
        <v>0</v>
      </c>
      <c r="E567" s="1">
        <f t="array" ref="E567">IF(OR(Table4[[#This Row],[INSTALLMENT]]=1,Table4[[#This Row],[INSTALLMENT]]=2,Table4[[#This Row],[INSTALLMENT]]=3),1,0)</f>
        <v>0</v>
      </c>
      <c r="F567" s="1">
        <f>IF(OR(Table4[[#This Row],[INSTALLMENT]]=2,Table4[[#This Row],[INSTALLMENT]]=3),2,0)</f>
        <v>0</v>
      </c>
      <c r="G567" s="1">
        <f>IF(OR(Table4[[#This Row],[INSTALLMENT]]=3),3,0)</f>
        <v>0</v>
      </c>
    </row>
    <row r="568" spans="1:7">
      <c r="A568" s="1">
        <v>618</v>
      </c>
      <c r="B568" s="1" t="s">
        <v>2395</v>
      </c>
      <c r="C568" s="1" t="s">
        <v>436</v>
      </c>
      <c r="D568" s="1">
        <f>COUNTIFS('Raw Entries'!B:B,Table4[[#This Row],[Name]],'Raw Entries'!I:I,Table4[[#This Row],[BOOK No.]])</f>
        <v>0</v>
      </c>
      <c r="E568" s="1">
        <f t="array" ref="E568">IF(OR(Table4[[#This Row],[INSTALLMENT]]=1,Table4[[#This Row],[INSTALLMENT]]=2,Table4[[#This Row],[INSTALLMENT]]=3),1,0)</f>
        <v>0</v>
      </c>
      <c r="F568" s="1">
        <f>IF(OR(Table4[[#This Row],[INSTALLMENT]]=2,Table4[[#This Row],[INSTALLMENT]]=3),2,0)</f>
        <v>0</v>
      </c>
      <c r="G568" s="1">
        <f>IF(OR(Table4[[#This Row],[INSTALLMENT]]=3),3,0)</f>
        <v>0</v>
      </c>
    </row>
    <row r="569" spans="1:7">
      <c r="A569" s="1">
        <v>619</v>
      </c>
      <c r="B569" s="1" t="s">
        <v>2396</v>
      </c>
      <c r="C569" s="1" t="s">
        <v>436</v>
      </c>
      <c r="D569" s="1">
        <f>COUNTIFS('Raw Entries'!B:B,Table4[[#This Row],[Name]],'Raw Entries'!I:I,Table4[[#This Row],[BOOK No.]])</f>
        <v>0</v>
      </c>
      <c r="E569" s="1">
        <f t="array" ref="E569">IF(OR(Table4[[#This Row],[INSTALLMENT]]=1,Table4[[#This Row],[INSTALLMENT]]=2,Table4[[#This Row],[INSTALLMENT]]=3),1,0)</f>
        <v>0</v>
      </c>
      <c r="F569" s="1">
        <f>IF(OR(Table4[[#This Row],[INSTALLMENT]]=2,Table4[[#This Row],[INSTALLMENT]]=3),2,0)</f>
        <v>0</v>
      </c>
      <c r="G569" s="1">
        <f>IF(OR(Table4[[#This Row],[INSTALLMENT]]=3),3,0)</f>
        <v>0</v>
      </c>
    </row>
    <row r="570" spans="1:7">
      <c r="A570" s="1">
        <v>620</v>
      </c>
      <c r="B570" s="1" t="s">
        <v>2397</v>
      </c>
      <c r="C570" s="1" t="s">
        <v>436</v>
      </c>
      <c r="D570" s="1">
        <f>COUNTIFS('Raw Entries'!B:B,Table4[[#This Row],[Name]],'Raw Entries'!I:I,Table4[[#This Row],[BOOK No.]])</f>
        <v>0</v>
      </c>
      <c r="E570" s="1">
        <f t="array" ref="E570">IF(OR(Table4[[#This Row],[INSTALLMENT]]=1,Table4[[#This Row],[INSTALLMENT]]=2,Table4[[#This Row],[INSTALLMENT]]=3),1,0)</f>
        <v>0</v>
      </c>
      <c r="F570" s="1">
        <f>IF(OR(Table4[[#This Row],[INSTALLMENT]]=2,Table4[[#This Row],[INSTALLMENT]]=3),2,0)</f>
        <v>0</v>
      </c>
      <c r="G570" s="1">
        <f>IF(OR(Table4[[#This Row],[INSTALLMENT]]=3),3,0)</f>
        <v>0</v>
      </c>
    </row>
    <row r="571" spans="1:7">
      <c r="A571" s="1">
        <v>621</v>
      </c>
      <c r="B571" s="1" t="s">
        <v>2398</v>
      </c>
      <c r="C571" s="1" t="s">
        <v>436</v>
      </c>
      <c r="D571" s="1">
        <f>COUNTIFS('Raw Entries'!B:B,Table4[[#This Row],[Name]],'Raw Entries'!I:I,Table4[[#This Row],[BOOK No.]])</f>
        <v>0</v>
      </c>
      <c r="E571" s="1">
        <f t="array" ref="E571">IF(OR(Table4[[#This Row],[INSTALLMENT]]=1,Table4[[#This Row],[INSTALLMENT]]=2,Table4[[#This Row],[INSTALLMENT]]=3),1,0)</f>
        <v>0</v>
      </c>
      <c r="F571" s="1">
        <f>IF(OR(Table4[[#This Row],[INSTALLMENT]]=2,Table4[[#This Row],[INSTALLMENT]]=3),2,0)</f>
        <v>0</v>
      </c>
      <c r="G571" s="1">
        <f>IF(OR(Table4[[#This Row],[INSTALLMENT]]=3),3,0)</f>
        <v>0</v>
      </c>
    </row>
    <row r="572" spans="1:7">
      <c r="A572" s="1">
        <v>622</v>
      </c>
      <c r="B572" s="1" t="s">
        <v>2399</v>
      </c>
      <c r="C572" s="1" t="s">
        <v>436</v>
      </c>
      <c r="D572" s="1">
        <f>COUNTIFS('Raw Entries'!B:B,Table4[[#This Row],[Name]],'Raw Entries'!I:I,Table4[[#This Row],[BOOK No.]])</f>
        <v>0</v>
      </c>
      <c r="E572" s="1">
        <f t="array" ref="E572">IF(OR(Table4[[#This Row],[INSTALLMENT]]=1,Table4[[#This Row],[INSTALLMENT]]=2,Table4[[#This Row],[INSTALLMENT]]=3),1,0)</f>
        <v>0</v>
      </c>
      <c r="F572" s="1">
        <f>IF(OR(Table4[[#This Row],[INSTALLMENT]]=2,Table4[[#This Row],[INSTALLMENT]]=3),2,0)</f>
        <v>0</v>
      </c>
      <c r="G572" s="1">
        <f>IF(OR(Table4[[#This Row],[INSTALLMENT]]=3),3,0)</f>
        <v>0</v>
      </c>
    </row>
    <row r="573" spans="1:7">
      <c r="A573" s="1">
        <v>623</v>
      </c>
      <c r="B573" s="1" t="s">
        <v>2400</v>
      </c>
      <c r="C573" s="1" t="s">
        <v>436</v>
      </c>
      <c r="D573" s="1">
        <f>COUNTIFS('Raw Entries'!B:B,Table4[[#This Row],[Name]],'Raw Entries'!I:I,Table4[[#This Row],[BOOK No.]])</f>
        <v>0</v>
      </c>
      <c r="E573" s="1">
        <f t="array" ref="E573">IF(OR(Table4[[#This Row],[INSTALLMENT]]=1,Table4[[#This Row],[INSTALLMENT]]=2,Table4[[#This Row],[INSTALLMENT]]=3),1,0)</f>
        <v>0</v>
      </c>
      <c r="F573" s="1">
        <f>IF(OR(Table4[[#This Row],[INSTALLMENT]]=2,Table4[[#This Row],[INSTALLMENT]]=3),2,0)</f>
        <v>0</v>
      </c>
      <c r="G573" s="1">
        <f>IF(OR(Table4[[#This Row],[INSTALLMENT]]=3),3,0)</f>
        <v>0</v>
      </c>
    </row>
    <row r="574" spans="1:7">
      <c r="A574" s="1">
        <v>624</v>
      </c>
      <c r="B574" s="1" t="s">
        <v>2401</v>
      </c>
      <c r="C574" s="1" t="s">
        <v>436</v>
      </c>
      <c r="D574" s="1">
        <f>COUNTIFS('Raw Entries'!B:B,Table4[[#This Row],[Name]],'Raw Entries'!I:I,Table4[[#This Row],[BOOK No.]])</f>
        <v>0</v>
      </c>
      <c r="E574" s="1">
        <f t="array" ref="E574">IF(OR(Table4[[#This Row],[INSTALLMENT]]=1,Table4[[#This Row],[INSTALLMENT]]=2,Table4[[#This Row],[INSTALLMENT]]=3),1,0)</f>
        <v>0</v>
      </c>
      <c r="F574" s="1">
        <f>IF(OR(Table4[[#This Row],[INSTALLMENT]]=2,Table4[[#This Row],[INSTALLMENT]]=3),2,0)</f>
        <v>0</v>
      </c>
      <c r="G574" s="1">
        <f>IF(OR(Table4[[#This Row],[INSTALLMENT]]=3),3,0)</f>
        <v>0</v>
      </c>
    </row>
    <row r="575" spans="1:7">
      <c r="A575" s="1">
        <v>625</v>
      </c>
      <c r="B575" s="1" t="s">
        <v>2402</v>
      </c>
      <c r="C575" s="1" t="s">
        <v>436</v>
      </c>
      <c r="D575" s="1">
        <f>COUNTIFS('Raw Entries'!B:B,Table4[[#This Row],[Name]],'Raw Entries'!I:I,Table4[[#This Row],[BOOK No.]])</f>
        <v>0</v>
      </c>
      <c r="E575" s="1">
        <f t="array" ref="E575">IF(OR(Table4[[#This Row],[INSTALLMENT]]=1,Table4[[#This Row],[INSTALLMENT]]=2,Table4[[#This Row],[INSTALLMENT]]=3),1,0)</f>
        <v>0</v>
      </c>
      <c r="F575" s="1">
        <f>IF(OR(Table4[[#This Row],[INSTALLMENT]]=2,Table4[[#This Row],[INSTALLMENT]]=3),2,0)</f>
        <v>0</v>
      </c>
      <c r="G575" s="1">
        <f>IF(OR(Table4[[#This Row],[INSTALLMENT]]=3),3,0)</f>
        <v>0</v>
      </c>
    </row>
    <row r="576" spans="1:7">
      <c r="A576" s="1">
        <v>626</v>
      </c>
      <c r="B576" s="1" t="s">
        <v>2403</v>
      </c>
      <c r="C576" s="1" t="s">
        <v>436</v>
      </c>
      <c r="D576" s="1">
        <f>COUNTIFS('Raw Entries'!B:B,Table4[[#This Row],[Name]],'Raw Entries'!I:I,Table4[[#This Row],[BOOK No.]])</f>
        <v>0</v>
      </c>
      <c r="E576" s="1">
        <f t="array" ref="E576">IF(OR(Table4[[#This Row],[INSTALLMENT]]=1,Table4[[#This Row],[INSTALLMENT]]=2,Table4[[#This Row],[INSTALLMENT]]=3),1,0)</f>
        <v>0</v>
      </c>
      <c r="F576" s="1">
        <f>IF(OR(Table4[[#This Row],[INSTALLMENT]]=2,Table4[[#This Row],[INSTALLMENT]]=3),2,0)</f>
        <v>0</v>
      </c>
      <c r="G576" s="1">
        <f>IF(OR(Table4[[#This Row],[INSTALLMENT]]=3),3,0)</f>
        <v>0</v>
      </c>
    </row>
    <row r="577" spans="1:7">
      <c r="A577" s="1">
        <v>627</v>
      </c>
      <c r="B577" s="1" t="s">
        <v>444</v>
      </c>
      <c r="C577" s="1" t="s">
        <v>440</v>
      </c>
      <c r="D577" s="1">
        <f>COUNTIFS('Raw Entries'!B:B,Table4[[#This Row],[Name]],'Raw Entries'!I:I,Table4[[#This Row],[BOOK No.]])</f>
        <v>3</v>
      </c>
      <c r="E577" s="1">
        <f t="array" ref="E577">IF(OR(Table4[[#This Row],[INSTALLMENT]]=1,Table4[[#This Row],[INSTALLMENT]]=2,Table4[[#This Row],[INSTALLMENT]]=3),1,0)</f>
        <v>1</v>
      </c>
      <c r="F577" s="1">
        <f>IF(OR(Table4[[#This Row],[INSTALLMENT]]=2,Table4[[#This Row],[INSTALLMENT]]=3),2,0)</f>
        <v>2</v>
      </c>
      <c r="G577" s="1">
        <f>IF(OR(Table4[[#This Row],[INSTALLMENT]]=3),3,0)</f>
        <v>3</v>
      </c>
    </row>
    <row r="578" spans="1:7">
      <c r="A578" s="1">
        <v>628</v>
      </c>
      <c r="B578" s="1" t="s">
        <v>2404</v>
      </c>
      <c r="C578" s="1" t="s">
        <v>440</v>
      </c>
      <c r="D578" s="1">
        <f>COUNTIFS('Raw Entries'!B:B,Table4[[#This Row],[Name]],'Raw Entries'!I:I,Table4[[#This Row],[BOOK No.]])</f>
        <v>0</v>
      </c>
      <c r="E578" s="1">
        <f t="array" ref="E578">IF(OR(Table4[[#This Row],[INSTALLMENT]]=1,Table4[[#This Row],[INSTALLMENT]]=2,Table4[[#This Row],[INSTALLMENT]]=3),1,0)</f>
        <v>0</v>
      </c>
      <c r="F578" s="1">
        <f>IF(OR(Table4[[#This Row],[INSTALLMENT]]=2,Table4[[#This Row],[INSTALLMENT]]=3),2,0)</f>
        <v>0</v>
      </c>
      <c r="G578" s="1">
        <f>IF(OR(Table4[[#This Row],[INSTALLMENT]]=3),3,0)</f>
        <v>0</v>
      </c>
    </row>
    <row r="579" spans="1:7">
      <c r="A579" s="1">
        <v>629</v>
      </c>
      <c r="B579" s="1" t="s">
        <v>441</v>
      </c>
      <c r="C579" s="1" t="s">
        <v>440</v>
      </c>
      <c r="D579" s="1">
        <f>COUNTIFS('Raw Entries'!B:B,Table4[[#This Row],[Name]],'Raw Entries'!I:I,Table4[[#This Row],[BOOK No.]])</f>
        <v>3</v>
      </c>
      <c r="E579" s="1">
        <f t="array" ref="E579">IF(OR(Table4[[#This Row],[INSTALLMENT]]=1,Table4[[#This Row],[INSTALLMENT]]=2,Table4[[#This Row],[INSTALLMENT]]=3),1,0)</f>
        <v>1</v>
      </c>
      <c r="F579" s="1">
        <f>IF(OR(Table4[[#This Row],[INSTALLMENT]]=2,Table4[[#This Row],[INSTALLMENT]]=3),2,0)</f>
        <v>2</v>
      </c>
      <c r="G579" s="1">
        <f>IF(OR(Table4[[#This Row],[INSTALLMENT]]=3),3,0)</f>
        <v>3</v>
      </c>
    </row>
    <row r="580" spans="1:7">
      <c r="A580" s="1">
        <v>630</v>
      </c>
      <c r="B580" s="1" t="s">
        <v>446</v>
      </c>
      <c r="C580" s="1" t="s">
        <v>440</v>
      </c>
      <c r="D580" s="1">
        <f>COUNTIFS('Raw Entries'!B:B,Table4[[#This Row],[Name]],'Raw Entries'!I:I,Table4[[#This Row],[BOOK No.]])</f>
        <v>1</v>
      </c>
      <c r="E580" s="1">
        <f t="array" ref="E580">IF(OR(Table4[[#This Row],[INSTALLMENT]]=1,Table4[[#This Row],[INSTALLMENT]]=2,Table4[[#This Row],[INSTALLMENT]]=3),1,0)</f>
        <v>1</v>
      </c>
      <c r="F580" s="1">
        <f>IF(OR(Table4[[#This Row],[INSTALLMENT]]=2,Table4[[#This Row],[INSTALLMENT]]=3),2,0)</f>
        <v>0</v>
      </c>
      <c r="G580" s="1">
        <f>IF(OR(Table4[[#This Row],[INSTALLMENT]]=3),3,0)</f>
        <v>0</v>
      </c>
    </row>
    <row r="581" spans="1:7">
      <c r="A581" s="1">
        <v>631</v>
      </c>
      <c r="B581" s="1" t="s">
        <v>2405</v>
      </c>
      <c r="C581" s="1" t="s">
        <v>440</v>
      </c>
      <c r="D581" s="1">
        <f>COUNTIFS('Raw Entries'!B:B,Table4[[#This Row],[Name]],'Raw Entries'!I:I,Table4[[#This Row],[BOOK No.]])</f>
        <v>0</v>
      </c>
      <c r="E581" s="1">
        <f t="array" ref="E581">IF(OR(Table4[[#This Row],[INSTALLMENT]]=1,Table4[[#This Row],[INSTALLMENT]]=2,Table4[[#This Row],[INSTALLMENT]]=3),1,0)</f>
        <v>0</v>
      </c>
      <c r="F581" s="1">
        <f>IF(OR(Table4[[#This Row],[INSTALLMENT]]=2,Table4[[#This Row],[INSTALLMENT]]=3),2,0)</f>
        <v>0</v>
      </c>
      <c r="G581" s="1">
        <f>IF(OR(Table4[[#This Row],[INSTALLMENT]]=3),3,0)</f>
        <v>0</v>
      </c>
    </row>
    <row r="582" spans="1:7">
      <c r="A582" s="1">
        <v>632</v>
      </c>
      <c r="B582" s="1" t="s">
        <v>2406</v>
      </c>
      <c r="C582" s="1" t="s">
        <v>440</v>
      </c>
      <c r="D582" s="1">
        <f>COUNTIFS('Raw Entries'!B:B,Table4[[#This Row],[Name]],'Raw Entries'!I:I,Table4[[#This Row],[BOOK No.]])</f>
        <v>0</v>
      </c>
      <c r="E582" s="1">
        <f t="array" ref="E582">IF(OR(Table4[[#This Row],[INSTALLMENT]]=1,Table4[[#This Row],[INSTALLMENT]]=2,Table4[[#This Row],[INSTALLMENT]]=3),1,0)</f>
        <v>0</v>
      </c>
      <c r="F582" s="1">
        <f>IF(OR(Table4[[#This Row],[INSTALLMENT]]=2,Table4[[#This Row],[INSTALLMENT]]=3),2,0)</f>
        <v>0</v>
      </c>
      <c r="G582" s="1">
        <f>IF(OR(Table4[[#This Row],[INSTALLMENT]]=3),3,0)</f>
        <v>0</v>
      </c>
    </row>
    <row r="583" spans="1:7">
      <c r="A583" s="1">
        <v>633</v>
      </c>
      <c r="B583" s="1" t="s">
        <v>2407</v>
      </c>
      <c r="C583" s="1" t="s">
        <v>440</v>
      </c>
      <c r="D583" s="1">
        <f>COUNTIFS('Raw Entries'!B:B,Table4[[#This Row],[Name]],'Raw Entries'!I:I,Table4[[#This Row],[BOOK No.]])</f>
        <v>0</v>
      </c>
      <c r="E583" s="1">
        <f t="array" ref="E583">IF(OR(Table4[[#This Row],[INSTALLMENT]]=1,Table4[[#This Row],[INSTALLMENT]]=2,Table4[[#This Row],[INSTALLMENT]]=3),1,0)</f>
        <v>0</v>
      </c>
      <c r="F583" s="1">
        <f>IF(OR(Table4[[#This Row],[INSTALLMENT]]=2,Table4[[#This Row],[INSTALLMENT]]=3),2,0)</f>
        <v>0</v>
      </c>
      <c r="G583" s="1">
        <f>IF(OR(Table4[[#This Row],[INSTALLMENT]]=3),3,0)</f>
        <v>0</v>
      </c>
    </row>
    <row r="584" spans="1:7">
      <c r="A584" s="1">
        <v>634</v>
      </c>
      <c r="B584" s="1" t="s">
        <v>443</v>
      </c>
      <c r="C584" s="1" t="s">
        <v>440</v>
      </c>
      <c r="D584" s="1">
        <f>COUNTIFS('Raw Entries'!B:B,Table4[[#This Row],[Name]],'Raw Entries'!I:I,Table4[[#This Row],[BOOK No.]])</f>
        <v>1</v>
      </c>
      <c r="E584" s="1">
        <f t="array" ref="E584">IF(OR(Table4[[#This Row],[INSTALLMENT]]=1,Table4[[#This Row],[INSTALLMENT]]=2,Table4[[#This Row],[INSTALLMENT]]=3),1,0)</f>
        <v>1</v>
      </c>
      <c r="F584" s="1">
        <f>IF(OR(Table4[[#This Row],[INSTALLMENT]]=2,Table4[[#This Row],[INSTALLMENT]]=3),2,0)</f>
        <v>0</v>
      </c>
      <c r="G584" s="1">
        <f>IF(OR(Table4[[#This Row],[INSTALLMENT]]=3),3,0)</f>
        <v>0</v>
      </c>
    </row>
    <row r="585" spans="1:7">
      <c r="A585" s="1">
        <v>635</v>
      </c>
      <c r="B585" s="1" t="s">
        <v>442</v>
      </c>
      <c r="C585" s="1" t="s">
        <v>440</v>
      </c>
      <c r="D585" s="1">
        <f>COUNTIFS('Raw Entries'!B:B,Table4[[#This Row],[Name]],'Raw Entries'!I:I,Table4[[#This Row],[BOOK No.]])</f>
        <v>1</v>
      </c>
      <c r="E585" s="1">
        <f t="array" ref="E585">IF(OR(Table4[[#This Row],[INSTALLMENT]]=1,Table4[[#This Row],[INSTALLMENT]]=2,Table4[[#This Row],[INSTALLMENT]]=3),1,0)</f>
        <v>1</v>
      </c>
      <c r="F585" s="1">
        <f>IF(OR(Table4[[#This Row],[INSTALLMENT]]=2,Table4[[#This Row],[INSTALLMENT]]=3),2,0)</f>
        <v>0</v>
      </c>
      <c r="G585" s="1">
        <f>IF(OR(Table4[[#This Row],[INSTALLMENT]]=3),3,0)</f>
        <v>0</v>
      </c>
    </row>
    <row r="586" spans="1:7">
      <c r="A586" s="1">
        <v>636</v>
      </c>
      <c r="B586" s="1" t="s">
        <v>2408</v>
      </c>
      <c r="C586" s="1" t="s">
        <v>440</v>
      </c>
      <c r="D586" s="1">
        <f>COUNTIFS('Raw Entries'!B:B,Table4[[#This Row],[Name]],'Raw Entries'!I:I,Table4[[#This Row],[BOOK No.]])</f>
        <v>0</v>
      </c>
      <c r="E586" s="1">
        <f t="array" ref="E586">IF(OR(Table4[[#This Row],[INSTALLMENT]]=1,Table4[[#This Row],[INSTALLMENT]]=2,Table4[[#This Row],[INSTALLMENT]]=3),1,0)</f>
        <v>0</v>
      </c>
      <c r="F586" s="1">
        <f>IF(OR(Table4[[#This Row],[INSTALLMENT]]=2,Table4[[#This Row],[INSTALLMENT]]=3),2,0)</f>
        <v>0</v>
      </c>
      <c r="G586" s="1">
        <f>IF(OR(Table4[[#This Row],[INSTALLMENT]]=3),3,0)</f>
        <v>0</v>
      </c>
    </row>
    <row r="587" spans="1:7">
      <c r="A587" s="1">
        <v>637</v>
      </c>
      <c r="B587" s="1" t="s">
        <v>2409</v>
      </c>
      <c r="C587" s="1" t="s">
        <v>440</v>
      </c>
      <c r="D587" s="1">
        <f>COUNTIFS('Raw Entries'!B:B,Table4[[#This Row],[Name]],'Raw Entries'!I:I,Table4[[#This Row],[BOOK No.]])</f>
        <v>0</v>
      </c>
      <c r="E587" s="1">
        <f t="array" ref="E587">IF(OR(Table4[[#This Row],[INSTALLMENT]]=1,Table4[[#This Row],[INSTALLMENT]]=2,Table4[[#This Row],[INSTALLMENT]]=3),1,0)</f>
        <v>0</v>
      </c>
      <c r="F587" s="1">
        <f>IF(OR(Table4[[#This Row],[INSTALLMENT]]=2,Table4[[#This Row],[INSTALLMENT]]=3),2,0)</f>
        <v>0</v>
      </c>
      <c r="G587" s="1">
        <f>IF(OR(Table4[[#This Row],[INSTALLMENT]]=3),3,0)</f>
        <v>0</v>
      </c>
    </row>
    <row r="588" spans="1:7">
      <c r="A588" s="1">
        <v>639</v>
      </c>
      <c r="B588" s="1" t="s">
        <v>645</v>
      </c>
      <c r="C588" s="1" t="s">
        <v>440</v>
      </c>
      <c r="D588" s="1">
        <f>COUNTIFS('Raw Entries'!B:B,Table4[[#This Row],[Name]],'Raw Entries'!I:I,Table4[[#This Row],[BOOK No.]])</f>
        <v>1</v>
      </c>
      <c r="E588" s="1">
        <f t="array" ref="E588">IF(OR(Table4[[#This Row],[INSTALLMENT]]=1,Table4[[#This Row],[INSTALLMENT]]=2,Table4[[#This Row],[INSTALLMENT]]=3),1,0)</f>
        <v>1</v>
      </c>
      <c r="F588" s="1">
        <f>IF(OR(Table4[[#This Row],[INSTALLMENT]]=2,Table4[[#This Row],[INSTALLMENT]]=3),2,0)</f>
        <v>0</v>
      </c>
      <c r="G588" s="1">
        <f>IF(OR(Table4[[#This Row],[INSTALLMENT]]=3),3,0)</f>
        <v>0</v>
      </c>
    </row>
    <row r="589" spans="1:7">
      <c r="A589" s="1">
        <v>640</v>
      </c>
      <c r="B589" s="1" t="s">
        <v>2410</v>
      </c>
      <c r="C589" s="1" t="s">
        <v>440</v>
      </c>
      <c r="D589" s="1">
        <f>COUNTIFS('Raw Entries'!B:B,Table4[[#This Row],[Name]],'Raw Entries'!I:I,Table4[[#This Row],[BOOK No.]])</f>
        <v>0</v>
      </c>
      <c r="E589" s="1">
        <f t="array" ref="E589">IF(OR(Table4[[#This Row],[INSTALLMENT]]=1,Table4[[#This Row],[INSTALLMENT]]=2,Table4[[#This Row],[INSTALLMENT]]=3),1,0)</f>
        <v>0</v>
      </c>
      <c r="F589" s="1">
        <f>IF(OR(Table4[[#This Row],[INSTALLMENT]]=2,Table4[[#This Row],[INSTALLMENT]]=3),2,0)</f>
        <v>0</v>
      </c>
      <c r="G589" s="1">
        <f>IF(OR(Table4[[#This Row],[INSTALLMENT]]=3),3,0)</f>
        <v>0</v>
      </c>
    </row>
    <row r="590" spans="1:7">
      <c r="A590" s="1">
        <v>641</v>
      </c>
      <c r="B590" s="1" t="s">
        <v>2411</v>
      </c>
      <c r="C590" s="1" t="s">
        <v>440</v>
      </c>
      <c r="D590" s="1">
        <f>COUNTIFS('Raw Entries'!B:B,Table4[[#This Row],[Name]],'Raw Entries'!I:I,Table4[[#This Row],[BOOK No.]])</f>
        <v>0</v>
      </c>
      <c r="E590" s="1">
        <f t="array" ref="E590">IF(OR(Table4[[#This Row],[INSTALLMENT]]=1,Table4[[#This Row],[INSTALLMENT]]=2,Table4[[#This Row],[INSTALLMENT]]=3),1,0)</f>
        <v>0</v>
      </c>
      <c r="F590" s="1">
        <f>IF(OR(Table4[[#This Row],[INSTALLMENT]]=2,Table4[[#This Row],[INSTALLMENT]]=3),2,0)</f>
        <v>0</v>
      </c>
      <c r="G590" s="1">
        <f>IF(OR(Table4[[#This Row],[INSTALLMENT]]=3),3,0)</f>
        <v>0</v>
      </c>
    </row>
    <row r="591" spans="1:7">
      <c r="A591" s="1">
        <v>642</v>
      </c>
      <c r="B591" s="1" t="s">
        <v>2412</v>
      </c>
      <c r="C591" s="1" t="s">
        <v>440</v>
      </c>
      <c r="D591" s="1">
        <f>COUNTIFS('Raw Entries'!B:B,Table4[[#This Row],[Name]],'Raw Entries'!I:I,Table4[[#This Row],[BOOK No.]])</f>
        <v>0</v>
      </c>
      <c r="E591" s="1">
        <f t="array" ref="E591">IF(OR(Table4[[#This Row],[INSTALLMENT]]=1,Table4[[#This Row],[INSTALLMENT]]=2,Table4[[#This Row],[INSTALLMENT]]=3),1,0)</f>
        <v>0</v>
      </c>
      <c r="F591" s="1">
        <f>IF(OR(Table4[[#This Row],[INSTALLMENT]]=2,Table4[[#This Row],[INSTALLMENT]]=3),2,0)</f>
        <v>0</v>
      </c>
      <c r="G591" s="1">
        <f>IF(OR(Table4[[#This Row],[INSTALLMENT]]=3),3,0)</f>
        <v>0</v>
      </c>
    </row>
    <row r="592" spans="1:7">
      <c r="A592" s="1">
        <v>643</v>
      </c>
      <c r="B592" s="1" t="s">
        <v>2413</v>
      </c>
      <c r="C592" s="1" t="s">
        <v>440</v>
      </c>
      <c r="D592" s="1">
        <f>COUNTIFS('Raw Entries'!B:B,Table4[[#This Row],[Name]],'Raw Entries'!I:I,Table4[[#This Row],[BOOK No.]])</f>
        <v>0</v>
      </c>
      <c r="E592" s="1">
        <f t="array" ref="E592">IF(OR(Table4[[#This Row],[INSTALLMENT]]=1,Table4[[#This Row],[INSTALLMENT]]=2,Table4[[#This Row],[INSTALLMENT]]=3),1,0)</f>
        <v>0</v>
      </c>
      <c r="F592" s="1">
        <f>IF(OR(Table4[[#This Row],[INSTALLMENT]]=2,Table4[[#This Row],[INSTALLMENT]]=3),2,0)</f>
        <v>0</v>
      </c>
      <c r="G592" s="1">
        <f>IF(OR(Table4[[#This Row],[INSTALLMENT]]=3),3,0)</f>
        <v>0</v>
      </c>
    </row>
    <row r="593" spans="1:7">
      <c r="A593" s="1">
        <v>644</v>
      </c>
      <c r="B593" s="1" t="s">
        <v>2414</v>
      </c>
      <c r="C593" s="1" t="s">
        <v>440</v>
      </c>
      <c r="D593" s="1">
        <f>COUNTIFS('Raw Entries'!B:B,Table4[[#This Row],[Name]],'Raw Entries'!I:I,Table4[[#This Row],[BOOK No.]])</f>
        <v>0</v>
      </c>
      <c r="E593" s="1">
        <f t="array" ref="E593">IF(OR(Table4[[#This Row],[INSTALLMENT]]=1,Table4[[#This Row],[INSTALLMENT]]=2,Table4[[#This Row],[INSTALLMENT]]=3),1,0)</f>
        <v>0</v>
      </c>
      <c r="F593" s="1">
        <f>IF(OR(Table4[[#This Row],[INSTALLMENT]]=2,Table4[[#This Row],[INSTALLMENT]]=3),2,0)</f>
        <v>0</v>
      </c>
      <c r="G593" s="1">
        <f>IF(OR(Table4[[#This Row],[INSTALLMENT]]=3),3,0)</f>
        <v>0</v>
      </c>
    </row>
    <row r="594" spans="1:7">
      <c r="A594" s="1">
        <v>645</v>
      </c>
      <c r="B594" s="1" t="s">
        <v>2415</v>
      </c>
      <c r="C594" s="1" t="s">
        <v>440</v>
      </c>
      <c r="D594" s="1">
        <f>COUNTIFS('Raw Entries'!B:B,Table4[[#This Row],[Name]],'Raw Entries'!I:I,Table4[[#This Row],[BOOK No.]])</f>
        <v>0</v>
      </c>
      <c r="E594" s="1">
        <f t="array" ref="E594">IF(OR(Table4[[#This Row],[INSTALLMENT]]=1,Table4[[#This Row],[INSTALLMENT]]=2,Table4[[#This Row],[INSTALLMENT]]=3),1,0)</f>
        <v>0</v>
      </c>
      <c r="F594" s="1">
        <f>IF(OR(Table4[[#This Row],[INSTALLMENT]]=2,Table4[[#This Row],[INSTALLMENT]]=3),2,0)</f>
        <v>0</v>
      </c>
      <c r="G594" s="1">
        <f>IF(OR(Table4[[#This Row],[INSTALLMENT]]=3),3,0)</f>
        <v>0</v>
      </c>
    </row>
    <row r="595" spans="1:7">
      <c r="A595" s="1">
        <v>647</v>
      </c>
      <c r="B595" s="1" t="s">
        <v>2416</v>
      </c>
      <c r="C595" s="1" t="s">
        <v>440</v>
      </c>
      <c r="D595" s="1">
        <f>COUNTIFS('Raw Entries'!B:B,Table4[[#This Row],[Name]],'Raw Entries'!I:I,Table4[[#This Row],[BOOK No.]])</f>
        <v>0</v>
      </c>
      <c r="E595" s="1">
        <f t="array" ref="E595">IF(OR(Table4[[#This Row],[INSTALLMENT]]=1,Table4[[#This Row],[INSTALLMENT]]=2,Table4[[#This Row],[INSTALLMENT]]=3),1,0)</f>
        <v>0</v>
      </c>
      <c r="F595" s="1">
        <f>IF(OR(Table4[[#This Row],[INSTALLMENT]]=2,Table4[[#This Row],[INSTALLMENT]]=3),2,0)</f>
        <v>0</v>
      </c>
      <c r="G595" s="1">
        <f>IF(OR(Table4[[#This Row],[INSTALLMENT]]=3),3,0)</f>
        <v>0</v>
      </c>
    </row>
    <row r="596" spans="1:7">
      <c r="A596" s="1">
        <v>648</v>
      </c>
      <c r="B596" s="1" t="s">
        <v>445</v>
      </c>
      <c r="C596" s="1" t="s">
        <v>440</v>
      </c>
      <c r="D596" s="1">
        <f>COUNTIFS('Raw Entries'!B:B,Table4[[#This Row],[Name]],'Raw Entries'!I:I,Table4[[#This Row],[BOOK No.]])</f>
        <v>2</v>
      </c>
      <c r="E596" s="1">
        <f t="array" ref="E596">IF(OR(Table4[[#This Row],[INSTALLMENT]]=1,Table4[[#This Row],[INSTALLMENT]]=2,Table4[[#This Row],[INSTALLMENT]]=3),1,0)</f>
        <v>1</v>
      </c>
      <c r="F596" s="1">
        <f>IF(OR(Table4[[#This Row],[INSTALLMENT]]=2,Table4[[#This Row],[INSTALLMENT]]=3),2,0)</f>
        <v>2</v>
      </c>
      <c r="G596" s="1">
        <f>IF(OR(Table4[[#This Row],[INSTALLMENT]]=3),3,0)</f>
        <v>0</v>
      </c>
    </row>
    <row r="597" spans="1:7">
      <c r="A597" s="1">
        <v>649</v>
      </c>
      <c r="B597" s="1" t="s">
        <v>2417</v>
      </c>
      <c r="C597" s="1" t="s">
        <v>440</v>
      </c>
      <c r="D597" s="1">
        <f>COUNTIFS('Raw Entries'!B:B,Table4[[#This Row],[Name]],'Raw Entries'!I:I,Table4[[#This Row],[BOOK No.]])</f>
        <v>0</v>
      </c>
      <c r="E597" s="1">
        <f t="array" ref="E597">IF(OR(Table4[[#This Row],[INSTALLMENT]]=1,Table4[[#This Row],[INSTALLMENT]]=2,Table4[[#This Row],[INSTALLMENT]]=3),1,0)</f>
        <v>0</v>
      </c>
      <c r="F597" s="1">
        <f>IF(OR(Table4[[#This Row],[INSTALLMENT]]=2,Table4[[#This Row],[INSTALLMENT]]=3),2,0)</f>
        <v>0</v>
      </c>
      <c r="G597" s="1">
        <f>IF(OR(Table4[[#This Row],[INSTALLMENT]]=3),3,0)</f>
        <v>0</v>
      </c>
    </row>
    <row r="598" spans="1:7">
      <c r="A598" s="1">
        <v>650</v>
      </c>
      <c r="B598" s="1" t="s">
        <v>2418</v>
      </c>
      <c r="C598" s="1" t="s">
        <v>440</v>
      </c>
      <c r="D598" s="1">
        <f>COUNTIFS('Raw Entries'!B:B,Table4[[#This Row],[Name]],'Raw Entries'!I:I,Table4[[#This Row],[BOOK No.]])</f>
        <v>0</v>
      </c>
      <c r="E598" s="1">
        <f t="array" ref="E598">IF(OR(Table4[[#This Row],[INSTALLMENT]]=1,Table4[[#This Row],[INSTALLMENT]]=2,Table4[[#This Row],[INSTALLMENT]]=3),1,0)</f>
        <v>0</v>
      </c>
      <c r="F598" s="1">
        <f>IF(OR(Table4[[#This Row],[INSTALLMENT]]=2,Table4[[#This Row],[INSTALLMENT]]=3),2,0)</f>
        <v>0</v>
      </c>
      <c r="G598" s="1">
        <f>IF(OR(Table4[[#This Row],[INSTALLMENT]]=3),3,0)</f>
        <v>0</v>
      </c>
    </row>
    <row r="599" spans="1:7">
      <c r="A599" s="1">
        <v>651</v>
      </c>
      <c r="B599" s="1" t="s">
        <v>2419</v>
      </c>
      <c r="C599" s="1" t="s">
        <v>440</v>
      </c>
      <c r="D599" s="1">
        <f>COUNTIFS('Raw Entries'!B:B,Table4[[#This Row],[Name]],'Raw Entries'!I:I,Table4[[#This Row],[BOOK No.]])</f>
        <v>0</v>
      </c>
      <c r="E599" s="1">
        <f t="array" ref="E599">IF(OR(Table4[[#This Row],[INSTALLMENT]]=1,Table4[[#This Row],[INSTALLMENT]]=2,Table4[[#This Row],[INSTALLMENT]]=3),1,0)</f>
        <v>0</v>
      </c>
      <c r="F599" s="1">
        <f>IF(OR(Table4[[#This Row],[INSTALLMENT]]=2,Table4[[#This Row],[INSTALLMENT]]=3),2,0)</f>
        <v>0</v>
      </c>
      <c r="G599" s="1">
        <f>IF(OR(Table4[[#This Row],[INSTALLMENT]]=3),3,0)</f>
        <v>0</v>
      </c>
    </row>
    <row r="600" spans="1:7">
      <c r="A600" s="1">
        <v>652</v>
      </c>
      <c r="B600" s="1" t="s">
        <v>2420</v>
      </c>
      <c r="C600" s="1" t="s">
        <v>440</v>
      </c>
      <c r="D600" s="1">
        <f>COUNTIFS('Raw Entries'!B:B,Table4[[#This Row],[Name]],'Raw Entries'!I:I,Table4[[#This Row],[BOOK No.]])</f>
        <v>0</v>
      </c>
      <c r="E600" s="1">
        <f t="array" ref="E600">IF(OR(Table4[[#This Row],[INSTALLMENT]]=1,Table4[[#This Row],[INSTALLMENT]]=2,Table4[[#This Row],[INSTALLMENT]]=3),1,0)</f>
        <v>0</v>
      </c>
      <c r="F600" s="1">
        <f>IF(OR(Table4[[#This Row],[INSTALLMENT]]=2,Table4[[#This Row],[INSTALLMENT]]=3),2,0)</f>
        <v>0</v>
      </c>
      <c r="G600" s="1">
        <f>IF(OR(Table4[[#This Row],[INSTALLMENT]]=3),3,0)</f>
        <v>0</v>
      </c>
    </row>
    <row r="601" spans="1:7">
      <c r="A601" s="1">
        <v>653</v>
      </c>
      <c r="B601" s="1" t="s">
        <v>2421</v>
      </c>
      <c r="C601" s="1" t="s">
        <v>440</v>
      </c>
      <c r="D601" s="1">
        <f>COUNTIFS('Raw Entries'!B:B,Table4[[#This Row],[Name]],'Raw Entries'!I:I,Table4[[#This Row],[BOOK No.]])</f>
        <v>0</v>
      </c>
      <c r="E601" s="1">
        <f t="array" ref="E601">IF(OR(Table4[[#This Row],[INSTALLMENT]]=1,Table4[[#This Row],[INSTALLMENT]]=2,Table4[[#This Row],[INSTALLMENT]]=3),1,0)</f>
        <v>0</v>
      </c>
      <c r="F601" s="1">
        <f>IF(OR(Table4[[#This Row],[INSTALLMENT]]=2,Table4[[#This Row],[INSTALLMENT]]=3),2,0)</f>
        <v>0</v>
      </c>
      <c r="G601" s="1">
        <f>IF(OR(Table4[[#This Row],[INSTALLMENT]]=3),3,0)</f>
        <v>0</v>
      </c>
    </row>
    <row r="602" spans="1:7">
      <c r="A602" s="1">
        <v>655</v>
      </c>
      <c r="B602" s="1" t="s">
        <v>2422</v>
      </c>
      <c r="C602" s="1" t="s">
        <v>440</v>
      </c>
      <c r="D602" s="1">
        <f>COUNTIFS('Raw Entries'!B:B,Table4[[#This Row],[Name]],'Raw Entries'!I:I,Table4[[#This Row],[BOOK No.]])</f>
        <v>0</v>
      </c>
      <c r="E602" s="1">
        <f t="array" ref="E602">IF(OR(Table4[[#This Row],[INSTALLMENT]]=1,Table4[[#This Row],[INSTALLMENT]]=2,Table4[[#This Row],[INSTALLMENT]]=3),1,0)</f>
        <v>0</v>
      </c>
      <c r="F602" s="1">
        <f>IF(OR(Table4[[#This Row],[INSTALLMENT]]=2,Table4[[#This Row],[INSTALLMENT]]=3),2,0)</f>
        <v>0</v>
      </c>
      <c r="G602" s="1">
        <f>IF(OR(Table4[[#This Row],[INSTALLMENT]]=3),3,0)</f>
        <v>0</v>
      </c>
    </row>
    <row r="603" spans="1:7">
      <c r="A603" s="1">
        <v>657</v>
      </c>
      <c r="B603" s="1" t="s">
        <v>2423</v>
      </c>
      <c r="C603" s="1" t="s">
        <v>440</v>
      </c>
      <c r="D603" s="1">
        <f>COUNTIFS('Raw Entries'!B:B,Table4[[#This Row],[Name]],'Raw Entries'!I:I,Table4[[#This Row],[BOOK No.]])</f>
        <v>0</v>
      </c>
      <c r="E603" s="1">
        <f t="array" ref="E603">IF(OR(Table4[[#This Row],[INSTALLMENT]]=1,Table4[[#This Row],[INSTALLMENT]]=2,Table4[[#This Row],[INSTALLMENT]]=3),1,0)</f>
        <v>0</v>
      </c>
      <c r="F603" s="1">
        <f>IF(OR(Table4[[#This Row],[INSTALLMENT]]=2,Table4[[#This Row],[INSTALLMENT]]=3),2,0)</f>
        <v>0</v>
      </c>
      <c r="G603" s="1">
        <f>IF(OR(Table4[[#This Row],[INSTALLMENT]]=3),3,0)</f>
        <v>0</v>
      </c>
    </row>
    <row r="604" spans="1:7">
      <c r="A604" s="1">
        <v>660</v>
      </c>
      <c r="B604" s="1" t="s">
        <v>2424</v>
      </c>
      <c r="C604" s="1" t="s">
        <v>447</v>
      </c>
      <c r="D604" s="1">
        <f>COUNTIFS('Raw Entries'!B:B,Table4[[#This Row],[Name]],'Raw Entries'!I:I,Table4[[#This Row],[BOOK No.]])</f>
        <v>0</v>
      </c>
      <c r="E604" s="1">
        <f t="array" ref="E604">IF(OR(Table4[[#This Row],[INSTALLMENT]]=1,Table4[[#This Row],[INSTALLMENT]]=2,Table4[[#This Row],[INSTALLMENT]]=3),1,0)</f>
        <v>0</v>
      </c>
      <c r="F604" s="1">
        <f>IF(OR(Table4[[#This Row],[INSTALLMENT]]=2,Table4[[#This Row],[INSTALLMENT]]=3),2,0)</f>
        <v>0</v>
      </c>
      <c r="G604" s="1">
        <f>IF(OR(Table4[[#This Row],[INSTALLMENT]]=3),3,0)</f>
        <v>0</v>
      </c>
    </row>
    <row r="605" spans="1:7">
      <c r="A605" s="1">
        <v>661</v>
      </c>
      <c r="B605" s="1" t="s">
        <v>2425</v>
      </c>
      <c r="C605" s="1" t="s">
        <v>447</v>
      </c>
      <c r="D605" s="1">
        <f>COUNTIFS('Raw Entries'!B:B,Table4[[#This Row],[Name]],'Raw Entries'!I:I,Table4[[#This Row],[BOOK No.]])</f>
        <v>0</v>
      </c>
      <c r="E605" s="1">
        <f t="array" ref="E605">IF(OR(Table4[[#This Row],[INSTALLMENT]]=1,Table4[[#This Row],[INSTALLMENT]]=2,Table4[[#This Row],[INSTALLMENT]]=3),1,0)</f>
        <v>0</v>
      </c>
      <c r="F605" s="1">
        <f>IF(OR(Table4[[#This Row],[INSTALLMENT]]=2,Table4[[#This Row],[INSTALLMENT]]=3),2,0)</f>
        <v>0</v>
      </c>
      <c r="G605" s="1">
        <f>IF(OR(Table4[[#This Row],[INSTALLMENT]]=3),3,0)</f>
        <v>0</v>
      </c>
    </row>
    <row r="606" spans="1:7">
      <c r="A606" s="1">
        <v>662</v>
      </c>
      <c r="B606" s="1" t="s">
        <v>450</v>
      </c>
      <c r="C606" s="1" t="s">
        <v>447</v>
      </c>
      <c r="D606" s="1">
        <f>COUNTIFS('Raw Entries'!B:B,Table4[[#This Row],[Name]],'Raw Entries'!I:I,Table4[[#This Row],[BOOK No.]])</f>
        <v>3</v>
      </c>
      <c r="E606" s="1">
        <f t="array" ref="E606">IF(OR(Table4[[#This Row],[INSTALLMENT]]=1,Table4[[#This Row],[INSTALLMENT]]=2,Table4[[#This Row],[INSTALLMENT]]=3),1,0)</f>
        <v>1</v>
      </c>
      <c r="F606" s="1">
        <f>IF(OR(Table4[[#This Row],[INSTALLMENT]]=2,Table4[[#This Row],[INSTALLMENT]]=3),2,0)</f>
        <v>2</v>
      </c>
      <c r="G606" s="1">
        <f>IF(OR(Table4[[#This Row],[INSTALLMENT]]=3),3,0)</f>
        <v>3</v>
      </c>
    </row>
    <row r="607" spans="1:7">
      <c r="A607" s="1">
        <v>663</v>
      </c>
      <c r="B607" s="1" t="s">
        <v>449</v>
      </c>
      <c r="C607" s="1" t="s">
        <v>447</v>
      </c>
      <c r="D607" s="1">
        <f>COUNTIFS('Raw Entries'!B:B,Table4[[#This Row],[Name]],'Raw Entries'!I:I,Table4[[#This Row],[BOOK No.]])</f>
        <v>3</v>
      </c>
      <c r="E607" s="1">
        <f t="array" ref="E607">IF(OR(Table4[[#This Row],[INSTALLMENT]]=1,Table4[[#This Row],[INSTALLMENT]]=2,Table4[[#This Row],[INSTALLMENT]]=3),1,0)</f>
        <v>1</v>
      </c>
      <c r="F607" s="1">
        <f>IF(OR(Table4[[#This Row],[INSTALLMENT]]=2,Table4[[#This Row],[INSTALLMENT]]=3),2,0)</f>
        <v>2</v>
      </c>
      <c r="G607" s="1">
        <f>IF(OR(Table4[[#This Row],[INSTALLMENT]]=3),3,0)</f>
        <v>3</v>
      </c>
    </row>
    <row r="608" spans="1:7">
      <c r="A608" s="1">
        <v>664</v>
      </c>
      <c r="B608" s="1" t="s">
        <v>2426</v>
      </c>
      <c r="C608" s="1" t="s">
        <v>447</v>
      </c>
      <c r="D608" s="1">
        <f>COUNTIFS('Raw Entries'!B:B,Table4[[#This Row],[Name]],'Raw Entries'!I:I,Table4[[#This Row],[BOOK No.]])</f>
        <v>0</v>
      </c>
      <c r="E608" s="1">
        <f t="array" ref="E608">IF(OR(Table4[[#This Row],[INSTALLMENT]]=1,Table4[[#This Row],[INSTALLMENT]]=2,Table4[[#This Row],[INSTALLMENT]]=3),1,0)</f>
        <v>0</v>
      </c>
      <c r="F608" s="1">
        <f>IF(OR(Table4[[#This Row],[INSTALLMENT]]=2,Table4[[#This Row],[INSTALLMENT]]=3),2,0)</f>
        <v>0</v>
      </c>
      <c r="G608" s="1">
        <f>IF(OR(Table4[[#This Row],[INSTALLMENT]]=3),3,0)</f>
        <v>0</v>
      </c>
    </row>
    <row r="609" spans="1:7">
      <c r="A609" s="1">
        <v>665</v>
      </c>
      <c r="B609" s="1" t="s">
        <v>2427</v>
      </c>
      <c r="C609" s="1" t="s">
        <v>447</v>
      </c>
      <c r="D609" s="1">
        <f>COUNTIFS('Raw Entries'!B:B,Table4[[#This Row],[Name]],'Raw Entries'!I:I,Table4[[#This Row],[BOOK No.]])</f>
        <v>0</v>
      </c>
      <c r="E609" s="1">
        <f t="array" ref="E609">IF(OR(Table4[[#This Row],[INSTALLMENT]]=1,Table4[[#This Row],[INSTALLMENT]]=2,Table4[[#This Row],[INSTALLMENT]]=3),1,0)</f>
        <v>0</v>
      </c>
      <c r="F609" s="1">
        <f>IF(OR(Table4[[#This Row],[INSTALLMENT]]=2,Table4[[#This Row],[INSTALLMENT]]=3),2,0)</f>
        <v>0</v>
      </c>
      <c r="G609" s="1">
        <f>IF(OR(Table4[[#This Row],[INSTALLMENT]]=3),3,0)</f>
        <v>0</v>
      </c>
    </row>
    <row r="610" spans="1:7">
      <c r="A610" s="1">
        <v>666</v>
      </c>
      <c r="B610" s="1" t="s">
        <v>2428</v>
      </c>
      <c r="C610" s="1" t="s">
        <v>447</v>
      </c>
      <c r="D610" s="1">
        <f>COUNTIFS('Raw Entries'!B:B,Table4[[#This Row],[Name]],'Raw Entries'!I:I,Table4[[#This Row],[BOOK No.]])</f>
        <v>0</v>
      </c>
      <c r="E610" s="1">
        <f t="array" ref="E610">IF(OR(Table4[[#This Row],[INSTALLMENT]]=1,Table4[[#This Row],[INSTALLMENT]]=2,Table4[[#This Row],[INSTALLMENT]]=3),1,0)</f>
        <v>0</v>
      </c>
      <c r="F610" s="1">
        <f>IF(OR(Table4[[#This Row],[INSTALLMENT]]=2,Table4[[#This Row],[INSTALLMENT]]=3),2,0)</f>
        <v>0</v>
      </c>
      <c r="G610" s="1">
        <f>IF(OR(Table4[[#This Row],[INSTALLMENT]]=3),3,0)</f>
        <v>0</v>
      </c>
    </row>
    <row r="611" spans="1:7">
      <c r="A611" s="1">
        <v>667</v>
      </c>
      <c r="B611" s="1" t="s">
        <v>2429</v>
      </c>
      <c r="C611" s="1" t="s">
        <v>447</v>
      </c>
      <c r="D611" s="1">
        <f>COUNTIFS('Raw Entries'!B:B,Table4[[#This Row],[Name]],'Raw Entries'!I:I,Table4[[#This Row],[BOOK No.]])</f>
        <v>0</v>
      </c>
      <c r="E611" s="1">
        <f t="array" ref="E611">IF(OR(Table4[[#This Row],[INSTALLMENT]]=1,Table4[[#This Row],[INSTALLMENT]]=2,Table4[[#This Row],[INSTALLMENT]]=3),1,0)</f>
        <v>0</v>
      </c>
      <c r="F611" s="1">
        <f>IF(OR(Table4[[#This Row],[INSTALLMENT]]=2,Table4[[#This Row],[INSTALLMENT]]=3),2,0)</f>
        <v>0</v>
      </c>
      <c r="G611" s="1">
        <f>IF(OR(Table4[[#This Row],[INSTALLMENT]]=3),3,0)</f>
        <v>0</v>
      </c>
    </row>
    <row r="612" spans="1:7">
      <c r="A612" s="1">
        <v>668</v>
      </c>
      <c r="B612" s="1" t="s">
        <v>2430</v>
      </c>
      <c r="C612" s="1" t="s">
        <v>447</v>
      </c>
      <c r="D612" s="1">
        <f>COUNTIFS('Raw Entries'!B:B,Table4[[#This Row],[Name]],'Raw Entries'!I:I,Table4[[#This Row],[BOOK No.]])</f>
        <v>0</v>
      </c>
      <c r="E612" s="1">
        <f t="array" ref="E612">IF(OR(Table4[[#This Row],[INSTALLMENT]]=1,Table4[[#This Row],[INSTALLMENT]]=2,Table4[[#This Row],[INSTALLMENT]]=3),1,0)</f>
        <v>0</v>
      </c>
      <c r="F612" s="1">
        <f>IF(OR(Table4[[#This Row],[INSTALLMENT]]=2,Table4[[#This Row],[INSTALLMENT]]=3),2,0)</f>
        <v>0</v>
      </c>
      <c r="G612" s="1">
        <f>IF(OR(Table4[[#This Row],[INSTALLMENT]]=3),3,0)</f>
        <v>0</v>
      </c>
    </row>
    <row r="613" spans="1:7">
      <c r="A613" s="1">
        <v>669</v>
      </c>
      <c r="B613" s="1" t="s">
        <v>2431</v>
      </c>
      <c r="C613" s="1" t="s">
        <v>447</v>
      </c>
      <c r="D613" s="1">
        <f>COUNTIFS('Raw Entries'!B:B,Table4[[#This Row],[Name]],'Raw Entries'!I:I,Table4[[#This Row],[BOOK No.]])</f>
        <v>0</v>
      </c>
      <c r="E613" s="1">
        <f t="array" ref="E613">IF(OR(Table4[[#This Row],[INSTALLMENT]]=1,Table4[[#This Row],[INSTALLMENT]]=2,Table4[[#This Row],[INSTALLMENT]]=3),1,0)</f>
        <v>0</v>
      </c>
      <c r="F613" s="1">
        <f>IF(OR(Table4[[#This Row],[INSTALLMENT]]=2,Table4[[#This Row],[INSTALLMENT]]=3),2,0)</f>
        <v>0</v>
      </c>
      <c r="G613" s="1">
        <f>IF(OR(Table4[[#This Row],[INSTALLMENT]]=3),3,0)</f>
        <v>0</v>
      </c>
    </row>
    <row r="614" spans="1:7">
      <c r="A614" s="1">
        <v>670</v>
      </c>
      <c r="B614" s="1" t="s">
        <v>2432</v>
      </c>
      <c r="C614" s="1" t="s">
        <v>447</v>
      </c>
      <c r="D614" s="1">
        <f>COUNTIFS('Raw Entries'!B:B,Table4[[#This Row],[Name]],'Raw Entries'!I:I,Table4[[#This Row],[BOOK No.]])</f>
        <v>0</v>
      </c>
      <c r="E614" s="1">
        <f t="array" ref="E614">IF(OR(Table4[[#This Row],[INSTALLMENT]]=1,Table4[[#This Row],[INSTALLMENT]]=2,Table4[[#This Row],[INSTALLMENT]]=3),1,0)</f>
        <v>0</v>
      </c>
      <c r="F614" s="1">
        <f>IF(OR(Table4[[#This Row],[INSTALLMENT]]=2,Table4[[#This Row],[INSTALLMENT]]=3),2,0)</f>
        <v>0</v>
      </c>
      <c r="G614" s="1">
        <f>IF(OR(Table4[[#This Row],[INSTALLMENT]]=3),3,0)</f>
        <v>0</v>
      </c>
    </row>
    <row r="615" spans="1:7">
      <c r="A615" s="1">
        <v>671</v>
      </c>
      <c r="B615" s="1" t="s">
        <v>239</v>
      </c>
      <c r="C615" s="1" t="s">
        <v>447</v>
      </c>
      <c r="D615" s="1">
        <f>COUNTIFS('Raw Entries'!B:B,Table4[[#This Row],[Name]],'Raw Entries'!I:I,Table4[[#This Row],[BOOK No.]])</f>
        <v>0</v>
      </c>
      <c r="E615" s="1">
        <f t="array" ref="E615">IF(OR(Table4[[#This Row],[INSTALLMENT]]=1,Table4[[#This Row],[INSTALLMENT]]=2,Table4[[#This Row],[INSTALLMENT]]=3),1,0)</f>
        <v>0</v>
      </c>
      <c r="F615" s="1">
        <f>IF(OR(Table4[[#This Row],[INSTALLMENT]]=2,Table4[[#This Row],[INSTALLMENT]]=3),2,0)</f>
        <v>0</v>
      </c>
      <c r="G615" s="1">
        <f>IF(OR(Table4[[#This Row],[INSTALLMENT]]=3),3,0)</f>
        <v>0</v>
      </c>
    </row>
    <row r="616" spans="1:7">
      <c r="A616" s="1">
        <v>672</v>
      </c>
      <c r="B616" s="1" t="s">
        <v>2433</v>
      </c>
      <c r="C616" s="1" t="s">
        <v>447</v>
      </c>
      <c r="D616" s="1">
        <f>COUNTIFS('Raw Entries'!B:B,Table4[[#This Row],[Name]],'Raw Entries'!I:I,Table4[[#This Row],[BOOK No.]])</f>
        <v>0</v>
      </c>
      <c r="E616" s="1">
        <f t="array" ref="E616">IF(OR(Table4[[#This Row],[INSTALLMENT]]=1,Table4[[#This Row],[INSTALLMENT]]=2,Table4[[#This Row],[INSTALLMENT]]=3),1,0)</f>
        <v>0</v>
      </c>
      <c r="F616" s="1">
        <f>IF(OR(Table4[[#This Row],[INSTALLMENT]]=2,Table4[[#This Row],[INSTALLMENT]]=3),2,0)</f>
        <v>0</v>
      </c>
      <c r="G616" s="1">
        <f>IF(OR(Table4[[#This Row],[INSTALLMENT]]=3),3,0)</f>
        <v>0</v>
      </c>
    </row>
    <row r="617" spans="1:7">
      <c r="A617" s="1">
        <v>673</v>
      </c>
      <c r="B617" s="1" t="s">
        <v>2434</v>
      </c>
      <c r="C617" s="1" t="s">
        <v>447</v>
      </c>
      <c r="D617" s="1">
        <f>COUNTIFS('Raw Entries'!B:B,Table4[[#This Row],[Name]],'Raw Entries'!I:I,Table4[[#This Row],[BOOK No.]])</f>
        <v>0</v>
      </c>
      <c r="E617" s="1">
        <f t="array" ref="E617">IF(OR(Table4[[#This Row],[INSTALLMENT]]=1,Table4[[#This Row],[INSTALLMENT]]=2,Table4[[#This Row],[INSTALLMENT]]=3),1,0)</f>
        <v>0</v>
      </c>
      <c r="F617" s="1">
        <f>IF(OR(Table4[[#This Row],[INSTALLMENT]]=2,Table4[[#This Row],[INSTALLMENT]]=3),2,0)</f>
        <v>0</v>
      </c>
      <c r="G617" s="1">
        <f>IF(OR(Table4[[#This Row],[INSTALLMENT]]=3),3,0)</f>
        <v>0</v>
      </c>
    </row>
    <row r="618" spans="1:7">
      <c r="A618" s="1">
        <v>674</v>
      </c>
      <c r="B618" s="1" t="s">
        <v>2435</v>
      </c>
      <c r="C618" s="1" t="s">
        <v>447</v>
      </c>
      <c r="D618" s="1">
        <f>COUNTIFS('Raw Entries'!B:B,Table4[[#This Row],[Name]],'Raw Entries'!I:I,Table4[[#This Row],[BOOK No.]])</f>
        <v>1</v>
      </c>
      <c r="E618" s="1">
        <f t="array" ref="E618">IF(OR(Table4[[#This Row],[INSTALLMENT]]=1,Table4[[#This Row],[INSTALLMENT]]=2,Table4[[#This Row],[INSTALLMENT]]=3),1,0)</f>
        <v>1</v>
      </c>
      <c r="F618" s="1">
        <f>IF(OR(Table4[[#This Row],[INSTALLMENT]]=2,Table4[[#This Row],[INSTALLMENT]]=3),2,0)</f>
        <v>0</v>
      </c>
      <c r="G618" s="1">
        <f>IF(OR(Table4[[#This Row],[INSTALLMENT]]=3),3,0)</f>
        <v>0</v>
      </c>
    </row>
    <row r="619" spans="1:7">
      <c r="A619" s="1">
        <v>675</v>
      </c>
      <c r="B619" s="1" t="s">
        <v>452</v>
      </c>
      <c r="C619" s="1" t="s">
        <v>447</v>
      </c>
      <c r="D619" s="1">
        <f>COUNTIFS('Raw Entries'!B:B,Table4[[#This Row],[Name]],'Raw Entries'!I:I,Table4[[#This Row],[BOOK No.]])</f>
        <v>1</v>
      </c>
      <c r="E619" s="1">
        <f t="array" ref="E619">IF(OR(Table4[[#This Row],[INSTALLMENT]]=1,Table4[[#This Row],[INSTALLMENT]]=2,Table4[[#This Row],[INSTALLMENT]]=3),1,0)</f>
        <v>1</v>
      </c>
      <c r="F619" s="1">
        <f>IF(OR(Table4[[#This Row],[INSTALLMENT]]=2,Table4[[#This Row],[INSTALLMENT]]=3),2,0)</f>
        <v>0</v>
      </c>
      <c r="G619" s="1">
        <f>IF(OR(Table4[[#This Row],[INSTALLMENT]]=3),3,0)</f>
        <v>0</v>
      </c>
    </row>
    <row r="620" spans="1:7">
      <c r="A620" s="1">
        <v>676</v>
      </c>
      <c r="B620" s="1" t="s">
        <v>2436</v>
      </c>
      <c r="C620" s="1" t="s">
        <v>447</v>
      </c>
      <c r="D620" s="1">
        <f>COUNTIFS('Raw Entries'!B:B,Table4[[#This Row],[Name]],'Raw Entries'!I:I,Table4[[#This Row],[BOOK No.]])</f>
        <v>0</v>
      </c>
      <c r="E620" s="1">
        <f t="array" ref="E620">IF(OR(Table4[[#This Row],[INSTALLMENT]]=1,Table4[[#This Row],[INSTALLMENT]]=2,Table4[[#This Row],[INSTALLMENT]]=3),1,0)</f>
        <v>0</v>
      </c>
      <c r="F620" s="1">
        <f>IF(OR(Table4[[#This Row],[INSTALLMENT]]=2,Table4[[#This Row],[INSTALLMENT]]=3),2,0)</f>
        <v>0</v>
      </c>
      <c r="G620" s="1">
        <f>IF(OR(Table4[[#This Row],[INSTALLMENT]]=3),3,0)</f>
        <v>0</v>
      </c>
    </row>
    <row r="621" spans="1:7">
      <c r="A621" s="1">
        <v>677</v>
      </c>
      <c r="B621" s="1" t="s">
        <v>3942</v>
      </c>
      <c r="C621" s="1" t="s">
        <v>447</v>
      </c>
      <c r="D621" s="1">
        <f>COUNTIFS('Raw Entries'!B:B,Table4[[#This Row],[Name]],'Raw Entries'!I:I,Table4[[#This Row],[BOOK No.]])</f>
        <v>0</v>
      </c>
      <c r="E621" s="1">
        <f t="array" ref="E621">IF(OR(Table4[[#This Row],[INSTALLMENT]]=1,Table4[[#This Row],[INSTALLMENT]]=2,Table4[[#This Row],[INSTALLMENT]]=3),1,0)</f>
        <v>0</v>
      </c>
      <c r="F621" s="1">
        <f>IF(OR(Table4[[#This Row],[INSTALLMENT]]=2,Table4[[#This Row],[INSTALLMENT]]=3),2,0)</f>
        <v>0</v>
      </c>
      <c r="G621" s="1">
        <f>IF(OR(Table4[[#This Row],[INSTALLMENT]]=3),3,0)</f>
        <v>0</v>
      </c>
    </row>
    <row r="622" spans="1:7">
      <c r="A622" s="1">
        <v>678</v>
      </c>
      <c r="B622" s="1" t="s">
        <v>451</v>
      </c>
      <c r="C622" s="1" t="s">
        <v>447</v>
      </c>
      <c r="D622" s="1">
        <f>COUNTIFS('Raw Entries'!B:B,Table4[[#This Row],[Name]],'Raw Entries'!I:I,Table4[[#This Row],[BOOK No.]])</f>
        <v>3</v>
      </c>
      <c r="E622" s="1">
        <f t="array" ref="E622">IF(OR(Table4[[#This Row],[INSTALLMENT]]=1,Table4[[#This Row],[INSTALLMENT]]=2,Table4[[#This Row],[INSTALLMENT]]=3),1,0)</f>
        <v>1</v>
      </c>
      <c r="F622" s="1">
        <f>IF(OR(Table4[[#This Row],[INSTALLMENT]]=2,Table4[[#This Row],[INSTALLMENT]]=3),2,0)</f>
        <v>2</v>
      </c>
      <c r="G622" s="1">
        <f>IF(OR(Table4[[#This Row],[INSTALLMENT]]=3),3,0)</f>
        <v>3</v>
      </c>
    </row>
    <row r="623" spans="1:7">
      <c r="A623" s="1">
        <v>679</v>
      </c>
      <c r="B623" s="1" t="s">
        <v>2437</v>
      </c>
      <c r="C623" s="1" t="s">
        <v>447</v>
      </c>
      <c r="D623" s="1">
        <f>COUNTIFS('Raw Entries'!B:B,Table4[[#This Row],[Name]],'Raw Entries'!I:I,Table4[[#This Row],[BOOK No.]])</f>
        <v>0</v>
      </c>
      <c r="E623" s="1">
        <f t="array" ref="E623">IF(OR(Table4[[#This Row],[INSTALLMENT]]=1,Table4[[#This Row],[INSTALLMENT]]=2,Table4[[#This Row],[INSTALLMENT]]=3),1,0)</f>
        <v>0</v>
      </c>
      <c r="F623" s="1">
        <f>IF(OR(Table4[[#This Row],[INSTALLMENT]]=2,Table4[[#This Row],[INSTALLMENT]]=3),2,0)</f>
        <v>0</v>
      </c>
      <c r="G623" s="1">
        <f>IF(OR(Table4[[#This Row],[INSTALLMENT]]=3),3,0)</f>
        <v>0</v>
      </c>
    </row>
    <row r="624" spans="1:7">
      <c r="A624" s="1">
        <v>680</v>
      </c>
      <c r="B624" s="1" t="s">
        <v>2438</v>
      </c>
      <c r="C624" s="1" t="s">
        <v>447</v>
      </c>
      <c r="D624" s="1">
        <f>COUNTIFS('Raw Entries'!B:B,Table4[[#This Row],[Name]],'Raw Entries'!I:I,Table4[[#This Row],[BOOK No.]])</f>
        <v>1</v>
      </c>
      <c r="E624" s="1">
        <f t="array" ref="E624">IF(OR(Table4[[#This Row],[INSTALLMENT]]=1,Table4[[#This Row],[INSTALLMENT]]=2,Table4[[#This Row],[INSTALLMENT]]=3),1,0)</f>
        <v>1</v>
      </c>
      <c r="F624" s="1">
        <f>IF(OR(Table4[[#This Row],[INSTALLMENT]]=2,Table4[[#This Row],[INSTALLMENT]]=3),2,0)</f>
        <v>0</v>
      </c>
      <c r="G624" s="1">
        <f>IF(OR(Table4[[#This Row],[INSTALLMENT]]=3),3,0)</f>
        <v>0</v>
      </c>
    </row>
    <row r="625" spans="1:7">
      <c r="A625" s="1">
        <v>681</v>
      </c>
      <c r="B625" s="1" t="s">
        <v>2439</v>
      </c>
      <c r="C625" s="1" t="s">
        <v>447</v>
      </c>
      <c r="D625" s="1">
        <f>COUNTIFS('Raw Entries'!B:B,Table4[[#This Row],[Name]],'Raw Entries'!I:I,Table4[[#This Row],[BOOK No.]])</f>
        <v>0</v>
      </c>
      <c r="E625" s="1">
        <f t="array" ref="E625">IF(OR(Table4[[#This Row],[INSTALLMENT]]=1,Table4[[#This Row],[INSTALLMENT]]=2,Table4[[#This Row],[INSTALLMENT]]=3),1,0)</f>
        <v>0</v>
      </c>
      <c r="F625" s="1">
        <f>IF(OR(Table4[[#This Row],[INSTALLMENT]]=2,Table4[[#This Row],[INSTALLMENT]]=3),2,0)</f>
        <v>0</v>
      </c>
      <c r="G625" s="1">
        <f>IF(OR(Table4[[#This Row],[INSTALLMENT]]=3),3,0)</f>
        <v>0</v>
      </c>
    </row>
    <row r="626" spans="1:7">
      <c r="A626" s="1">
        <v>682</v>
      </c>
      <c r="B626" s="1" t="s">
        <v>2440</v>
      </c>
      <c r="C626" s="1" t="s">
        <v>447</v>
      </c>
      <c r="D626" s="1">
        <f>COUNTIFS('Raw Entries'!B:B,Table4[[#This Row],[Name]],'Raw Entries'!I:I,Table4[[#This Row],[BOOK No.]])</f>
        <v>0</v>
      </c>
      <c r="E626" s="1">
        <f t="array" ref="E626">IF(OR(Table4[[#This Row],[INSTALLMENT]]=1,Table4[[#This Row],[INSTALLMENT]]=2,Table4[[#This Row],[INSTALLMENT]]=3),1,0)</f>
        <v>0</v>
      </c>
      <c r="F626" s="1">
        <f>IF(OR(Table4[[#This Row],[INSTALLMENT]]=2,Table4[[#This Row],[INSTALLMENT]]=3),2,0)</f>
        <v>0</v>
      </c>
      <c r="G626" s="1">
        <f>IF(OR(Table4[[#This Row],[INSTALLMENT]]=3),3,0)</f>
        <v>0</v>
      </c>
    </row>
    <row r="627" spans="1:7">
      <c r="A627" s="1">
        <v>683</v>
      </c>
      <c r="B627" s="1" t="s">
        <v>2441</v>
      </c>
      <c r="C627" s="1" t="s">
        <v>447</v>
      </c>
      <c r="D627" s="1">
        <f>COUNTIFS('Raw Entries'!B:B,Table4[[#This Row],[Name]],'Raw Entries'!I:I,Table4[[#This Row],[BOOK No.]])</f>
        <v>0</v>
      </c>
      <c r="E627" s="1">
        <f t="array" ref="E627">IF(OR(Table4[[#This Row],[INSTALLMENT]]=1,Table4[[#This Row],[INSTALLMENT]]=2,Table4[[#This Row],[INSTALLMENT]]=3),1,0)</f>
        <v>0</v>
      </c>
      <c r="F627" s="1">
        <f>IF(OR(Table4[[#This Row],[INSTALLMENT]]=2,Table4[[#This Row],[INSTALLMENT]]=3),2,0)</f>
        <v>0</v>
      </c>
      <c r="G627" s="1">
        <f>IF(OR(Table4[[#This Row],[INSTALLMENT]]=3),3,0)</f>
        <v>0</v>
      </c>
    </row>
    <row r="628" spans="1:7">
      <c r="A628" s="1">
        <v>684</v>
      </c>
      <c r="B628" s="1" t="s">
        <v>2442</v>
      </c>
      <c r="C628" s="1" t="s">
        <v>447</v>
      </c>
      <c r="D628" s="1">
        <f>COUNTIFS('Raw Entries'!B:B,Table4[[#This Row],[Name]],'Raw Entries'!I:I,Table4[[#This Row],[BOOK No.]])</f>
        <v>0</v>
      </c>
      <c r="E628" s="1">
        <f t="array" ref="E628">IF(OR(Table4[[#This Row],[INSTALLMENT]]=1,Table4[[#This Row],[INSTALLMENT]]=2,Table4[[#This Row],[INSTALLMENT]]=3),1,0)</f>
        <v>0</v>
      </c>
      <c r="F628" s="1">
        <f>IF(OR(Table4[[#This Row],[INSTALLMENT]]=2,Table4[[#This Row],[INSTALLMENT]]=3),2,0)</f>
        <v>0</v>
      </c>
      <c r="G628" s="1">
        <f>IF(OR(Table4[[#This Row],[INSTALLMENT]]=3),3,0)</f>
        <v>0</v>
      </c>
    </row>
    <row r="629" spans="1:7">
      <c r="A629" s="1">
        <v>685</v>
      </c>
      <c r="B629" s="1" t="s">
        <v>2443</v>
      </c>
      <c r="C629" s="1" t="s">
        <v>447</v>
      </c>
      <c r="D629" s="1">
        <f>COUNTIFS('Raw Entries'!B:B,Table4[[#This Row],[Name]],'Raw Entries'!I:I,Table4[[#This Row],[BOOK No.]])</f>
        <v>0</v>
      </c>
      <c r="E629" s="1">
        <f t="array" ref="E629">IF(OR(Table4[[#This Row],[INSTALLMENT]]=1,Table4[[#This Row],[INSTALLMENT]]=2,Table4[[#This Row],[INSTALLMENT]]=3),1,0)</f>
        <v>0</v>
      </c>
      <c r="F629" s="1">
        <f>IF(OR(Table4[[#This Row],[INSTALLMENT]]=2,Table4[[#This Row],[INSTALLMENT]]=3),2,0)</f>
        <v>0</v>
      </c>
      <c r="G629" s="1">
        <f>IF(OR(Table4[[#This Row],[INSTALLMENT]]=3),3,0)</f>
        <v>0</v>
      </c>
    </row>
    <row r="630" spans="1:7">
      <c r="A630" s="1">
        <v>686</v>
      </c>
      <c r="B630" s="1" t="s">
        <v>2444</v>
      </c>
      <c r="C630" s="1" t="s">
        <v>447</v>
      </c>
      <c r="D630" s="1">
        <f>COUNTIFS('Raw Entries'!B:B,Table4[[#This Row],[Name]],'Raw Entries'!I:I,Table4[[#This Row],[BOOK No.]])</f>
        <v>0</v>
      </c>
      <c r="E630" s="1">
        <f t="array" ref="E630">IF(OR(Table4[[#This Row],[INSTALLMENT]]=1,Table4[[#This Row],[INSTALLMENT]]=2,Table4[[#This Row],[INSTALLMENT]]=3),1,0)</f>
        <v>0</v>
      </c>
      <c r="F630" s="1">
        <f>IF(OR(Table4[[#This Row],[INSTALLMENT]]=2,Table4[[#This Row],[INSTALLMENT]]=3),2,0)</f>
        <v>0</v>
      </c>
      <c r="G630" s="1">
        <f>IF(OR(Table4[[#This Row],[INSTALLMENT]]=3),3,0)</f>
        <v>0</v>
      </c>
    </row>
    <row r="631" spans="1:7">
      <c r="A631" s="1">
        <v>687</v>
      </c>
      <c r="B631" s="1" t="s">
        <v>448</v>
      </c>
      <c r="C631" s="1" t="s">
        <v>447</v>
      </c>
      <c r="D631" s="1">
        <f>COUNTIFS('Raw Entries'!B:B,Table4[[#This Row],[Name]],'Raw Entries'!I:I,Table4[[#This Row],[BOOK No.]])</f>
        <v>2</v>
      </c>
      <c r="E631" s="1">
        <f t="array" ref="E631">IF(OR(Table4[[#This Row],[INSTALLMENT]]=1,Table4[[#This Row],[INSTALLMENT]]=2,Table4[[#This Row],[INSTALLMENT]]=3),1,0)</f>
        <v>1</v>
      </c>
      <c r="F631" s="1">
        <f>IF(OR(Table4[[#This Row],[INSTALLMENT]]=2,Table4[[#This Row],[INSTALLMENT]]=3),2,0)</f>
        <v>2</v>
      </c>
      <c r="G631" s="1">
        <f>IF(OR(Table4[[#This Row],[INSTALLMENT]]=3),3,0)</f>
        <v>0</v>
      </c>
    </row>
    <row r="632" spans="1:7">
      <c r="A632" s="1">
        <v>688</v>
      </c>
      <c r="B632" s="1" t="s">
        <v>2445</v>
      </c>
      <c r="C632" s="1" t="s">
        <v>447</v>
      </c>
      <c r="D632" s="1">
        <f>COUNTIFS('Raw Entries'!B:B,Table4[[#This Row],[Name]],'Raw Entries'!I:I,Table4[[#This Row],[BOOK No.]])</f>
        <v>0</v>
      </c>
      <c r="E632" s="1">
        <f t="array" ref="E632">IF(OR(Table4[[#This Row],[INSTALLMENT]]=1,Table4[[#This Row],[INSTALLMENT]]=2,Table4[[#This Row],[INSTALLMENT]]=3),1,0)</f>
        <v>0</v>
      </c>
      <c r="F632" s="1">
        <f>IF(OR(Table4[[#This Row],[INSTALLMENT]]=2,Table4[[#This Row],[INSTALLMENT]]=3),2,0)</f>
        <v>0</v>
      </c>
      <c r="G632" s="1">
        <f>IF(OR(Table4[[#This Row],[INSTALLMENT]]=3),3,0)</f>
        <v>0</v>
      </c>
    </row>
    <row r="633" spans="1:7">
      <c r="A633" s="1">
        <v>689</v>
      </c>
      <c r="B633" s="1" t="s">
        <v>2446</v>
      </c>
      <c r="C633" s="1" t="s">
        <v>447</v>
      </c>
      <c r="D633" s="1">
        <f>COUNTIFS('Raw Entries'!B:B,Table4[[#This Row],[Name]],'Raw Entries'!I:I,Table4[[#This Row],[BOOK No.]])</f>
        <v>0</v>
      </c>
      <c r="E633" s="1">
        <f t="array" ref="E633">IF(OR(Table4[[#This Row],[INSTALLMENT]]=1,Table4[[#This Row],[INSTALLMENT]]=2,Table4[[#This Row],[INSTALLMENT]]=3),1,0)</f>
        <v>0</v>
      </c>
      <c r="F633" s="1">
        <f>IF(OR(Table4[[#This Row],[INSTALLMENT]]=2,Table4[[#This Row],[INSTALLMENT]]=3),2,0)</f>
        <v>0</v>
      </c>
      <c r="G633" s="1">
        <f>IF(OR(Table4[[#This Row],[INSTALLMENT]]=3),3,0)</f>
        <v>0</v>
      </c>
    </row>
    <row r="634" spans="1:7">
      <c r="A634" s="1">
        <v>690</v>
      </c>
      <c r="B634" s="1" t="s">
        <v>2447</v>
      </c>
      <c r="C634" s="1" t="s">
        <v>447</v>
      </c>
      <c r="D634" s="1">
        <f>COUNTIFS('Raw Entries'!B:B,Table4[[#This Row],[Name]],'Raw Entries'!I:I,Table4[[#This Row],[BOOK No.]])</f>
        <v>0</v>
      </c>
      <c r="E634" s="1">
        <f t="array" ref="E634">IF(OR(Table4[[#This Row],[INSTALLMENT]]=1,Table4[[#This Row],[INSTALLMENT]]=2,Table4[[#This Row],[INSTALLMENT]]=3),1,0)</f>
        <v>0</v>
      </c>
      <c r="F634" s="1">
        <f>IF(OR(Table4[[#This Row],[INSTALLMENT]]=2,Table4[[#This Row],[INSTALLMENT]]=3),2,0)</f>
        <v>0</v>
      </c>
      <c r="G634" s="1">
        <f>IF(OR(Table4[[#This Row],[INSTALLMENT]]=3),3,0)</f>
        <v>0</v>
      </c>
    </row>
    <row r="635" spans="1:7">
      <c r="A635" s="1">
        <v>691</v>
      </c>
      <c r="B635" s="1" t="s">
        <v>2448</v>
      </c>
      <c r="C635" s="1" t="s">
        <v>447</v>
      </c>
      <c r="D635" s="1">
        <f>COUNTIFS('Raw Entries'!B:B,Table4[[#This Row],[Name]],'Raw Entries'!I:I,Table4[[#This Row],[BOOK No.]])</f>
        <v>0</v>
      </c>
      <c r="E635" s="1">
        <f t="array" ref="E635">IF(OR(Table4[[#This Row],[INSTALLMENT]]=1,Table4[[#This Row],[INSTALLMENT]]=2,Table4[[#This Row],[INSTALLMENT]]=3),1,0)</f>
        <v>0</v>
      </c>
      <c r="F635" s="1">
        <f>IF(OR(Table4[[#This Row],[INSTALLMENT]]=2,Table4[[#This Row],[INSTALLMENT]]=3),2,0)</f>
        <v>0</v>
      </c>
      <c r="G635" s="1">
        <f>IF(OR(Table4[[#This Row],[INSTALLMENT]]=3),3,0)</f>
        <v>0</v>
      </c>
    </row>
    <row r="636" spans="1:7">
      <c r="A636" s="1">
        <v>692</v>
      </c>
      <c r="B636" s="1" t="s">
        <v>1842</v>
      </c>
      <c r="C636" s="1" t="s">
        <v>447</v>
      </c>
      <c r="D636" s="1">
        <f>COUNTIFS('Raw Entries'!B:B,Table4[[#This Row],[Name]],'Raw Entries'!I:I,Table4[[#This Row],[BOOK No.]])</f>
        <v>3</v>
      </c>
      <c r="E636" s="1">
        <f t="array" ref="E636">IF(OR(Table4[[#This Row],[INSTALLMENT]]=1,Table4[[#This Row],[INSTALLMENT]]=2,Table4[[#This Row],[INSTALLMENT]]=3),1,0)</f>
        <v>1</v>
      </c>
      <c r="F636" s="1">
        <f>IF(OR(Table4[[#This Row],[INSTALLMENT]]=2,Table4[[#This Row],[INSTALLMENT]]=3),2,0)</f>
        <v>2</v>
      </c>
      <c r="G636" s="1">
        <f>IF(OR(Table4[[#This Row],[INSTALLMENT]]=3),3,0)</f>
        <v>3</v>
      </c>
    </row>
    <row r="637" spans="1:7">
      <c r="A637" s="1">
        <v>693</v>
      </c>
      <c r="B637" s="1" t="s">
        <v>2449</v>
      </c>
      <c r="C637" s="1" t="s">
        <v>453</v>
      </c>
      <c r="D637" s="1">
        <f>COUNTIFS('Raw Entries'!B:B,Table4[[#This Row],[Name]],'Raw Entries'!I:I,Table4[[#This Row],[BOOK No.]])</f>
        <v>0</v>
      </c>
      <c r="E637" s="1">
        <f t="array" ref="E637">IF(OR(Table4[[#This Row],[INSTALLMENT]]=1,Table4[[#This Row],[INSTALLMENT]]=2,Table4[[#This Row],[INSTALLMENT]]=3),1,0)</f>
        <v>0</v>
      </c>
      <c r="F637" s="1">
        <f>IF(OR(Table4[[#This Row],[INSTALLMENT]]=2,Table4[[#This Row],[INSTALLMENT]]=3),2,0)</f>
        <v>0</v>
      </c>
      <c r="G637" s="1">
        <f>IF(OR(Table4[[#This Row],[INSTALLMENT]]=3),3,0)</f>
        <v>0</v>
      </c>
    </row>
    <row r="638" spans="1:7">
      <c r="A638" s="1">
        <v>694</v>
      </c>
      <c r="B638" s="1" t="s">
        <v>395</v>
      </c>
      <c r="C638" s="1" t="s">
        <v>453</v>
      </c>
      <c r="D638" s="1">
        <f>COUNTIFS('Raw Entries'!B:B,Table4[[#This Row],[Name]],'Raw Entries'!I:I,Table4[[#This Row],[BOOK No.]])</f>
        <v>0</v>
      </c>
      <c r="E638" s="1">
        <f t="array" ref="E638">IF(OR(Table4[[#This Row],[INSTALLMENT]]=1,Table4[[#This Row],[INSTALLMENT]]=2,Table4[[#This Row],[INSTALLMENT]]=3),1,0)</f>
        <v>0</v>
      </c>
      <c r="F638" s="1">
        <f>IF(OR(Table4[[#This Row],[INSTALLMENT]]=2,Table4[[#This Row],[INSTALLMENT]]=3),2,0)</f>
        <v>0</v>
      </c>
      <c r="G638" s="1">
        <f>IF(OR(Table4[[#This Row],[INSTALLMENT]]=3),3,0)</f>
        <v>0</v>
      </c>
    </row>
    <row r="639" spans="1:7">
      <c r="A639" s="1">
        <v>695</v>
      </c>
      <c r="B639" s="1" t="s">
        <v>2450</v>
      </c>
      <c r="C639" s="1" t="s">
        <v>453</v>
      </c>
      <c r="D639" s="1">
        <f>COUNTIFS('Raw Entries'!B:B,Table4[[#This Row],[Name]],'Raw Entries'!I:I,Table4[[#This Row],[BOOK No.]])</f>
        <v>0</v>
      </c>
      <c r="E639" s="1">
        <f t="array" ref="E639">IF(OR(Table4[[#This Row],[INSTALLMENT]]=1,Table4[[#This Row],[INSTALLMENT]]=2,Table4[[#This Row],[INSTALLMENT]]=3),1,0)</f>
        <v>0</v>
      </c>
      <c r="F639" s="1">
        <f>IF(OR(Table4[[#This Row],[INSTALLMENT]]=2,Table4[[#This Row],[INSTALLMENT]]=3),2,0)</f>
        <v>0</v>
      </c>
      <c r="G639" s="1">
        <f>IF(OR(Table4[[#This Row],[INSTALLMENT]]=3),3,0)</f>
        <v>0</v>
      </c>
    </row>
    <row r="640" spans="1:7">
      <c r="A640" s="1">
        <v>696</v>
      </c>
      <c r="B640" s="1" t="s">
        <v>2451</v>
      </c>
      <c r="C640" s="1" t="s">
        <v>453</v>
      </c>
      <c r="D640" s="1">
        <f>COUNTIFS('Raw Entries'!B:B,Table4[[#This Row],[Name]],'Raw Entries'!I:I,Table4[[#This Row],[BOOK No.]])</f>
        <v>0</v>
      </c>
      <c r="E640" s="1">
        <f t="array" ref="E640">IF(OR(Table4[[#This Row],[INSTALLMENT]]=1,Table4[[#This Row],[INSTALLMENT]]=2,Table4[[#This Row],[INSTALLMENT]]=3),1,0)</f>
        <v>0</v>
      </c>
      <c r="F640" s="1">
        <f>IF(OR(Table4[[#This Row],[INSTALLMENT]]=2,Table4[[#This Row],[INSTALLMENT]]=3),2,0)</f>
        <v>0</v>
      </c>
      <c r="G640" s="1">
        <f>IF(OR(Table4[[#This Row],[INSTALLMENT]]=3),3,0)</f>
        <v>0</v>
      </c>
    </row>
    <row r="641" spans="1:7">
      <c r="A641" s="1">
        <v>697</v>
      </c>
      <c r="B641" s="1" t="s">
        <v>2452</v>
      </c>
      <c r="C641" s="1" t="s">
        <v>453</v>
      </c>
      <c r="D641" s="1">
        <f>COUNTIFS('Raw Entries'!B:B,Table4[[#This Row],[Name]],'Raw Entries'!I:I,Table4[[#This Row],[BOOK No.]])</f>
        <v>0</v>
      </c>
      <c r="E641" s="1">
        <f t="array" ref="E641">IF(OR(Table4[[#This Row],[INSTALLMENT]]=1,Table4[[#This Row],[INSTALLMENT]]=2,Table4[[#This Row],[INSTALLMENT]]=3),1,0)</f>
        <v>0</v>
      </c>
      <c r="F641" s="1">
        <f>IF(OR(Table4[[#This Row],[INSTALLMENT]]=2,Table4[[#This Row],[INSTALLMENT]]=3),2,0)</f>
        <v>0</v>
      </c>
      <c r="G641" s="1">
        <f>IF(OR(Table4[[#This Row],[INSTALLMENT]]=3),3,0)</f>
        <v>0</v>
      </c>
    </row>
    <row r="642" spans="1:7">
      <c r="A642" s="1">
        <v>698</v>
      </c>
      <c r="B642" s="1" t="s">
        <v>2453</v>
      </c>
      <c r="C642" s="1" t="s">
        <v>453</v>
      </c>
      <c r="D642" s="1">
        <f>COUNTIFS('Raw Entries'!B:B,Table4[[#This Row],[Name]],'Raw Entries'!I:I,Table4[[#This Row],[BOOK No.]])</f>
        <v>0</v>
      </c>
      <c r="E642" s="1">
        <f t="array" ref="E642">IF(OR(Table4[[#This Row],[INSTALLMENT]]=1,Table4[[#This Row],[INSTALLMENT]]=2,Table4[[#This Row],[INSTALLMENT]]=3),1,0)</f>
        <v>0</v>
      </c>
      <c r="F642" s="1">
        <f>IF(OR(Table4[[#This Row],[INSTALLMENT]]=2,Table4[[#This Row],[INSTALLMENT]]=3),2,0)</f>
        <v>0</v>
      </c>
      <c r="G642" s="1">
        <f>IF(OR(Table4[[#This Row],[INSTALLMENT]]=3),3,0)</f>
        <v>0</v>
      </c>
    </row>
    <row r="643" spans="1:7">
      <c r="A643" s="1">
        <v>699</v>
      </c>
      <c r="B643" s="1" t="s">
        <v>2454</v>
      </c>
      <c r="C643" s="1" t="s">
        <v>453</v>
      </c>
      <c r="D643" s="1">
        <f>COUNTIFS('Raw Entries'!B:B,Table4[[#This Row],[Name]],'Raw Entries'!I:I,Table4[[#This Row],[BOOK No.]])</f>
        <v>0</v>
      </c>
      <c r="E643" s="1">
        <f t="array" ref="E643">IF(OR(Table4[[#This Row],[INSTALLMENT]]=1,Table4[[#This Row],[INSTALLMENT]]=2,Table4[[#This Row],[INSTALLMENT]]=3),1,0)</f>
        <v>0</v>
      </c>
      <c r="F643" s="1">
        <f>IF(OR(Table4[[#This Row],[INSTALLMENT]]=2,Table4[[#This Row],[INSTALLMENT]]=3),2,0)</f>
        <v>0</v>
      </c>
      <c r="G643" s="1">
        <f>IF(OR(Table4[[#This Row],[INSTALLMENT]]=3),3,0)</f>
        <v>0</v>
      </c>
    </row>
    <row r="644" spans="1:7">
      <c r="A644" s="1">
        <v>700</v>
      </c>
      <c r="B644" s="1" t="s">
        <v>2455</v>
      </c>
      <c r="C644" s="1" t="s">
        <v>453</v>
      </c>
      <c r="D644" s="1">
        <f>COUNTIFS('Raw Entries'!B:B,Table4[[#This Row],[Name]],'Raw Entries'!I:I,Table4[[#This Row],[BOOK No.]])</f>
        <v>0</v>
      </c>
      <c r="E644" s="1">
        <f t="array" ref="E644">IF(OR(Table4[[#This Row],[INSTALLMENT]]=1,Table4[[#This Row],[INSTALLMENT]]=2,Table4[[#This Row],[INSTALLMENT]]=3),1,0)</f>
        <v>0</v>
      </c>
      <c r="F644" s="1">
        <f>IF(OR(Table4[[#This Row],[INSTALLMENT]]=2,Table4[[#This Row],[INSTALLMENT]]=3),2,0)</f>
        <v>0</v>
      </c>
      <c r="G644" s="1">
        <f>IF(OR(Table4[[#This Row],[INSTALLMENT]]=3),3,0)</f>
        <v>0</v>
      </c>
    </row>
    <row r="645" spans="1:7">
      <c r="A645" s="1">
        <v>701</v>
      </c>
      <c r="B645" s="1" t="s">
        <v>2456</v>
      </c>
      <c r="C645" s="1" t="s">
        <v>453</v>
      </c>
      <c r="D645" s="1">
        <f>COUNTIFS('Raw Entries'!B:B,Table4[[#This Row],[Name]],'Raw Entries'!I:I,Table4[[#This Row],[BOOK No.]])</f>
        <v>0</v>
      </c>
      <c r="E645" s="1">
        <f t="array" ref="E645">IF(OR(Table4[[#This Row],[INSTALLMENT]]=1,Table4[[#This Row],[INSTALLMENT]]=2,Table4[[#This Row],[INSTALLMENT]]=3),1,0)</f>
        <v>0</v>
      </c>
      <c r="F645" s="1">
        <f>IF(OR(Table4[[#This Row],[INSTALLMENT]]=2,Table4[[#This Row],[INSTALLMENT]]=3),2,0)</f>
        <v>0</v>
      </c>
      <c r="G645" s="1">
        <f>IF(OR(Table4[[#This Row],[INSTALLMENT]]=3),3,0)</f>
        <v>0</v>
      </c>
    </row>
    <row r="646" spans="1:7">
      <c r="A646" s="1">
        <v>702</v>
      </c>
      <c r="B646" s="1" t="s">
        <v>2457</v>
      </c>
      <c r="C646" s="1" t="s">
        <v>453</v>
      </c>
      <c r="D646" s="1">
        <f>COUNTIFS('Raw Entries'!B:B,Table4[[#This Row],[Name]],'Raw Entries'!I:I,Table4[[#This Row],[BOOK No.]])</f>
        <v>0</v>
      </c>
      <c r="E646" s="1">
        <f t="array" ref="E646">IF(OR(Table4[[#This Row],[INSTALLMENT]]=1,Table4[[#This Row],[INSTALLMENT]]=2,Table4[[#This Row],[INSTALLMENT]]=3),1,0)</f>
        <v>0</v>
      </c>
      <c r="F646" s="1">
        <f>IF(OR(Table4[[#This Row],[INSTALLMENT]]=2,Table4[[#This Row],[INSTALLMENT]]=3),2,0)</f>
        <v>0</v>
      </c>
      <c r="G646" s="1">
        <f>IF(OR(Table4[[#This Row],[INSTALLMENT]]=3),3,0)</f>
        <v>0</v>
      </c>
    </row>
    <row r="647" spans="1:7">
      <c r="A647" s="1">
        <v>703</v>
      </c>
      <c r="B647" s="1" t="s">
        <v>2458</v>
      </c>
      <c r="C647" s="1" t="s">
        <v>453</v>
      </c>
      <c r="D647" s="1">
        <f>COUNTIFS('Raw Entries'!B:B,Table4[[#This Row],[Name]],'Raw Entries'!I:I,Table4[[#This Row],[BOOK No.]])</f>
        <v>0</v>
      </c>
      <c r="E647" s="1">
        <f t="array" ref="E647">IF(OR(Table4[[#This Row],[INSTALLMENT]]=1,Table4[[#This Row],[INSTALLMENT]]=2,Table4[[#This Row],[INSTALLMENT]]=3),1,0)</f>
        <v>0</v>
      </c>
      <c r="F647" s="1">
        <f>IF(OR(Table4[[#This Row],[INSTALLMENT]]=2,Table4[[#This Row],[INSTALLMENT]]=3),2,0)</f>
        <v>0</v>
      </c>
      <c r="G647" s="1">
        <f>IF(OR(Table4[[#This Row],[INSTALLMENT]]=3),3,0)</f>
        <v>0</v>
      </c>
    </row>
    <row r="648" spans="1:7">
      <c r="A648" s="1">
        <v>704</v>
      </c>
      <c r="B648" s="1" t="s">
        <v>2459</v>
      </c>
      <c r="C648" s="1" t="s">
        <v>453</v>
      </c>
      <c r="D648" s="1">
        <f>COUNTIFS('Raw Entries'!B:B,Table4[[#This Row],[Name]],'Raw Entries'!I:I,Table4[[#This Row],[BOOK No.]])</f>
        <v>0</v>
      </c>
      <c r="E648" s="1">
        <f t="array" ref="E648">IF(OR(Table4[[#This Row],[INSTALLMENT]]=1,Table4[[#This Row],[INSTALLMENT]]=2,Table4[[#This Row],[INSTALLMENT]]=3),1,0)</f>
        <v>0</v>
      </c>
      <c r="F648" s="1">
        <f>IF(OR(Table4[[#This Row],[INSTALLMENT]]=2,Table4[[#This Row],[INSTALLMENT]]=3),2,0)</f>
        <v>0</v>
      </c>
      <c r="G648" s="1">
        <f>IF(OR(Table4[[#This Row],[INSTALLMENT]]=3),3,0)</f>
        <v>0</v>
      </c>
    </row>
    <row r="649" spans="1:7">
      <c r="A649" s="1">
        <v>705</v>
      </c>
      <c r="B649" s="1" t="s">
        <v>458</v>
      </c>
      <c r="C649" s="1" t="s">
        <v>453</v>
      </c>
      <c r="D649" s="1">
        <f>COUNTIFS('Raw Entries'!B:B,Table4[[#This Row],[Name]],'Raw Entries'!I:I,Table4[[#This Row],[BOOK No.]])</f>
        <v>3</v>
      </c>
      <c r="E649" s="1">
        <f t="array" ref="E649">IF(OR(Table4[[#This Row],[INSTALLMENT]]=1,Table4[[#This Row],[INSTALLMENT]]=2,Table4[[#This Row],[INSTALLMENT]]=3),1,0)</f>
        <v>1</v>
      </c>
      <c r="F649" s="1">
        <f>IF(OR(Table4[[#This Row],[INSTALLMENT]]=2,Table4[[#This Row],[INSTALLMENT]]=3),2,0)</f>
        <v>2</v>
      </c>
      <c r="G649" s="1">
        <f>IF(OR(Table4[[#This Row],[INSTALLMENT]]=3),3,0)</f>
        <v>3</v>
      </c>
    </row>
    <row r="650" spans="1:7">
      <c r="A650" s="1">
        <v>706</v>
      </c>
      <c r="B650" s="1" t="s">
        <v>2460</v>
      </c>
      <c r="C650" s="1" t="s">
        <v>453</v>
      </c>
      <c r="D650" s="1">
        <f>COUNTIFS('Raw Entries'!B:B,Table4[[#This Row],[Name]],'Raw Entries'!I:I,Table4[[#This Row],[BOOK No.]])</f>
        <v>0</v>
      </c>
      <c r="E650" s="1">
        <f t="array" ref="E650">IF(OR(Table4[[#This Row],[INSTALLMENT]]=1,Table4[[#This Row],[INSTALLMENT]]=2,Table4[[#This Row],[INSTALLMENT]]=3),1,0)</f>
        <v>0</v>
      </c>
      <c r="F650" s="1">
        <f>IF(OR(Table4[[#This Row],[INSTALLMENT]]=2,Table4[[#This Row],[INSTALLMENT]]=3),2,0)</f>
        <v>0</v>
      </c>
      <c r="G650" s="1">
        <f>IF(OR(Table4[[#This Row],[INSTALLMENT]]=3),3,0)</f>
        <v>0</v>
      </c>
    </row>
    <row r="651" spans="1:7">
      <c r="A651" s="1">
        <v>707</v>
      </c>
      <c r="B651" s="1" t="s">
        <v>462</v>
      </c>
      <c r="C651" s="1" t="s">
        <v>453</v>
      </c>
      <c r="D651" s="1">
        <f>COUNTIFS('Raw Entries'!B:B,Table4[[#This Row],[Name]],'Raw Entries'!I:I,Table4[[#This Row],[BOOK No.]])</f>
        <v>3</v>
      </c>
      <c r="E651" s="1">
        <f t="array" ref="E651">IF(OR(Table4[[#This Row],[INSTALLMENT]]=1,Table4[[#This Row],[INSTALLMENT]]=2,Table4[[#This Row],[INSTALLMENT]]=3),1,0)</f>
        <v>1</v>
      </c>
      <c r="F651" s="1">
        <f>IF(OR(Table4[[#This Row],[INSTALLMENT]]=2,Table4[[#This Row],[INSTALLMENT]]=3),2,0)</f>
        <v>2</v>
      </c>
      <c r="G651" s="1">
        <f>IF(OR(Table4[[#This Row],[INSTALLMENT]]=3),3,0)</f>
        <v>3</v>
      </c>
    </row>
    <row r="652" spans="1:7">
      <c r="A652" s="1">
        <v>708</v>
      </c>
      <c r="B652" s="1" t="s">
        <v>456</v>
      </c>
      <c r="C652" s="1" t="s">
        <v>453</v>
      </c>
      <c r="D652" s="1">
        <f>COUNTIFS('Raw Entries'!B:B,Table4[[#This Row],[Name]],'Raw Entries'!I:I,Table4[[#This Row],[BOOK No.]])</f>
        <v>3</v>
      </c>
      <c r="E652" s="1">
        <f t="array" ref="E652">IF(OR(Table4[[#This Row],[INSTALLMENT]]=1,Table4[[#This Row],[INSTALLMENT]]=2,Table4[[#This Row],[INSTALLMENT]]=3),1,0)</f>
        <v>1</v>
      </c>
      <c r="F652" s="1">
        <f>IF(OR(Table4[[#This Row],[INSTALLMENT]]=2,Table4[[#This Row],[INSTALLMENT]]=3),2,0)</f>
        <v>2</v>
      </c>
      <c r="G652" s="1">
        <f>IF(OR(Table4[[#This Row],[INSTALLMENT]]=3),3,0)</f>
        <v>3</v>
      </c>
    </row>
    <row r="653" spans="1:7">
      <c r="A653" s="1">
        <v>709</v>
      </c>
      <c r="B653" s="1" t="s">
        <v>461</v>
      </c>
      <c r="C653" s="1" t="s">
        <v>453</v>
      </c>
      <c r="D653" s="1">
        <f>COUNTIFS('Raw Entries'!B:B,Table4[[#This Row],[Name]],'Raw Entries'!I:I,Table4[[#This Row],[BOOK No.]])</f>
        <v>3</v>
      </c>
      <c r="E653" s="1">
        <f t="array" ref="E653">IF(OR(Table4[[#This Row],[INSTALLMENT]]=1,Table4[[#This Row],[INSTALLMENT]]=2,Table4[[#This Row],[INSTALLMENT]]=3),1,0)</f>
        <v>1</v>
      </c>
      <c r="F653" s="1">
        <f>IF(OR(Table4[[#This Row],[INSTALLMENT]]=2,Table4[[#This Row],[INSTALLMENT]]=3),2,0)</f>
        <v>2</v>
      </c>
      <c r="G653" s="1">
        <f>IF(OR(Table4[[#This Row],[INSTALLMENT]]=3),3,0)</f>
        <v>3</v>
      </c>
    </row>
    <row r="654" spans="1:7">
      <c r="A654" s="1">
        <v>710</v>
      </c>
      <c r="B654" s="1" t="s">
        <v>681</v>
      </c>
      <c r="C654" s="1" t="s">
        <v>453</v>
      </c>
      <c r="D654" s="1">
        <f>COUNTIFS('Raw Entries'!B:B,Table4[[#This Row],[Name]],'Raw Entries'!I:I,Table4[[#This Row],[BOOK No.]])</f>
        <v>1</v>
      </c>
      <c r="E654" s="1">
        <f t="array" ref="E654">IF(OR(Table4[[#This Row],[INSTALLMENT]]=1,Table4[[#This Row],[INSTALLMENT]]=2,Table4[[#This Row],[INSTALLMENT]]=3),1,0)</f>
        <v>1</v>
      </c>
      <c r="F654" s="1">
        <f>IF(OR(Table4[[#This Row],[INSTALLMENT]]=2,Table4[[#This Row],[INSTALLMENT]]=3),2,0)</f>
        <v>0</v>
      </c>
      <c r="G654" s="1">
        <f>IF(OR(Table4[[#This Row],[INSTALLMENT]]=3),3,0)</f>
        <v>0</v>
      </c>
    </row>
    <row r="655" spans="1:7">
      <c r="A655" s="1">
        <v>711</v>
      </c>
      <c r="B655" s="1" t="s">
        <v>460</v>
      </c>
      <c r="C655" s="1" t="s">
        <v>453</v>
      </c>
      <c r="D655" s="1">
        <f>COUNTIFS('Raw Entries'!B:B,Table4[[#This Row],[Name]],'Raw Entries'!I:I,Table4[[#This Row],[BOOK No.]])</f>
        <v>3</v>
      </c>
      <c r="E655" s="1">
        <f t="array" ref="E655">IF(OR(Table4[[#This Row],[INSTALLMENT]]=1,Table4[[#This Row],[INSTALLMENT]]=2,Table4[[#This Row],[INSTALLMENT]]=3),1,0)</f>
        <v>1</v>
      </c>
      <c r="F655" s="1">
        <f>IF(OR(Table4[[#This Row],[INSTALLMENT]]=2,Table4[[#This Row],[INSTALLMENT]]=3),2,0)</f>
        <v>2</v>
      </c>
      <c r="G655" s="1">
        <f>IF(OR(Table4[[#This Row],[INSTALLMENT]]=3),3,0)</f>
        <v>3</v>
      </c>
    </row>
    <row r="656" spans="1:7">
      <c r="A656" s="1">
        <v>712</v>
      </c>
      <c r="B656" s="1" t="s">
        <v>2461</v>
      </c>
      <c r="C656" s="1" t="s">
        <v>453</v>
      </c>
      <c r="D656" s="1">
        <f>COUNTIFS('Raw Entries'!B:B,Table4[[#This Row],[Name]],'Raw Entries'!I:I,Table4[[#This Row],[BOOK No.]])</f>
        <v>0</v>
      </c>
      <c r="E656" s="1">
        <f t="array" ref="E656">IF(OR(Table4[[#This Row],[INSTALLMENT]]=1,Table4[[#This Row],[INSTALLMENT]]=2,Table4[[#This Row],[INSTALLMENT]]=3),1,0)</f>
        <v>0</v>
      </c>
      <c r="F656" s="1">
        <f>IF(OR(Table4[[#This Row],[INSTALLMENT]]=2,Table4[[#This Row],[INSTALLMENT]]=3),2,0)</f>
        <v>0</v>
      </c>
      <c r="G656" s="1">
        <f>IF(OR(Table4[[#This Row],[INSTALLMENT]]=3),3,0)</f>
        <v>0</v>
      </c>
    </row>
    <row r="657" spans="1:7">
      <c r="A657" s="1">
        <v>713</v>
      </c>
      <c r="B657" s="1" t="s">
        <v>2462</v>
      </c>
      <c r="C657" s="1" t="s">
        <v>453</v>
      </c>
      <c r="D657" s="1">
        <f>COUNTIFS('Raw Entries'!B:B,Table4[[#This Row],[Name]],'Raw Entries'!I:I,Table4[[#This Row],[BOOK No.]])</f>
        <v>0</v>
      </c>
      <c r="E657" s="1">
        <f t="array" ref="E657">IF(OR(Table4[[#This Row],[INSTALLMENT]]=1,Table4[[#This Row],[INSTALLMENT]]=2,Table4[[#This Row],[INSTALLMENT]]=3),1,0)</f>
        <v>0</v>
      </c>
      <c r="F657" s="1">
        <f>IF(OR(Table4[[#This Row],[INSTALLMENT]]=2,Table4[[#This Row],[INSTALLMENT]]=3),2,0)</f>
        <v>0</v>
      </c>
      <c r="G657" s="1">
        <f>IF(OR(Table4[[#This Row],[INSTALLMENT]]=3),3,0)</f>
        <v>0</v>
      </c>
    </row>
    <row r="658" spans="1:7">
      <c r="A658" s="1">
        <v>714</v>
      </c>
      <c r="B658" s="1" t="s">
        <v>2463</v>
      </c>
      <c r="C658" s="1" t="s">
        <v>453</v>
      </c>
      <c r="D658" s="1">
        <f>COUNTIFS('Raw Entries'!B:B,Table4[[#This Row],[Name]],'Raw Entries'!I:I,Table4[[#This Row],[BOOK No.]])</f>
        <v>0</v>
      </c>
      <c r="E658" s="1">
        <f t="array" ref="E658">IF(OR(Table4[[#This Row],[INSTALLMENT]]=1,Table4[[#This Row],[INSTALLMENT]]=2,Table4[[#This Row],[INSTALLMENT]]=3),1,0)</f>
        <v>0</v>
      </c>
      <c r="F658" s="1">
        <f>IF(OR(Table4[[#This Row],[INSTALLMENT]]=2,Table4[[#This Row],[INSTALLMENT]]=3),2,0)</f>
        <v>0</v>
      </c>
      <c r="G658" s="1">
        <f>IF(OR(Table4[[#This Row],[INSTALLMENT]]=3),3,0)</f>
        <v>0</v>
      </c>
    </row>
    <row r="659" spans="1:7">
      <c r="A659" s="1">
        <v>715</v>
      </c>
      <c r="B659" s="1" t="s">
        <v>2464</v>
      </c>
      <c r="C659" s="1" t="s">
        <v>453</v>
      </c>
      <c r="D659" s="1">
        <f>COUNTIFS('Raw Entries'!B:B,Table4[[#This Row],[Name]],'Raw Entries'!I:I,Table4[[#This Row],[BOOK No.]])</f>
        <v>0</v>
      </c>
      <c r="E659" s="1">
        <f t="array" ref="E659">IF(OR(Table4[[#This Row],[INSTALLMENT]]=1,Table4[[#This Row],[INSTALLMENT]]=2,Table4[[#This Row],[INSTALLMENT]]=3),1,0)</f>
        <v>0</v>
      </c>
      <c r="F659" s="1">
        <f>IF(OR(Table4[[#This Row],[INSTALLMENT]]=2,Table4[[#This Row],[INSTALLMENT]]=3),2,0)</f>
        <v>0</v>
      </c>
      <c r="G659" s="1">
        <f>IF(OR(Table4[[#This Row],[INSTALLMENT]]=3),3,0)</f>
        <v>0</v>
      </c>
    </row>
    <row r="660" spans="1:7">
      <c r="A660" s="1">
        <v>716</v>
      </c>
      <c r="B660" s="1" t="s">
        <v>457</v>
      </c>
      <c r="C660" s="1" t="s">
        <v>453</v>
      </c>
      <c r="D660" s="1">
        <f>COUNTIFS('Raw Entries'!B:B,Table4[[#This Row],[Name]],'Raw Entries'!I:I,Table4[[#This Row],[BOOK No.]])</f>
        <v>1</v>
      </c>
      <c r="E660" s="1">
        <f t="array" ref="E660">IF(OR(Table4[[#This Row],[INSTALLMENT]]=1,Table4[[#This Row],[INSTALLMENT]]=2,Table4[[#This Row],[INSTALLMENT]]=3),1,0)</f>
        <v>1</v>
      </c>
      <c r="F660" s="1">
        <f>IF(OR(Table4[[#This Row],[INSTALLMENT]]=2,Table4[[#This Row],[INSTALLMENT]]=3),2,0)</f>
        <v>0</v>
      </c>
      <c r="G660" s="1">
        <f>IF(OR(Table4[[#This Row],[INSTALLMENT]]=3),3,0)</f>
        <v>0</v>
      </c>
    </row>
    <row r="661" spans="1:7">
      <c r="A661" s="1">
        <v>717</v>
      </c>
      <c r="B661" s="1" t="s">
        <v>454</v>
      </c>
      <c r="C661" s="1" t="s">
        <v>453</v>
      </c>
      <c r="D661" s="1">
        <f>COUNTIFS('Raw Entries'!B:B,Table4[[#This Row],[Name]],'Raw Entries'!I:I,Table4[[#This Row],[BOOK No.]])</f>
        <v>1</v>
      </c>
      <c r="E661" s="1">
        <f t="array" ref="E661">IF(OR(Table4[[#This Row],[INSTALLMENT]]=1,Table4[[#This Row],[INSTALLMENT]]=2,Table4[[#This Row],[INSTALLMENT]]=3),1,0)</f>
        <v>1</v>
      </c>
      <c r="F661" s="1">
        <f>IF(OR(Table4[[#This Row],[INSTALLMENT]]=2,Table4[[#This Row],[INSTALLMENT]]=3),2,0)</f>
        <v>0</v>
      </c>
      <c r="G661" s="1">
        <f>IF(OR(Table4[[#This Row],[INSTALLMENT]]=3),3,0)</f>
        <v>0</v>
      </c>
    </row>
    <row r="662" spans="1:7">
      <c r="A662" s="1">
        <v>718</v>
      </c>
      <c r="B662" s="1" t="s">
        <v>455</v>
      </c>
      <c r="C662" s="1" t="s">
        <v>453</v>
      </c>
      <c r="D662" s="1">
        <f>COUNTIFS('Raw Entries'!B:B,Table4[[#This Row],[Name]],'Raw Entries'!I:I,Table4[[#This Row],[BOOK No.]])</f>
        <v>3</v>
      </c>
      <c r="E662" s="1">
        <f t="array" ref="E662">IF(OR(Table4[[#This Row],[INSTALLMENT]]=1,Table4[[#This Row],[INSTALLMENT]]=2,Table4[[#This Row],[INSTALLMENT]]=3),1,0)</f>
        <v>1</v>
      </c>
      <c r="F662" s="1">
        <f>IF(OR(Table4[[#This Row],[INSTALLMENT]]=2,Table4[[#This Row],[INSTALLMENT]]=3),2,0)</f>
        <v>2</v>
      </c>
      <c r="G662" s="1">
        <f>IF(OR(Table4[[#This Row],[INSTALLMENT]]=3),3,0)</f>
        <v>3</v>
      </c>
    </row>
    <row r="663" spans="1:7">
      <c r="A663" s="1">
        <v>719</v>
      </c>
      <c r="B663" s="1" t="s">
        <v>2465</v>
      </c>
      <c r="C663" s="1" t="s">
        <v>453</v>
      </c>
      <c r="D663" s="1">
        <f>COUNTIFS('Raw Entries'!B:B,Table4[[#This Row],[Name]],'Raw Entries'!I:I,Table4[[#This Row],[BOOK No.]])</f>
        <v>0</v>
      </c>
      <c r="E663" s="1">
        <f t="array" ref="E663">IF(OR(Table4[[#This Row],[INSTALLMENT]]=1,Table4[[#This Row],[INSTALLMENT]]=2,Table4[[#This Row],[INSTALLMENT]]=3),1,0)</f>
        <v>0</v>
      </c>
      <c r="F663" s="1">
        <f>IF(OR(Table4[[#This Row],[INSTALLMENT]]=2,Table4[[#This Row],[INSTALLMENT]]=3),2,0)</f>
        <v>0</v>
      </c>
      <c r="G663" s="1">
        <f>IF(OR(Table4[[#This Row],[INSTALLMENT]]=3),3,0)</f>
        <v>0</v>
      </c>
    </row>
    <row r="664" spans="1:7">
      <c r="A664" s="1">
        <v>720</v>
      </c>
      <c r="B664" s="1" t="s">
        <v>2466</v>
      </c>
      <c r="C664" s="1" t="s">
        <v>453</v>
      </c>
      <c r="D664" s="1">
        <f>COUNTIFS('Raw Entries'!B:B,Table4[[#This Row],[Name]],'Raw Entries'!I:I,Table4[[#This Row],[BOOK No.]])</f>
        <v>0</v>
      </c>
      <c r="E664" s="1">
        <f t="array" ref="E664">IF(OR(Table4[[#This Row],[INSTALLMENT]]=1,Table4[[#This Row],[INSTALLMENT]]=2,Table4[[#This Row],[INSTALLMENT]]=3),1,0)</f>
        <v>0</v>
      </c>
      <c r="F664" s="1">
        <f>IF(OR(Table4[[#This Row],[INSTALLMENT]]=2,Table4[[#This Row],[INSTALLMENT]]=3),2,0)</f>
        <v>0</v>
      </c>
      <c r="G664" s="1">
        <f>IF(OR(Table4[[#This Row],[INSTALLMENT]]=3),3,0)</f>
        <v>0</v>
      </c>
    </row>
    <row r="665" spans="1:7">
      <c r="A665" s="1">
        <v>721</v>
      </c>
      <c r="B665" s="1" t="s">
        <v>2467</v>
      </c>
      <c r="C665" s="1" t="s">
        <v>453</v>
      </c>
      <c r="D665" s="1">
        <f>COUNTIFS('Raw Entries'!B:B,Table4[[#This Row],[Name]],'Raw Entries'!I:I,Table4[[#This Row],[BOOK No.]])</f>
        <v>0</v>
      </c>
      <c r="E665" s="1">
        <f t="array" ref="E665">IF(OR(Table4[[#This Row],[INSTALLMENT]]=1,Table4[[#This Row],[INSTALLMENT]]=2,Table4[[#This Row],[INSTALLMENT]]=3),1,0)</f>
        <v>0</v>
      </c>
      <c r="F665" s="1">
        <f>IF(OR(Table4[[#This Row],[INSTALLMENT]]=2,Table4[[#This Row],[INSTALLMENT]]=3),2,0)</f>
        <v>0</v>
      </c>
      <c r="G665" s="1">
        <f>IF(OR(Table4[[#This Row],[INSTALLMENT]]=3),3,0)</f>
        <v>0</v>
      </c>
    </row>
    <row r="666" spans="1:7">
      <c r="A666" s="1">
        <v>722</v>
      </c>
      <c r="B666" s="1" t="s">
        <v>459</v>
      </c>
      <c r="C666" s="1" t="s">
        <v>453</v>
      </c>
      <c r="D666" s="1">
        <f>COUNTIFS('Raw Entries'!B:B,Table4[[#This Row],[Name]],'Raw Entries'!I:I,Table4[[#This Row],[BOOK No.]])</f>
        <v>2</v>
      </c>
      <c r="E666" s="1">
        <f t="array" ref="E666">IF(OR(Table4[[#This Row],[INSTALLMENT]]=1,Table4[[#This Row],[INSTALLMENT]]=2,Table4[[#This Row],[INSTALLMENT]]=3),1,0)</f>
        <v>1</v>
      </c>
      <c r="F666" s="1">
        <f>IF(OR(Table4[[#This Row],[INSTALLMENT]]=2,Table4[[#This Row],[INSTALLMENT]]=3),2,0)</f>
        <v>2</v>
      </c>
      <c r="G666" s="1">
        <f>IF(OR(Table4[[#This Row],[INSTALLMENT]]=3),3,0)</f>
        <v>0</v>
      </c>
    </row>
    <row r="667" spans="1:7">
      <c r="A667" s="1">
        <v>723</v>
      </c>
      <c r="B667" s="1" t="s">
        <v>659</v>
      </c>
      <c r="C667" s="1" t="s">
        <v>453</v>
      </c>
      <c r="D667" s="1">
        <f>COUNTIFS('Raw Entries'!B:B,Table4[[#This Row],[Name]],'Raw Entries'!I:I,Table4[[#This Row],[BOOK No.]])</f>
        <v>1</v>
      </c>
      <c r="E667" s="1">
        <f t="array" ref="E667">IF(OR(Table4[[#This Row],[INSTALLMENT]]=1,Table4[[#This Row],[INSTALLMENT]]=2,Table4[[#This Row],[INSTALLMENT]]=3),1,0)</f>
        <v>1</v>
      </c>
      <c r="F667" s="1">
        <f>IF(OR(Table4[[#This Row],[INSTALLMENT]]=2,Table4[[#This Row],[INSTALLMENT]]=3),2,0)</f>
        <v>0</v>
      </c>
      <c r="G667" s="1">
        <f>IF(OR(Table4[[#This Row],[INSTALLMENT]]=3),3,0)</f>
        <v>0</v>
      </c>
    </row>
    <row r="668" spans="1:7">
      <c r="A668" s="1">
        <v>724</v>
      </c>
      <c r="B668" s="1" t="s">
        <v>656</v>
      </c>
      <c r="C668" s="1" t="s">
        <v>453</v>
      </c>
      <c r="D668" s="1">
        <f>COUNTIFS('Raw Entries'!B:B,Table4[[#This Row],[Name]],'Raw Entries'!I:I,Table4[[#This Row],[BOOK No.]])</f>
        <v>2</v>
      </c>
      <c r="E668" s="1">
        <f t="array" ref="E668">IF(OR(Table4[[#This Row],[INSTALLMENT]]=1,Table4[[#This Row],[INSTALLMENT]]=2,Table4[[#This Row],[INSTALLMENT]]=3),1,0)</f>
        <v>1</v>
      </c>
      <c r="F668" s="1">
        <f>IF(OR(Table4[[#This Row],[INSTALLMENT]]=2,Table4[[#This Row],[INSTALLMENT]]=3),2,0)</f>
        <v>2</v>
      </c>
      <c r="G668" s="1">
        <f>IF(OR(Table4[[#This Row],[INSTALLMENT]]=3),3,0)</f>
        <v>0</v>
      </c>
    </row>
    <row r="669" spans="1:7">
      <c r="A669" s="1">
        <v>725</v>
      </c>
      <c r="B669" s="1" t="s">
        <v>2468</v>
      </c>
      <c r="C669" s="1" t="s">
        <v>453</v>
      </c>
      <c r="D669" s="1">
        <f>COUNTIFS('Raw Entries'!B:B,Table4[[#This Row],[Name]],'Raw Entries'!I:I,Table4[[#This Row],[BOOK No.]])</f>
        <v>0</v>
      </c>
      <c r="E669" s="1">
        <f t="array" ref="E669">IF(OR(Table4[[#This Row],[INSTALLMENT]]=1,Table4[[#This Row],[INSTALLMENT]]=2,Table4[[#This Row],[INSTALLMENT]]=3),1,0)</f>
        <v>0</v>
      </c>
      <c r="F669" s="1">
        <f>IF(OR(Table4[[#This Row],[INSTALLMENT]]=2,Table4[[#This Row],[INSTALLMENT]]=3),2,0)</f>
        <v>0</v>
      </c>
      <c r="G669" s="1">
        <f>IF(OR(Table4[[#This Row],[INSTALLMENT]]=3),3,0)</f>
        <v>0</v>
      </c>
    </row>
    <row r="670" spans="1:7">
      <c r="A670" s="1">
        <v>726</v>
      </c>
      <c r="B670" s="1" t="s">
        <v>2469</v>
      </c>
      <c r="C670" s="1" t="s">
        <v>453</v>
      </c>
      <c r="D670" s="1">
        <f>COUNTIFS('Raw Entries'!B:B,Table4[[#This Row],[Name]],'Raw Entries'!I:I,Table4[[#This Row],[BOOK No.]])</f>
        <v>0</v>
      </c>
      <c r="E670" s="1">
        <f t="array" ref="E670">IF(OR(Table4[[#This Row],[INSTALLMENT]]=1,Table4[[#This Row],[INSTALLMENT]]=2,Table4[[#This Row],[INSTALLMENT]]=3),1,0)</f>
        <v>0</v>
      </c>
      <c r="F670" s="1">
        <f>IF(OR(Table4[[#This Row],[INSTALLMENT]]=2,Table4[[#This Row],[INSTALLMENT]]=3),2,0)</f>
        <v>0</v>
      </c>
      <c r="G670" s="1">
        <f>IF(OR(Table4[[#This Row],[INSTALLMENT]]=3),3,0)</f>
        <v>0</v>
      </c>
    </row>
    <row r="671" spans="1:7">
      <c r="A671" s="1">
        <v>727</v>
      </c>
      <c r="B671" s="1" t="s">
        <v>2470</v>
      </c>
      <c r="C671" s="1" t="s">
        <v>453</v>
      </c>
      <c r="D671" s="1">
        <f>COUNTIFS('Raw Entries'!B:B,Table4[[#This Row],[Name]],'Raw Entries'!I:I,Table4[[#This Row],[BOOK No.]])</f>
        <v>0</v>
      </c>
      <c r="E671" s="1">
        <f t="array" ref="E671">IF(OR(Table4[[#This Row],[INSTALLMENT]]=1,Table4[[#This Row],[INSTALLMENT]]=2,Table4[[#This Row],[INSTALLMENT]]=3),1,0)</f>
        <v>0</v>
      </c>
      <c r="F671" s="1">
        <f>IF(OR(Table4[[#This Row],[INSTALLMENT]]=2,Table4[[#This Row],[INSTALLMENT]]=3),2,0)</f>
        <v>0</v>
      </c>
      <c r="G671" s="1">
        <f>IF(OR(Table4[[#This Row],[INSTALLMENT]]=3),3,0)</f>
        <v>0</v>
      </c>
    </row>
    <row r="672" spans="1:7">
      <c r="A672" s="1">
        <v>728</v>
      </c>
      <c r="B672" s="1" t="s">
        <v>2471</v>
      </c>
      <c r="C672" s="1" t="s">
        <v>453</v>
      </c>
      <c r="D672" s="1">
        <f>COUNTIFS('Raw Entries'!B:B,Table4[[#This Row],[Name]],'Raw Entries'!I:I,Table4[[#This Row],[BOOK No.]])</f>
        <v>0</v>
      </c>
      <c r="E672" s="1">
        <f t="array" ref="E672">IF(OR(Table4[[#This Row],[INSTALLMENT]]=1,Table4[[#This Row],[INSTALLMENT]]=2,Table4[[#This Row],[INSTALLMENT]]=3),1,0)</f>
        <v>0</v>
      </c>
      <c r="F672" s="1">
        <f>IF(OR(Table4[[#This Row],[INSTALLMENT]]=2,Table4[[#This Row],[INSTALLMENT]]=3),2,0)</f>
        <v>0</v>
      </c>
      <c r="G672" s="1">
        <f>IF(OR(Table4[[#This Row],[INSTALLMENT]]=3),3,0)</f>
        <v>0</v>
      </c>
    </row>
    <row r="673" spans="1:7">
      <c r="A673" s="1">
        <v>729</v>
      </c>
      <c r="B673" s="1" t="s">
        <v>2472</v>
      </c>
      <c r="C673" s="1" t="s">
        <v>463</v>
      </c>
      <c r="D673" s="1">
        <f>COUNTIFS('Raw Entries'!B:B,Table4[[#This Row],[Name]],'Raw Entries'!I:I,Table4[[#This Row],[BOOK No.]])</f>
        <v>0</v>
      </c>
      <c r="E673" s="1">
        <f t="array" ref="E673">IF(OR(Table4[[#This Row],[INSTALLMENT]]=1,Table4[[#This Row],[INSTALLMENT]]=2,Table4[[#This Row],[INSTALLMENT]]=3),1,0)</f>
        <v>0</v>
      </c>
      <c r="F673" s="1">
        <f>IF(OR(Table4[[#This Row],[INSTALLMENT]]=2,Table4[[#This Row],[INSTALLMENT]]=3),2,0)</f>
        <v>0</v>
      </c>
      <c r="G673" s="1">
        <f>IF(OR(Table4[[#This Row],[INSTALLMENT]]=3),3,0)</f>
        <v>0</v>
      </c>
    </row>
    <row r="674" spans="1:7">
      <c r="A674" s="1">
        <v>730</v>
      </c>
      <c r="B674" s="1" t="s">
        <v>630</v>
      </c>
      <c r="C674" s="1" t="s">
        <v>463</v>
      </c>
      <c r="D674" s="1">
        <f>COUNTIFS('Raw Entries'!B:B,Table4[[#This Row],[Name]],'Raw Entries'!I:I,Table4[[#This Row],[BOOK No.]])</f>
        <v>1</v>
      </c>
      <c r="E674" s="1">
        <f t="array" ref="E674">IF(OR(Table4[[#This Row],[INSTALLMENT]]=1,Table4[[#This Row],[INSTALLMENT]]=2,Table4[[#This Row],[INSTALLMENT]]=3),1,0)</f>
        <v>1</v>
      </c>
      <c r="F674" s="1">
        <f>IF(OR(Table4[[#This Row],[INSTALLMENT]]=2,Table4[[#This Row],[INSTALLMENT]]=3),2,0)</f>
        <v>0</v>
      </c>
      <c r="G674" s="1">
        <f>IF(OR(Table4[[#This Row],[INSTALLMENT]]=3),3,0)</f>
        <v>0</v>
      </c>
    </row>
    <row r="675" spans="1:7">
      <c r="A675" s="1">
        <v>731</v>
      </c>
      <c r="B675" s="1" t="s">
        <v>464</v>
      </c>
      <c r="C675" s="1" t="s">
        <v>463</v>
      </c>
      <c r="D675" s="1">
        <f>COUNTIFS('Raw Entries'!B:B,Table4[[#This Row],[Name]],'Raw Entries'!I:I,Table4[[#This Row],[BOOK No.]])</f>
        <v>2</v>
      </c>
      <c r="E675" s="1">
        <f t="array" ref="E675">IF(OR(Table4[[#This Row],[INSTALLMENT]]=1,Table4[[#This Row],[INSTALLMENT]]=2,Table4[[#This Row],[INSTALLMENT]]=3),1,0)</f>
        <v>1</v>
      </c>
      <c r="F675" s="1">
        <f>IF(OR(Table4[[#This Row],[INSTALLMENT]]=2,Table4[[#This Row],[INSTALLMENT]]=3),2,0)</f>
        <v>2</v>
      </c>
      <c r="G675" s="1">
        <f>IF(OR(Table4[[#This Row],[INSTALLMENT]]=3),3,0)</f>
        <v>0</v>
      </c>
    </row>
    <row r="676" spans="1:7">
      <c r="A676" s="1">
        <v>732</v>
      </c>
      <c r="B676" s="1" t="s">
        <v>2473</v>
      </c>
      <c r="C676" s="1" t="s">
        <v>463</v>
      </c>
      <c r="D676" s="1">
        <f>COUNTIFS('Raw Entries'!B:B,Table4[[#This Row],[Name]],'Raw Entries'!I:I,Table4[[#This Row],[BOOK No.]])</f>
        <v>0</v>
      </c>
      <c r="E676" s="1">
        <f t="array" ref="E676">IF(OR(Table4[[#This Row],[INSTALLMENT]]=1,Table4[[#This Row],[INSTALLMENT]]=2,Table4[[#This Row],[INSTALLMENT]]=3),1,0)</f>
        <v>0</v>
      </c>
      <c r="F676" s="1">
        <f>IF(OR(Table4[[#This Row],[INSTALLMENT]]=2,Table4[[#This Row],[INSTALLMENT]]=3),2,0)</f>
        <v>0</v>
      </c>
      <c r="G676" s="1">
        <f>IF(OR(Table4[[#This Row],[INSTALLMENT]]=3),3,0)</f>
        <v>0</v>
      </c>
    </row>
    <row r="677" spans="1:7">
      <c r="A677" s="1">
        <v>733</v>
      </c>
      <c r="B677" s="1" t="s">
        <v>466</v>
      </c>
      <c r="C677" s="1" t="s">
        <v>463</v>
      </c>
      <c r="D677" s="1">
        <f>COUNTIFS('Raw Entries'!B:B,Table4[[#This Row],[Name]],'Raw Entries'!I:I,Table4[[#This Row],[BOOK No.]])</f>
        <v>1</v>
      </c>
      <c r="E677" s="1">
        <f t="array" ref="E677">IF(OR(Table4[[#This Row],[INSTALLMENT]]=1,Table4[[#This Row],[INSTALLMENT]]=2,Table4[[#This Row],[INSTALLMENT]]=3),1,0)</f>
        <v>1</v>
      </c>
      <c r="F677" s="1">
        <f>IF(OR(Table4[[#This Row],[INSTALLMENT]]=2,Table4[[#This Row],[INSTALLMENT]]=3),2,0)</f>
        <v>0</v>
      </c>
      <c r="G677" s="1">
        <f>IF(OR(Table4[[#This Row],[INSTALLMENT]]=3),3,0)</f>
        <v>0</v>
      </c>
    </row>
    <row r="678" spans="1:7">
      <c r="A678" s="1">
        <v>734</v>
      </c>
      <c r="B678" s="1" t="s">
        <v>3943</v>
      </c>
      <c r="C678" s="1" t="s">
        <v>463</v>
      </c>
      <c r="D678" s="1">
        <f>COUNTIFS('Raw Entries'!B:B,Table4[[#This Row],[Name]],'Raw Entries'!I:I,Table4[[#This Row],[BOOK No.]])</f>
        <v>0</v>
      </c>
      <c r="E678" s="1">
        <f t="array" ref="E678">IF(OR(Table4[[#This Row],[INSTALLMENT]]=1,Table4[[#This Row],[INSTALLMENT]]=2,Table4[[#This Row],[INSTALLMENT]]=3),1,0)</f>
        <v>0</v>
      </c>
      <c r="F678" s="1">
        <f>IF(OR(Table4[[#This Row],[INSTALLMENT]]=2,Table4[[#This Row],[INSTALLMENT]]=3),2,0)</f>
        <v>0</v>
      </c>
      <c r="G678" s="1">
        <f>IF(OR(Table4[[#This Row],[INSTALLMENT]]=3),3,0)</f>
        <v>0</v>
      </c>
    </row>
    <row r="679" spans="1:7">
      <c r="A679" s="1">
        <v>735</v>
      </c>
      <c r="B679" s="1" t="s">
        <v>2474</v>
      </c>
      <c r="C679" s="1" t="s">
        <v>463</v>
      </c>
      <c r="D679" s="1">
        <f>COUNTIFS('Raw Entries'!B:B,Table4[[#This Row],[Name]],'Raw Entries'!I:I,Table4[[#This Row],[BOOK No.]])</f>
        <v>0</v>
      </c>
      <c r="E679" s="1">
        <f t="array" ref="E679">IF(OR(Table4[[#This Row],[INSTALLMENT]]=1,Table4[[#This Row],[INSTALLMENT]]=2,Table4[[#This Row],[INSTALLMENT]]=3),1,0)</f>
        <v>0</v>
      </c>
      <c r="F679" s="1">
        <f>IF(OR(Table4[[#This Row],[INSTALLMENT]]=2,Table4[[#This Row],[INSTALLMENT]]=3),2,0)</f>
        <v>0</v>
      </c>
      <c r="G679" s="1">
        <f>IF(OR(Table4[[#This Row],[INSTALLMENT]]=3),3,0)</f>
        <v>0</v>
      </c>
    </row>
    <row r="680" spans="1:7">
      <c r="A680" s="1">
        <v>736</v>
      </c>
      <c r="B680" s="1" t="s">
        <v>2475</v>
      </c>
      <c r="C680" s="1" t="s">
        <v>463</v>
      </c>
      <c r="D680" s="1">
        <f>COUNTIFS('Raw Entries'!B:B,Table4[[#This Row],[Name]],'Raw Entries'!I:I,Table4[[#This Row],[BOOK No.]])</f>
        <v>0</v>
      </c>
      <c r="E680" s="1">
        <f t="array" ref="E680">IF(OR(Table4[[#This Row],[INSTALLMENT]]=1,Table4[[#This Row],[INSTALLMENT]]=2,Table4[[#This Row],[INSTALLMENT]]=3),1,0)</f>
        <v>0</v>
      </c>
      <c r="F680" s="1">
        <f>IF(OR(Table4[[#This Row],[INSTALLMENT]]=2,Table4[[#This Row],[INSTALLMENT]]=3),2,0)</f>
        <v>0</v>
      </c>
      <c r="G680" s="1">
        <f>IF(OR(Table4[[#This Row],[INSTALLMENT]]=3),3,0)</f>
        <v>0</v>
      </c>
    </row>
    <row r="681" spans="1:7">
      <c r="A681" s="1">
        <v>737</v>
      </c>
      <c r="B681" s="1" t="s">
        <v>2476</v>
      </c>
      <c r="C681" s="1" t="s">
        <v>463</v>
      </c>
      <c r="D681" s="1">
        <f>COUNTIFS('Raw Entries'!B:B,Table4[[#This Row],[Name]],'Raw Entries'!I:I,Table4[[#This Row],[BOOK No.]])</f>
        <v>0</v>
      </c>
      <c r="E681" s="1">
        <f t="array" ref="E681">IF(OR(Table4[[#This Row],[INSTALLMENT]]=1,Table4[[#This Row],[INSTALLMENT]]=2,Table4[[#This Row],[INSTALLMENT]]=3),1,0)</f>
        <v>0</v>
      </c>
      <c r="F681" s="1">
        <f>IF(OR(Table4[[#This Row],[INSTALLMENT]]=2,Table4[[#This Row],[INSTALLMENT]]=3),2,0)</f>
        <v>0</v>
      </c>
      <c r="G681" s="1">
        <f>IF(OR(Table4[[#This Row],[INSTALLMENT]]=3),3,0)</f>
        <v>0</v>
      </c>
    </row>
    <row r="682" spans="1:7">
      <c r="A682" s="1">
        <v>738</v>
      </c>
      <c r="B682" s="1" t="s">
        <v>1903</v>
      </c>
      <c r="C682" s="1" t="s">
        <v>463</v>
      </c>
      <c r="D682" s="1">
        <f>COUNTIFS('Raw Entries'!B:B,Table4[[#This Row],[Name]],'Raw Entries'!I:I,Table4[[#This Row],[BOOK No.]])</f>
        <v>1</v>
      </c>
      <c r="E682" s="1">
        <f t="array" ref="E682">IF(OR(Table4[[#This Row],[INSTALLMENT]]=1,Table4[[#This Row],[INSTALLMENT]]=2,Table4[[#This Row],[INSTALLMENT]]=3),1,0)</f>
        <v>1</v>
      </c>
      <c r="F682" s="1">
        <f>IF(OR(Table4[[#This Row],[INSTALLMENT]]=2,Table4[[#This Row],[INSTALLMENT]]=3),2,0)</f>
        <v>0</v>
      </c>
      <c r="G682" s="1">
        <f>IF(OR(Table4[[#This Row],[INSTALLMENT]]=3),3,0)</f>
        <v>0</v>
      </c>
    </row>
    <row r="683" spans="1:7">
      <c r="A683" s="1">
        <v>739</v>
      </c>
      <c r="B683" s="1" t="s">
        <v>2477</v>
      </c>
      <c r="C683" s="1" t="s">
        <v>463</v>
      </c>
      <c r="D683" s="1">
        <f>COUNTIFS('Raw Entries'!B:B,Table4[[#This Row],[Name]],'Raw Entries'!I:I,Table4[[#This Row],[BOOK No.]])</f>
        <v>0</v>
      </c>
      <c r="E683" s="1">
        <f t="array" ref="E683">IF(OR(Table4[[#This Row],[INSTALLMENT]]=1,Table4[[#This Row],[INSTALLMENT]]=2,Table4[[#This Row],[INSTALLMENT]]=3),1,0)</f>
        <v>0</v>
      </c>
      <c r="F683" s="1">
        <f>IF(OR(Table4[[#This Row],[INSTALLMENT]]=2,Table4[[#This Row],[INSTALLMENT]]=3),2,0)</f>
        <v>0</v>
      </c>
      <c r="G683" s="1">
        <f>IF(OR(Table4[[#This Row],[INSTALLMENT]]=3),3,0)</f>
        <v>0</v>
      </c>
    </row>
    <row r="684" spans="1:7">
      <c r="A684" s="1">
        <v>740</v>
      </c>
      <c r="B684" s="1" t="s">
        <v>2478</v>
      </c>
      <c r="C684" s="1" t="s">
        <v>463</v>
      </c>
      <c r="D684" s="1">
        <f>COUNTIFS('Raw Entries'!B:B,Table4[[#This Row],[Name]],'Raw Entries'!I:I,Table4[[#This Row],[BOOK No.]])</f>
        <v>3</v>
      </c>
      <c r="E684" s="1">
        <f t="array" ref="E684">IF(OR(Table4[[#This Row],[INSTALLMENT]]=1,Table4[[#This Row],[INSTALLMENT]]=2,Table4[[#This Row],[INSTALLMENT]]=3),1,0)</f>
        <v>1</v>
      </c>
      <c r="F684" s="1">
        <f>IF(OR(Table4[[#This Row],[INSTALLMENT]]=2,Table4[[#This Row],[INSTALLMENT]]=3),2,0)</f>
        <v>2</v>
      </c>
      <c r="G684" s="1">
        <f>IF(OR(Table4[[#This Row],[INSTALLMENT]]=3),3,0)</f>
        <v>3</v>
      </c>
    </row>
    <row r="685" spans="1:7">
      <c r="A685" s="1">
        <v>741</v>
      </c>
      <c r="B685" s="1" t="s">
        <v>465</v>
      </c>
      <c r="C685" s="1" t="s">
        <v>463</v>
      </c>
      <c r="D685" s="1">
        <f>COUNTIFS('Raw Entries'!B:B,Table4[[#This Row],[Name]],'Raw Entries'!I:I,Table4[[#This Row],[BOOK No.]])</f>
        <v>2</v>
      </c>
      <c r="E685" s="1">
        <f t="array" ref="E685">IF(OR(Table4[[#This Row],[INSTALLMENT]]=1,Table4[[#This Row],[INSTALLMENT]]=2,Table4[[#This Row],[INSTALLMENT]]=3),1,0)</f>
        <v>1</v>
      </c>
      <c r="F685" s="1">
        <f>IF(OR(Table4[[#This Row],[INSTALLMENT]]=2,Table4[[#This Row],[INSTALLMENT]]=3),2,0)</f>
        <v>2</v>
      </c>
      <c r="G685" s="1">
        <f>IF(OR(Table4[[#This Row],[INSTALLMENT]]=3),3,0)</f>
        <v>0</v>
      </c>
    </row>
    <row r="686" spans="1:7">
      <c r="A686" s="1">
        <v>742</v>
      </c>
      <c r="B686" s="1" t="s">
        <v>2479</v>
      </c>
      <c r="C686" s="1" t="s">
        <v>463</v>
      </c>
      <c r="D686" s="1">
        <f>COUNTIFS('Raw Entries'!B:B,Table4[[#This Row],[Name]],'Raw Entries'!I:I,Table4[[#This Row],[BOOK No.]])</f>
        <v>0</v>
      </c>
      <c r="E686" s="1">
        <f t="array" ref="E686">IF(OR(Table4[[#This Row],[INSTALLMENT]]=1,Table4[[#This Row],[INSTALLMENT]]=2,Table4[[#This Row],[INSTALLMENT]]=3),1,0)</f>
        <v>0</v>
      </c>
      <c r="F686" s="1">
        <f>IF(OR(Table4[[#This Row],[INSTALLMENT]]=2,Table4[[#This Row],[INSTALLMENT]]=3),2,0)</f>
        <v>0</v>
      </c>
      <c r="G686" s="1">
        <f>IF(OR(Table4[[#This Row],[INSTALLMENT]]=3),3,0)</f>
        <v>0</v>
      </c>
    </row>
    <row r="687" spans="1:7">
      <c r="A687" s="1">
        <v>743</v>
      </c>
      <c r="B687" s="1" t="s">
        <v>2480</v>
      </c>
      <c r="C687" s="1" t="s">
        <v>421</v>
      </c>
      <c r="D687" s="1">
        <f>COUNTIFS('Raw Entries'!B:B,Table4[[#This Row],[Name]],'Raw Entries'!I:I,Table4[[#This Row],[BOOK No.]])</f>
        <v>0</v>
      </c>
      <c r="E687" s="1">
        <f t="array" ref="E687">IF(OR(Table4[[#This Row],[INSTALLMENT]]=1,Table4[[#This Row],[INSTALLMENT]]=2,Table4[[#This Row],[INSTALLMENT]]=3),1,0)</f>
        <v>0</v>
      </c>
      <c r="F687" s="1">
        <f>IF(OR(Table4[[#This Row],[INSTALLMENT]]=2,Table4[[#This Row],[INSTALLMENT]]=3),2,0)</f>
        <v>0</v>
      </c>
      <c r="G687" s="1">
        <f>IF(OR(Table4[[#This Row],[INSTALLMENT]]=3),3,0)</f>
        <v>0</v>
      </c>
    </row>
    <row r="688" spans="1:7">
      <c r="A688" s="1">
        <v>744</v>
      </c>
      <c r="B688" s="1" t="s">
        <v>2481</v>
      </c>
      <c r="C688" s="1" t="s">
        <v>421</v>
      </c>
      <c r="D688" s="1">
        <f>COUNTIFS('Raw Entries'!B:B,Table4[[#This Row],[Name]],'Raw Entries'!I:I,Table4[[#This Row],[BOOK No.]])</f>
        <v>0</v>
      </c>
      <c r="E688" s="1">
        <f t="array" ref="E688">IF(OR(Table4[[#This Row],[INSTALLMENT]]=1,Table4[[#This Row],[INSTALLMENT]]=2,Table4[[#This Row],[INSTALLMENT]]=3),1,0)</f>
        <v>0</v>
      </c>
      <c r="F688" s="1">
        <f>IF(OR(Table4[[#This Row],[INSTALLMENT]]=2,Table4[[#This Row],[INSTALLMENT]]=3),2,0)</f>
        <v>0</v>
      </c>
      <c r="G688" s="1">
        <f>IF(OR(Table4[[#This Row],[INSTALLMENT]]=3),3,0)</f>
        <v>0</v>
      </c>
    </row>
    <row r="689" spans="1:7">
      <c r="A689" s="1">
        <v>745</v>
      </c>
      <c r="B689" s="1" t="s">
        <v>2482</v>
      </c>
      <c r="C689" s="1" t="s">
        <v>447</v>
      </c>
      <c r="D689" s="1">
        <f>COUNTIFS('Raw Entries'!B:B,Table4[[#This Row],[Name]],'Raw Entries'!I:I,Table4[[#This Row],[BOOK No.]])</f>
        <v>0</v>
      </c>
      <c r="E689" s="1">
        <f t="array" ref="E689">IF(OR(Table4[[#This Row],[INSTALLMENT]]=1,Table4[[#This Row],[INSTALLMENT]]=2,Table4[[#This Row],[INSTALLMENT]]=3),1,0)</f>
        <v>0</v>
      </c>
      <c r="F689" s="1">
        <f>IF(OR(Table4[[#This Row],[INSTALLMENT]]=2,Table4[[#This Row],[INSTALLMENT]]=3),2,0)</f>
        <v>0</v>
      </c>
      <c r="G689" s="1">
        <f>IF(OR(Table4[[#This Row],[INSTALLMENT]]=3),3,0)</f>
        <v>0</v>
      </c>
    </row>
    <row r="690" spans="1:7">
      <c r="A690" s="1">
        <v>746</v>
      </c>
      <c r="B690" s="1" t="s">
        <v>430</v>
      </c>
      <c r="C690" s="1" t="s">
        <v>429</v>
      </c>
      <c r="D690" s="1">
        <f>COUNTIFS('Raw Entries'!B:B,Table4[[#This Row],[Name]],'Raw Entries'!I:I,Table4[[#This Row],[BOOK No.]])</f>
        <v>3</v>
      </c>
      <c r="E690" s="1">
        <f t="array" ref="E690">IF(OR(Table4[[#This Row],[INSTALLMENT]]=1,Table4[[#This Row],[INSTALLMENT]]=2,Table4[[#This Row],[INSTALLMENT]]=3),1,0)</f>
        <v>1</v>
      </c>
      <c r="F690" s="1">
        <f>IF(OR(Table4[[#This Row],[INSTALLMENT]]=2,Table4[[#This Row],[INSTALLMENT]]=3),2,0)</f>
        <v>2</v>
      </c>
      <c r="G690" s="1">
        <f>IF(OR(Table4[[#This Row],[INSTALLMENT]]=3),3,0)</f>
        <v>3</v>
      </c>
    </row>
    <row r="691" spans="1:7">
      <c r="A691" s="1">
        <v>750</v>
      </c>
      <c r="B691" s="1" t="s">
        <v>2483</v>
      </c>
      <c r="C691" s="1" t="s">
        <v>356</v>
      </c>
      <c r="D691" s="1">
        <f>COUNTIFS('Raw Entries'!B:B,Table4[[#This Row],[Name]],'Raw Entries'!I:I,Table4[[#This Row],[BOOK No.]])</f>
        <v>3</v>
      </c>
      <c r="E691" s="1">
        <f t="array" ref="E691">IF(OR(Table4[[#This Row],[INSTALLMENT]]=1,Table4[[#This Row],[INSTALLMENT]]=2,Table4[[#This Row],[INSTALLMENT]]=3),1,0)</f>
        <v>1</v>
      </c>
      <c r="F691" s="1">
        <f>IF(OR(Table4[[#This Row],[INSTALLMENT]]=2,Table4[[#This Row],[INSTALLMENT]]=3),2,0)</f>
        <v>2</v>
      </c>
      <c r="G691" s="1">
        <f>IF(OR(Table4[[#This Row],[INSTALLMENT]]=3),3,0)</f>
        <v>3</v>
      </c>
    </row>
    <row r="692" spans="1:7">
      <c r="A692" s="1">
        <v>751</v>
      </c>
      <c r="B692" s="1" t="s">
        <v>2484</v>
      </c>
      <c r="C692" s="1" t="s">
        <v>356</v>
      </c>
      <c r="D692" s="1">
        <f>COUNTIFS('Raw Entries'!B:B,Table4[[#This Row],[Name]],'Raw Entries'!I:I,Table4[[#This Row],[BOOK No.]])</f>
        <v>3</v>
      </c>
      <c r="E692" s="1">
        <f t="array" ref="E692">IF(OR(Table4[[#This Row],[INSTALLMENT]]=1,Table4[[#This Row],[INSTALLMENT]]=2,Table4[[#This Row],[INSTALLMENT]]=3),1,0)</f>
        <v>1</v>
      </c>
      <c r="F692" s="1">
        <f>IF(OR(Table4[[#This Row],[INSTALLMENT]]=2,Table4[[#This Row],[INSTALLMENT]]=3),2,0)</f>
        <v>2</v>
      </c>
      <c r="G692" s="1">
        <f>IF(OR(Table4[[#This Row],[INSTALLMENT]]=3),3,0)</f>
        <v>3</v>
      </c>
    </row>
    <row r="693" spans="1:7">
      <c r="A693" s="1">
        <v>752</v>
      </c>
      <c r="B693" s="1" t="s">
        <v>358</v>
      </c>
      <c r="C693" s="1" t="s">
        <v>356</v>
      </c>
      <c r="D693" s="1">
        <f>COUNTIFS('Raw Entries'!B:B,Table4[[#This Row],[Name]],'Raw Entries'!I:I,Table4[[#This Row],[BOOK No.]])</f>
        <v>1</v>
      </c>
      <c r="E693" s="1">
        <f t="array" ref="E693">IF(OR(Table4[[#This Row],[INSTALLMENT]]=1,Table4[[#This Row],[INSTALLMENT]]=2,Table4[[#This Row],[INSTALLMENT]]=3),1,0)</f>
        <v>1</v>
      </c>
      <c r="F693" s="1">
        <f>IF(OR(Table4[[#This Row],[INSTALLMENT]]=2,Table4[[#This Row],[INSTALLMENT]]=3),2,0)</f>
        <v>0</v>
      </c>
      <c r="G693" s="1">
        <f>IF(OR(Table4[[#This Row],[INSTALLMENT]]=3),3,0)</f>
        <v>0</v>
      </c>
    </row>
    <row r="694" spans="1:7">
      <c r="A694" s="1">
        <v>753</v>
      </c>
      <c r="B694" s="1" t="s">
        <v>2485</v>
      </c>
      <c r="C694" s="1" t="s">
        <v>356</v>
      </c>
      <c r="D694" s="1">
        <f>COUNTIFS('Raw Entries'!B:B,Table4[[#This Row],[Name]],'Raw Entries'!I:I,Table4[[#This Row],[BOOK No.]])</f>
        <v>0</v>
      </c>
      <c r="E694" s="1">
        <f t="array" ref="E694">IF(OR(Table4[[#This Row],[INSTALLMENT]]=1,Table4[[#This Row],[INSTALLMENT]]=2,Table4[[#This Row],[INSTALLMENT]]=3),1,0)</f>
        <v>0</v>
      </c>
      <c r="F694" s="1">
        <f>IF(OR(Table4[[#This Row],[INSTALLMENT]]=2,Table4[[#This Row],[INSTALLMENT]]=3),2,0)</f>
        <v>0</v>
      </c>
      <c r="G694" s="1">
        <f>IF(OR(Table4[[#This Row],[INSTALLMENT]]=3),3,0)</f>
        <v>0</v>
      </c>
    </row>
    <row r="695" spans="1:7">
      <c r="A695" s="1">
        <v>754</v>
      </c>
      <c r="B695" s="1" t="s">
        <v>2486</v>
      </c>
      <c r="C695" s="1" t="s">
        <v>356</v>
      </c>
      <c r="D695" s="1">
        <f>COUNTIFS('Raw Entries'!B:B,Table4[[#This Row],[Name]],'Raw Entries'!I:I,Table4[[#This Row],[BOOK No.]])</f>
        <v>0</v>
      </c>
      <c r="E695" s="1">
        <f t="array" ref="E695">IF(OR(Table4[[#This Row],[INSTALLMENT]]=1,Table4[[#This Row],[INSTALLMENT]]=2,Table4[[#This Row],[INSTALLMENT]]=3),1,0)</f>
        <v>0</v>
      </c>
      <c r="F695" s="1">
        <f>IF(OR(Table4[[#This Row],[INSTALLMENT]]=2,Table4[[#This Row],[INSTALLMENT]]=3),2,0)</f>
        <v>0</v>
      </c>
      <c r="G695" s="1">
        <f>IF(OR(Table4[[#This Row],[INSTALLMENT]]=3),3,0)</f>
        <v>0</v>
      </c>
    </row>
    <row r="696" spans="1:7">
      <c r="A696" s="1">
        <v>755</v>
      </c>
      <c r="B696" s="1" t="s">
        <v>2487</v>
      </c>
      <c r="C696" s="1" t="s">
        <v>356</v>
      </c>
      <c r="D696" s="1">
        <f>COUNTIFS('Raw Entries'!B:B,Table4[[#This Row],[Name]],'Raw Entries'!I:I,Table4[[#This Row],[BOOK No.]])</f>
        <v>0</v>
      </c>
      <c r="E696" s="1">
        <f t="array" ref="E696">IF(OR(Table4[[#This Row],[INSTALLMENT]]=1,Table4[[#This Row],[INSTALLMENT]]=2,Table4[[#This Row],[INSTALLMENT]]=3),1,0)</f>
        <v>0</v>
      </c>
      <c r="F696" s="1">
        <f>IF(OR(Table4[[#This Row],[INSTALLMENT]]=2,Table4[[#This Row],[INSTALLMENT]]=3),2,0)</f>
        <v>0</v>
      </c>
      <c r="G696" s="1">
        <f>IF(OR(Table4[[#This Row],[INSTALLMENT]]=3),3,0)</f>
        <v>0</v>
      </c>
    </row>
    <row r="697" spans="1:7">
      <c r="A697" s="1">
        <v>756</v>
      </c>
      <c r="B697" s="1" t="s">
        <v>2488</v>
      </c>
      <c r="C697" s="1" t="s">
        <v>356</v>
      </c>
      <c r="D697" s="1">
        <f>COUNTIFS('Raw Entries'!B:B,Table4[[#This Row],[Name]],'Raw Entries'!I:I,Table4[[#This Row],[BOOK No.]])</f>
        <v>0</v>
      </c>
      <c r="E697" s="1">
        <f t="array" ref="E697">IF(OR(Table4[[#This Row],[INSTALLMENT]]=1,Table4[[#This Row],[INSTALLMENT]]=2,Table4[[#This Row],[INSTALLMENT]]=3),1,0)</f>
        <v>0</v>
      </c>
      <c r="F697" s="1">
        <f>IF(OR(Table4[[#This Row],[INSTALLMENT]]=2,Table4[[#This Row],[INSTALLMENT]]=3),2,0)</f>
        <v>0</v>
      </c>
      <c r="G697" s="1">
        <f>IF(OR(Table4[[#This Row],[INSTALLMENT]]=3),3,0)</f>
        <v>0</v>
      </c>
    </row>
    <row r="698" spans="1:7">
      <c r="A698" s="1">
        <v>757</v>
      </c>
      <c r="B698" s="1" t="s">
        <v>359</v>
      </c>
      <c r="C698" s="1" t="s">
        <v>356</v>
      </c>
      <c r="D698" s="1">
        <f>COUNTIFS('Raw Entries'!B:B,Table4[[#This Row],[Name]],'Raw Entries'!I:I,Table4[[#This Row],[BOOK No.]])</f>
        <v>2</v>
      </c>
      <c r="E698" s="1">
        <f t="array" ref="E698">IF(OR(Table4[[#This Row],[INSTALLMENT]]=1,Table4[[#This Row],[INSTALLMENT]]=2,Table4[[#This Row],[INSTALLMENT]]=3),1,0)</f>
        <v>1</v>
      </c>
      <c r="F698" s="1">
        <f>IF(OR(Table4[[#This Row],[INSTALLMENT]]=2,Table4[[#This Row],[INSTALLMENT]]=3),2,0)</f>
        <v>2</v>
      </c>
      <c r="G698" s="1">
        <f>IF(OR(Table4[[#This Row],[INSTALLMENT]]=3),3,0)</f>
        <v>0</v>
      </c>
    </row>
    <row r="699" spans="1:7">
      <c r="A699" s="1">
        <v>758</v>
      </c>
      <c r="B699" s="1" t="s">
        <v>2489</v>
      </c>
      <c r="C699" s="1" t="s">
        <v>356</v>
      </c>
      <c r="D699" s="1">
        <f>COUNTIFS('Raw Entries'!B:B,Table4[[#This Row],[Name]],'Raw Entries'!I:I,Table4[[#This Row],[BOOK No.]])</f>
        <v>0</v>
      </c>
      <c r="E699" s="1">
        <f t="array" ref="E699">IF(OR(Table4[[#This Row],[INSTALLMENT]]=1,Table4[[#This Row],[INSTALLMENT]]=2,Table4[[#This Row],[INSTALLMENT]]=3),1,0)</f>
        <v>0</v>
      </c>
      <c r="F699" s="1">
        <f>IF(OR(Table4[[#This Row],[INSTALLMENT]]=2,Table4[[#This Row],[INSTALLMENT]]=3),2,0)</f>
        <v>0</v>
      </c>
      <c r="G699" s="1">
        <f>IF(OR(Table4[[#This Row],[INSTALLMENT]]=3),3,0)</f>
        <v>0</v>
      </c>
    </row>
    <row r="700" spans="1:7">
      <c r="A700" s="1">
        <v>759</v>
      </c>
      <c r="B700" s="1" t="s">
        <v>2490</v>
      </c>
      <c r="C700" s="1" t="s">
        <v>356</v>
      </c>
      <c r="D700" s="1">
        <f>COUNTIFS('Raw Entries'!B:B,Table4[[#This Row],[Name]],'Raw Entries'!I:I,Table4[[#This Row],[BOOK No.]])</f>
        <v>0</v>
      </c>
      <c r="E700" s="1">
        <f t="array" ref="E700">IF(OR(Table4[[#This Row],[INSTALLMENT]]=1,Table4[[#This Row],[INSTALLMENT]]=2,Table4[[#This Row],[INSTALLMENT]]=3),1,0)</f>
        <v>0</v>
      </c>
      <c r="F700" s="1">
        <f>IF(OR(Table4[[#This Row],[INSTALLMENT]]=2,Table4[[#This Row],[INSTALLMENT]]=3),2,0)</f>
        <v>0</v>
      </c>
      <c r="G700" s="1">
        <f>IF(OR(Table4[[#This Row],[INSTALLMENT]]=3),3,0)</f>
        <v>0</v>
      </c>
    </row>
    <row r="701" spans="1:7">
      <c r="A701" s="1">
        <v>760</v>
      </c>
      <c r="B701" s="1" t="s">
        <v>2491</v>
      </c>
      <c r="C701" s="1" t="s">
        <v>356</v>
      </c>
      <c r="D701" s="1">
        <f>COUNTIFS('Raw Entries'!B:B,Table4[[#This Row],[Name]],'Raw Entries'!I:I,Table4[[#This Row],[BOOK No.]])</f>
        <v>0</v>
      </c>
      <c r="E701" s="1">
        <f t="array" ref="E701">IF(OR(Table4[[#This Row],[INSTALLMENT]]=1,Table4[[#This Row],[INSTALLMENT]]=2,Table4[[#This Row],[INSTALLMENT]]=3),1,0)</f>
        <v>0</v>
      </c>
      <c r="F701" s="1">
        <f>IF(OR(Table4[[#This Row],[INSTALLMENT]]=2,Table4[[#This Row],[INSTALLMENT]]=3),2,0)</f>
        <v>0</v>
      </c>
      <c r="G701" s="1">
        <f>IF(OR(Table4[[#This Row],[INSTALLMENT]]=3),3,0)</f>
        <v>0</v>
      </c>
    </row>
    <row r="702" spans="1:7">
      <c r="A702" s="1">
        <v>761</v>
      </c>
      <c r="B702" s="1" t="s">
        <v>1900</v>
      </c>
      <c r="C702" s="1" t="s">
        <v>356</v>
      </c>
      <c r="D702" s="1">
        <f>COUNTIFS('Raw Entries'!B:B,Table4[[#This Row],[Name]],'Raw Entries'!I:I,Table4[[#This Row],[BOOK No.]])</f>
        <v>3</v>
      </c>
      <c r="E702" s="1">
        <f t="array" ref="E702">IF(OR(Table4[[#This Row],[INSTALLMENT]]=1,Table4[[#This Row],[INSTALLMENT]]=2,Table4[[#This Row],[INSTALLMENT]]=3),1,0)</f>
        <v>1</v>
      </c>
      <c r="F702" s="1">
        <f>IF(OR(Table4[[#This Row],[INSTALLMENT]]=2,Table4[[#This Row],[INSTALLMENT]]=3),2,0)</f>
        <v>2</v>
      </c>
      <c r="G702" s="1">
        <f>IF(OR(Table4[[#This Row],[INSTALLMENT]]=3),3,0)</f>
        <v>3</v>
      </c>
    </row>
    <row r="703" spans="1:7">
      <c r="A703" s="1">
        <v>762</v>
      </c>
      <c r="B703" s="1" t="s">
        <v>2492</v>
      </c>
      <c r="C703" s="1" t="s">
        <v>356</v>
      </c>
      <c r="D703" s="1">
        <f>COUNTIFS('Raw Entries'!B:B,Table4[[#This Row],[Name]],'Raw Entries'!I:I,Table4[[#This Row],[BOOK No.]])</f>
        <v>0</v>
      </c>
      <c r="E703" s="1">
        <f t="array" ref="E703">IF(OR(Table4[[#This Row],[INSTALLMENT]]=1,Table4[[#This Row],[INSTALLMENT]]=2,Table4[[#This Row],[INSTALLMENT]]=3),1,0)</f>
        <v>0</v>
      </c>
      <c r="F703" s="1">
        <f>IF(OR(Table4[[#This Row],[INSTALLMENT]]=2,Table4[[#This Row],[INSTALLMENT]]=3),2,0)</f>
        <v>0</v>
      </c>
      <c r="G703" s="1">
        <f>IF(OR(Table4[[#This Row],[INSTALLMENT]]=3),3,0)</f>
        <v>0</v>
      </c>
    </row>
    <row r="704" spans="1:7">
      <c r="A704" s="1">
        <v>763</v>
      </c>
      <c r="B704" s="1" t="s">
        <v>2493</v>
      </c>
      <c r="C704" s="1" t="s">
        <v>356</v>
      </c>
      <c r="D704" s="1">
        <f>COUNTIFS('Raw Entries'!B:B,Table4[[#This Row],[Name]],'Raw Entries'!I:I,Table4[[#This Row],[BOOK No.]])</f>
        <v>0</v>
      </c>
      <c r="E704" s="1">
        <f t="array" ref="E704">IF(OR(Table4[[#This Row],[INSTALLMENT]]=1,Table4[[#This Row],[INSTALLMENT]]=2,Table4[[#This Row],[INSTALLMENT]]=3),1,0)</f>
        <v>0</v>
      </c>
      <c r="F704" s="1">
        <f>IF(OR(Table4[[#This Row],[INSTALLMENT]]=2,Table4[[#This Row],[INSTALLMENT]]=3),2,0)</f>
        <v>0</v>
      </c>
      <c r="G704" s="1">
        <f>IF(OR(Table4[[#This Row],[INSTALLMENT]]=3),3,0)</f>
        <v>0</v>
      </c>
    </row>
    <row r="705" spans="1:7">
      <c r="A705" s="1">
        <v>764</v>
      </c>
      <c r="B705" s="1" t="s">
        <v>2494</v>
      </c>
      <c r="C705" s="1" t="s">
        <v>356</v>
      </c>
      <c r="D705" s="1">
        <f>COUNTIFS('Raw Entries'!B:B,Table4[[#This Row],[Name]],'Raw Entries'!I:I,Table4[[#This Row],[BOOK No.]])</f>
        <v>0</v>
      </c>
      <c r="E705" s="1">
        <f t="array" ref="E705">IF(OR(Table4[[#This Row],[INSTALLMENT]]=1,Table4[[#This Row],[INSTALLMENT]]=2,Table4[[#This Row],[INSTALLMENT]]=3),1,0)</f>
        <v>0</v>
      </c>
      <c r="F705" s="1">
        <f>IF(OR(Table4[[#This Row],[INSTALLMENT]]=2,Table4[[#This Row],[INSTALLMENT]]=3),2,0)</f>
        <v>0</v>
      </c>
      <c r="G705" s="1">
        <f>IF(OR(Table4[[#This Row],[INSTALLMENT]]=3),3,0)</f>
        <v>0</v>
      </c>
    </row>
    <row r="706" spans="1:7">
      <c r="A706" s="1">
        <v>765</v>
      </c>
      <c r="B706" s="1" t="s">
        <v>357</v>
      </c>
      <c r="C706" s="1" t="s">
        <v>356</v>
      </c>
      <c r="D706" s="1">
        <f>COUNTIFS('Raw Entries'!B:B,Table4[[#This Row],[Name]],'Raw Entries'!I:I,Table4[[#This Row],[BOOK No.]])</f>
        <v>3</v>
      </c>
      <c r="E706" s="1">
        <f t="array" ref="E706">IF(OR(Table4[[#This Row],[INSTALLMENT]]=1,Table4[[#This Row],[INSTALLMENT]]=2,Table4[[#This Row],[INSTALLMENT]]=3),1,0)</f>
        <v>1</v>
      </c>
      <c r="F706" s="1">
        <f>IF(OR(Table4[[#This Row],[INSTALLMENT]]=2,Table4[[#This Row],[INSTALLMENT]]=3),2,0)</f>
        <v>2</v>
      </c>
      <c r="G706" s="1">
        <f>IF(OR(Table4[[#This Row],[INSTALLMENT]]=3),3,0)</f>
        <v>3</v>
      </c>
    </row>
    <row r="707" spans="1:7">
      <c r="A707" s="1">
        <v>766</v>
      </c>
      <c r="B707" s="1" t="s">
        <v>2495</v>
      </c>
      <c r="C707" s="1" t="s">
        <v>356</v>
      </c>
      <c r="D707" s="1">
        <f>COUNTIFS('Raw Entries'!B:B,Table4[[#This Row],[Name]],'Raw Entries'!I:I,Table4[[#This Row],[BOOK No.]])</f>
        <v>0</v>
      </c>
      <c r="E707" s="1">
        <f t="array" ref="E707">IF(OR(Table4[[#This Row],[INSTALLMENT]]=1,Table4[[#This Row],[INSTALLMENT]]=2,Table4[[#This Row],[INSTALLMENT]]=3),1,0)</f>
        <v>0</v>
      </c>
      <c r="F707" s="1">
        <f>IF(OR(Table4[[#This Row],[INSTALLMENT]]=2,Table4[[#This Row],[INSTALLMENT]]=3),2,0)</f>
        <v>0</v>
      </c>
      <c r="G707" s="1">
        <f>IF(OR(Table4[[#This Row],[INSTALLMENT]]=3),3,0)</f>
        <v>0</v>
      </c>
    </row>
    <row r="708" spans="1:7">
      <c r="A708" s="1">
        <v>767</v>
      </c>
      <c r="B708" s="1" t="s">
        <v>2496</v>
      </c>
      <c r="C708" s="1" t="s">
        <v>356</v>
      </c>
      <c r="D708" s="1">
        <f>COUNTIFS('Raw Entries'!B:B,Table4[[#This Row],[Name]],'Raw Entries'!I:I,Table4[[#This Row],[BOOK No.]])</f>
        <v>0</v>
      </c>
      <c r="E708" s="1">
        <f t="array" ref="E708">IF(OR(Table4[[#This Row],[INSTALLMENT]]=1,Table4[[#This Row],[INSTALLMENT]]=2,Table4[[#This Row],[INSTALLMENT]]=3),1,0)</f>
        <v>0</v>
      </c>
      <c r="F708" s="1">
        <f>IF(OR(Table4[[#This Row],[INSTALLMENT]]=2,Table4[[#This Row],[INSTALLMENT]]=3),2,0)</f>
        <v>0</v>
      </c>
      <c r="G708" s="1">
        <f>IF(OR(Table4[[#This Row],[INSTALLMENT]]=3),3,0)</f>
        <v>0</v>
      </c>
    </row>
    <row r="709" spans="1:7">
      <c r="A709" s="1">
        <v>768</v>
      </c>
      <c r="B709" s="1" t="s">
        <v>364</v>
      </c>
      <c r="C709" s="1" t="s">
        <v>356</v>
      </c>
      <c r="D709" s="1">
        <f>COUNTIFS('Raw Entries'!B:B,Table4[[#This Row],[Name]],'Raw Entries'!I:I,Table4[[#This Row],[BOOK No.]])</f>
        <v>3</v>
      </c>
      <c r="E709" s="1">
        <f t="array" ref="E709">IF(OR(Table4[[#This Row],[INSTALLMENT]]=1,Table4[[#This Row],[INSTALLMENT]]=2,Table4[[#This Row],[INSTALLMENT]]=3),1,0)</f>
        <v>1</v>
      </c>
      <c r="F709" s="1">
        <f>IF(OR(Table4[[#This Row],[INSTALLMENT]]=2,Table4[[#This Row],[INSTALLMENT]]=3),2,0)</f>
        <v>2</v>
      </c>
      <c r="G709" s="1">
        <f>IF(OR(Table4[[#This Row],[INSTALLMENT]]=3),3,0)</f>
        <v>3</v>
      </c>
    </row>
    <row r="710" spans="1:7">
      <c r="A710" s="1">
        <v>769</v>
      </c>
      <c r="B710" s="1" t="s">
        <v>2497</v>
      </c>
      <c r="C710" s="1" t="s">
        <v>356</v>
      </c>
      <c r="D710" s="1">
        <f>COUNTIFS('Raw Entries'!B:B,Table4[[#This Row],[Name]],'Raw Entries'!I:I,Table4[[#This Row],[BOOK No.]])</f>
        <v>0</v>
      </c>
      <c r="E710" s="1">
        <f t="array" ref="E710">IF(OR(Table4[[#This Row],[INSTALLMENT]]=1,Table4[[#This Row],[INSTALLMENT]]=2,Table4[[#This Row],[INSTALLMENT]]=3),1,0)</f>
        <v>0</v>
      </c>
      <c r="F710" s="1">
        <f>IF(OR(Table4[[#This Row],[INSTALLMENT]]=2,Table4[[#This Row],[INSTALLMENT]]=3),2,0)</f>
        <v>0</v>
      </c>
      <c r="G710" s="1">
        <f>IF(OR(Table4[[#This Row],[INSTALLMENT]]=3),3,0)</f>
        <v>0</v>
      </c>
    </row>
    <row r="711" spans="1:7">
      <c r="A711" s="1">
        <v>770</v>
      </c>
      <c r="B711" s="1" t="s">
        <v>2498</v>
      </c>
      <c r="C711" s="1" t="s">
        <v>356</v>
      </c>
      <c r="D711" s="1">
        <f>COUNTIFS('Raw Entries'!B:B,Table4[[#This Row],[Name]],'Raw Entries'!I:I,Table4[[#This Row],[BOOK No.]])</f>
        <v>0</v>
      </c>
      <c r="E711" s="1">
        <f t="array" ref="E711">IF(OR(Table4[[#This Row],[INSTALLMENT]]=1,Table4[[#This Row],[INSTALLMENT]]=2,Table4[[#This Row],[INSTALLMENT]]=3),1,0)</f>
        <v>0</v>
      </c>
      <c r="F711" s="1">
        <f>IF(OR(Table4[[#This Row],[INSTALLMENT]]=2,Table4[[#This Row],[INSTALLMENT]]=3),2,0)</f>
        <v>0</v>
      </c>
      <c r="G711" s="1">
        <f>IF(OR(Table4[[#This Row],[INSTALLMENT]]=3),3,0)</f>
        <v>0</v>
      </c>
    </row>
    <row r="712" spans="1:7">
      <c r="A712" s="1">
        <v>771</v>
      </c>
      <c r="B712" s="1" t="s">
        <v>363</v>
      </c>
      <c r="C712" s="1" t="s">
        <v>356</v>
      </c>
      <c r="D712" s="1">
        <f>COUNTIFS('Raw Entries'!B:B,Table4[[#This Row],[Name]],'Raw Entries'!I:I,Table4[[#This Row],[BOOK No.]])</f>
        <v>3</v>
      </c>
      <c r="E712" s="1">
        <f t="array" ref="E712">IF(OR(Table4[[#This Row],[INSTALLMENT]]=1,Table4[[#This Row],[INSTALLMENT]]=2,Table4[[#This Row],[INSTALLMENT]]=3),1,0)</f>
        <v>1</v>
      </c>
      <c r="F712" s="1">
        <f>IF(OR(Table4[[#This Row],[INSTALLMENT]]=2,Table4[[#This Row],[INSTALLMENT]]=3),2,0)</f>
        <v>2</v>
      </c>
      <c r="G712" s="1">
        <f>IF(OR(Table4[[#This Row],[INSTALLMENT]]=3),3,0)</f>
        <v>3</v>
      </c>
    </row>
    <row r="713" spans="1:7">
      <c r="A713" s="1">
        <v>772</v>
      </c>
      <c r="B713" s="1" t="s">
        <v>2499</v>
      </c>
      <c r="C713" s="1" t="s">
        <v>356</v>
      </c>
      <c r="D713" s="1">
        <f>COUNTIFS('Raw Entries'!B:B,Table4[[#This Row],[Name]],'Raw Entries'!I:I,Table4[[#This Row],[BOOK No.]])</f>
        <v>3</v>
      </c>
      <c r="E713" s="1">
        <f t="array" ref="E713">IF(OR(Table4[[#This Row],[INSTALLMENT]]=1,Table4[[#This Row],[INSTALLMENT]]=2,Table4[[#This Row],[INSTALLMENT]]=3),1,0)</f>
        <v>1</v>
      </c>
      <c r="F713" s="1">
        <f>IF(OR(Table4[[#This Row],[INSTALLMENT]]=2,Table4[[#This Row],[INSTALLMENT]]=3),2,0)</f>
        <v>2</v>
      </c>
      <c r="G713" s="1">
        <f>IF(OR(Table4[[#This Row],[INSTALLMENT]]=3),3,0)</f>
        <v>3</v>
      </c>
    </row>
    <row r="714" spans="1:7">
      <c r="A714" s="1">
        <v>773</v>
      </c>
      <c r="B714" s="1" t="s">
        <v>2500</v>
      </c>
      <c r="C714" s="1" t="s">
        <v>356</v>
      </c>
      <c r="D714" s="1">
        <f>COUNTIFS('Raw Entries'!B:B,Table4[[#This Row],[Name]],'Raw Entries'!I:I,Table4[[#This Row],[BOOK No.]])</f>
        <v>0</v>
      </c>
      <c r="E714" s="1">
        <f t="array" ref="E714">IF(OR(Table4[[#This Row],[INSTALLMENT]]=1,Table4[[#This Row],[INSTALLMENT]]=2,Table4[[#This Row],[INSTALLMENT]]=3),1,0)</f>
        <v>0</v>
      </c>
      <c r="F714" s="1">
        <f>IF(OR(Table4[[#This Row],[INSTALLMENT]]=2,Table4[[#This Row],[INSTALLMENT]]=3),2,0)</f>
        <v>0</v>
      </c>
      <c r="G714" s="1">
        <f>IF(OR(Table4[[#This Row],[INSTALLMENT]]=3),3,0)</f>
        <v>0</v>
      </c>
    </row>
    <row r="715" spans="1:7">
      <c r="A715" s="1">
        <v>774</v>
      </c>
      <c r="B715" s="1" t="s">
        <v>360</v>
      </c>
      <c r="C715" s="1" t="s">
        <v>356</v>
      </c>
      <c r="D715" s="1">
        <f>COUNTIFS('Raw Entries'!B:B,Table4[[#This Row],[Name]],'Raw Entries'!I:I,Table4[[#This Row],[BOOK No.]])</f>
        <v>3</v>
      </c>
      <c r="E715" s="1">
        <f t="array" ref="E715">IF(OR(Table4[[#This Row],[INSTALLMENT]]=1,Table4[[#This Row],[INSTALLMENT]]=2,Table4[[#This Row],[INSTALLMENT]]=3),1,0)</f>
        <v>1</v>
      </c>
      <c r="F715" s="1">
        <f>IF(OR(Table4[[#This Row],[INSTALLMENT]]=2,Table4[[#This Row],[INSTALLMENT]]=3),2,0)</f>
        <v>2</v>
      </c>
      <c r="G715" s="1">
        <f>IF(OR(Table4[[#This Row],[INSTALLMENT]]=3),3,0)</f>
        <v>3</v>
      </c>
    </row>
    <row r="716" spans="1:7">
      <c r="A716" s="1">
        <v>775</v>
      </c>
      <c r="B716" s="1" t="s">
        <v>2501</v>
      </c>
      <c r="C716" s="1" t="s">
        <v>356</v>
      </c>
      <c r="D716" s="1">
        <f>COUNTIFS('Raw Entries'!B:B,Table4[[#This Row],[Name]],'Raw Entries'!I:I,Table4[[#This Row],[BOOK No.]])</f>
        <v>0</v>
      </c>
      <c r="E716" s="1">
        <f t="array" ref="E716">IF(OR(Table4[[#This Row],[INSTALLMENT]]=1,Table4[[#This Row],[INSTALLMENT]]=2,Table4[[#This Row],[INSTALLMENT]]=3),1,0)</f>
        <v>0</v>
      </c>
      <c r="F716" s="1">
        <f>IF(OR(Table4[[#This Row],[INSTALLMENT]]=2,Table4[[#This Row],[INSTALLMENT]]=3),2,0)</f>
        <v>0</v>
      </c>
      <c r="G716" s="1">
        <f>IF(OR(Table4[[#This Row],[INSTALLMENT]]=3),3,0)</f>
        <v>0</v>
      </c>
    </row>
    <row r="717" spans="1:7">
      <c r="A717" s="1">
        <v>776</v>
      </c>
      <c r="B717" s="1" t="s">
        <v>676</v>
      </c>
      <c r="C717" s="1" t="s">
        <v>356</v>
      </c>
      <c r="D717" s="1">
        <f>COUNTIFS('Raw Entries'!B:B,Table4[[#This Row],[Name]],'Raw Entries'!I:I,Table4[[#This Row],[BOOK No.]])</f>
        <v>1</v>
      </c>
      <c r="E717" s="1">
        <f t="array" ref="E717">IF(OR(Table4[[#This Row],[INSTALLMENT]]=1,Table4[[#This Row],[INSTALLMENT]]=2,Table4[[#This Row],[INSTALLMENT]]=3),1,0)</f>
        <v>1</v>
      </c>
      <c r="F717" s="1">
        <f>IF(OR(Table4[[#This Row],[INSTALLMENT]]=2,Table4[[#This Row],[INSTALLMENT]]=3),2,0)</f>
        <v>0</v>
      </c>
      <c r="G717" s="1">
        <f>IF(OR(Table4[[#This Row],[INSTALLMENT]]=3),3,0)</f>
        <v>0</v>
      </c>
    </row>
    <row r="718" spans="1:7">
      <c r="A718" s="1">
        <v>777</v>
      </c>
      <c r="B718" s="1" t="s">
        <v>683</v>
      </c>
      <c r="C718" s="1" t="s">
        <v>356</v>
      </c>
      <c r="D718" s="1">
        <f>COUNTIFS('Raw Entries'!B:B,Table4[[#This Row],[Name]],'Raw Entries'!I:I,Table4[[#This Row],[BOOK No.]])</f>
        <v>1</v>
      </c>
      <c r="E718" s="1">
        <f t="array" ref="E718">IF(OR(Table4[[#This Row],[INSTALLMENT]]=1,Table4[[#This Row],[INSTALLMENT]]=2,Table4[[#This Row],[INSTALLMENT]]=3),1,0)</f>
        <v>1</v>
      </c>
      <c r="F718" s="1">
        <f>IF(OR(Table4[[#This Row],[INSTALLMENT]]=2,Table4[[#This Row],[INSTALLMENT]]=3),2,0)</f>
        <v>0</v>
      </c>
      <c r="G718" s="1">
        <f>IF(OR(Table4[[#This Row],[INSTALLMENT]]=3),3,0)</f>
        <v>0</v>
      </c>
    </row>
    <row r="719" spans="1:7">
      <c r="A719" s="1">
        <v>778</v>
      </c>
      <c r="B719" s="1" t="s">
        <v>1901</v>
      </c>
      <c r="C719" s="1" t="s">
        <v>356</v>
      </c>
      <c r="D719" s="1">
        <f>COUNTIFS('Raw Entries'!B:B,Table4[[#This Row],[Name]],'Raw Entries'!I:I,Table4[[#This Row],[BOOK No.]])</f>
        <v>1</v>
      </c>
      <c r="E719" s="1">
        <f t="array" ref="E719">IF(OR(Table4[[#This Row],[INSTALLMENT]]=1,Table4[[#This Row],[INSTALLMENT]]=2,Table4[[#This Row],[INSTALLMENT]]=3),1,0)</f>
        <v>1</v>
      </c>
      <c r="F719" s="1">
        <f>IF(OR(Table4[[#This Row],[INSTALLMENT]]=2,Table4[[#This Row],[INSTALLMENT]]=3),2,0)</f>
        <v>0</v>
      </c>
      <c r="G719" s="1">
        <f>IF(OR(Table4[[#This Row],[INSTALLMENT]]=3),3,0)</f>
        <v>0</v>
      </c>
    </row>
    <row r="720" spans="1:7">
      <c r="A720" s="1">
        <v>779</v>
      </c>
      <c r="B720" s="1" t="s">
        <v>2502</v>
      </c>
      <c r="C720" s="1" t="s">
        <v>356</v>
      </c>
      <c r="D720" s="1">
        <f>COUNTIFS('Raw Entries'!B:B,Table4[[#This Row],[Name]],'Raw Entries'!I:I,Table4[[#This Row],[BOOK No.]])</f>
        <v>0</v>
      </c>
      <c r="E720" s="1">
        <f t="array" ref="E720">IF(OR(Table4[[#This Row],[INSTALLMENT]]=1,Table4[[#This Row],[INSTALLMENT]]=2,Table4[[#This Row],[INSTALLMENT]]=3),1,0)</f>
        <v>0</v>
      </c>
      <c r="F720" s="1">
        <f>IF(OR(Table4[[#This Row],[INSTALLMENT]]=2,Table4[[#This Row],[INSTALLMENT]]=3),2,0)</f>
        <v>0</v>
      </c>
      <c r="G720" s="1">
        <f>IF(OR(Table4[[#This Row],[INSTALLMENT]]=3),3,0)</f>
        <v>0</v>
      </c>
    </row>
    <row r="721" spans="1:7">
      <c r="A721" s="1">
        <v>780</v>
      </c>
      <c r="B721" s="1" t="s">
        <v>2503</v>
      </c>
      <c r="C721" s="1" t="s">
        <v>356</v>
      </c>
      <c r="D721" s="1">
        <f>COUNTIFS('Raw Entries'!B:B,Table4[[#This Row],[Name]],'Raw Entries'!I:I,Table4[[#This Row],[BOOK No.]])</f>
        <v>0</v>
      </c>
      <c r="E721" s="1">
        <f t="array" ref="E721">IF(OR(Table4[[#This Row],[INSTALLMENT]]=1,Table4[[#This Row],[INSTALLMENT]]=2,Table4[[#This Row],[INSTALLMENT]]=3),1,0)</f>
        <v>0</v>
      </c>
      <c r="F721" s="1">
        <f>IF(OR(Table4[[#This Row],[INSTALLMENT]]=2,Table4[[#This Row],[INSTALLMENT]]=3),2,0)</f>
        <v>0</v>
      </c>
      <c r="G721" s="1">
        <f>IF(OR(Table4[[#This Row],[INSTALLMENT]]=3),3,0)</f>
        <v>0</v>
      </c>
    </row>
    <row r="722" spans="1:7">
      <c r="A722" s="1">
        <v>781</v>
      </c>
      <c r="B722" s="1" t="s">
        <v>362</v>
      </c>
      <c r="C722" s="1" t="s">
        <v>356</v>
      </c>
      <c r="D722" s="1">
        <f>COUNTIFS('Raw Entries'!B:B,Table4[[#This Row],[Name]],'Raw Entries'!I:I,Table4[[#This Row],[BOOK No.]])</f>
        <v>2</v>
      </c>
      <c r="E722" s="1">
        <f t="array" ref="E722">IF(OR(Table4[[#This Row],[INSTALLMENT]]=1,Table4[[#This Row],[INSTALLMENT]]=2,Table4[[#This Row],[INSTALLMENT]]=3),1,0)</f>
        <v>1</v>
      </c>
      <c r="F722" s="1">
        <f>IF(OR(Table4[[#This Row],[INSTALLMENT]]=2,Table4[[#This Row],[INSTALLMENT]]=3),2,0)</f>
        <v>2</v>
      </c>
      <c r="G722" s="1">
        <f>IF(OR(Table4[[#This Row],[INSTALLMENT]]=3),3,0)</f>
        <v>0</v>
      </c>
    </row>
    <row r="723" spans="1:7">
      <c r="A723" s="1">
        <v>782</v>
      </c>
      <c r="B723" s="1" t="s">
        <v>2504</v>
      </c>
      <c r="C723" s="1" t="s">
        <v>356</v>
      </c>
      <c r="D723" s="1">
        <f>COUNTIFS('Raw Entries'!B:B,Table4[[#This Row],[Name]],'Raw Entries'!I:I,Table4[[#This Row],[BOOK No.]])</f>
        <v>0</v>
      </c>
      <c r="E723" s="1">
        <f t="array" ref="E723">IF(OR(Table4[[#This Row],[INSTALLMENT]]=1,Table4[[#This Row],[INSTALLMENT]]=2,Table4[[#This Row],[INSTALLMENT]]=3),1,0)</f>
        <v>0</v>
      </c>
      <c r="F723" s="1">
        <f>IF(OR(Table4[[#This Row],[INSTALLMENT]]=2,Table4[[#This Row],[INSTALLMENT]]=3),2,0)</f>
        <v>0</v>
      </c>
      <c r="G723" s="1">
        <f>IF(OR(Table4[[#This Row],[INSTALLMENT]]=3),3,0)</f>
        <v>0</v>
      </c>
    </row>
    <row r="724" spans="1:7">
      <c r="A724" s="1">
        <v>783</v>
      </c>
      <c r="B724" s="1" t="s">
        <v>2505</v>
      </c>
      <c r="C724" s="1" t="s">
        <v>356</v>
      </c>
      <c r="D724" s="1">
        <f>COUNTIFS('Raw Entries'!B:B,Table4[[#This Row],[Name]],'Raw Entries'!I:I,Table4[[#This Row],[BOOK No.]])</f>
        <v>0</v>
      </c>
      <c r="E724" s="1">
        <f t="array" ref="E724">IF(OR(Table4[[#This Row],[INSTALLMENT]]=1,Table4[[#This Row],[INSTALLMENT]]=2,Table4[[#This Row],[INSTALLMENT]]=3),1,0)</f>
        <v>0</v>
      </c>
      <c r="F724" s="1">
        <f>IF(OR(Table4[[#This Row],[INSTALLMENT]]=2,Table4[[#This Row],[INSTALLMENT]]=3),2,0)</f>
        <v>0</v>
      </c>
      <c r="G724" s="1">
        <f>IF(OR(Table4[[#This Row],[INSTALLMENT]]=3),3,0)</f>
        <v>0</v>
      </c>
    </row>
    <row r="725" spans="1:7">
      <c r="A725" s="1">
        <v>784</v>
      </c>
      <c r="B725" s="1" t="s">
        <v>2506</v>
      </c>
      <c r="C725" s="1" t="s">
        <v>356</v>
      </c>
      <c r="D725" s="1">
        <f>COUNTIFS('Raw Entries'!B:B,Table4[[#This Row],[Name]],'Raw Entries'!I:I,Table4[[#This Row],[BOOK No.]])</f>
        <v>0</v>
      </c>
      <c r="E725" s="1">
        <f t="array" ref="E725">IF(OR(Table4[[#This Row],[INSTALLMENT]]=1,Table4[[#This Row],[INSTALLMENT]]=2,Table4[[#This Row],[INSTALLMENT]]=3),1,0)</f>
        <v>0</v>
      </c>
      <c r="F725" s="1">
        <f>IF(OR(Table4[[#This Row],[INSTALLMENT]]=2,Table4[[#This Row],[INSTALLMENT]]=3),2,0)</f>
        <v>0</v>
      </c>
      <c r="G725" s="1">
        <f>IF(OR(Table4[[#This Row],[INSTALLMENT]]=3),3,0)</f>
        <v>0</v>
      </c>
    </row>
    <row r="726" spans="1:7">
      <c r="A726" s="1">
        <v>785</v>
      </c>
      <c r="B726" s="1" t="s">
        <v>365</v>
      </c>
      <c r="C726" s="1" t="s">
        <v>356</v>
      </c>
      <c r="D726" s="1">
        <f>COUNTIFS('Raw Entries'!B:B,Table4[[#This Row],[Name]],'Raw Entries'!I:I,Table4[[#This Row],[BOOK No.]])</f>
        <v>1</v>
      </c>
      <c r="E726" s="1">
        <f t="array" ref="E726">IF(OR(Table4[[#This Row],[INSTALLMENT]]=1,Table4[[#This Row],[INSTALLMENT]]=2,Table4[[#This Row],[INSTALLMENT]]=3),1,0)</f>
        <v>1</v>
      </c>
      <c r="F726" s="1">
        <f>IF(OR(Table4[[#This Row],[INSTALLMENT]]=2,Table4[[#This Row],[INSTALLMENT]]=3),2,0)</f>
        <v>0</v>
      </c>
      <c r="G726" s="1">
        <f>IF(OR(Table4[[#This Row],[INSTALLMENT]]=3),3,0)</f>
        <v>0</v>
      </c>
    </row>
    <row r="727" spans="1:7">
      <c r="A727" s="1">
        <v>786</v>
      </c>
      <c r="B727" s="1" t="s">
        <v>2507</v>
      </c>
      <c r="C727" s="1" t="s">
        <v>356</v>
      </c>
      <c r="D727" s="1">
        <f>COUNTIFS('Raw Entries'!B:B,Table4[[#This Row],[Name]],'Raw Entries'!I:I,Table4[[#This Row],[BOOK No.]])</f>
        <v>0</v>
      </c>
      <c r="E727" s="1">
        <f t="array" ref="E727">IF(OR(Table4[[#This Row],[INSTALLMENT]]=1,Table4[[#This Row],[INSTALLMENT]]=2,Table4[[#This Row],[INSTALLMENT]]=3),1,0)</f>
        <v>0</v>
      </c>
      <c r="F727" s="1">
        <f>IF(OR(Table4[[#This Row],[INSTALLMENT]]=2,Table4[[#This Row],[INSTALLMENT]]=3),2,0)</f>
        <v>0</v>
      </c>
      <c r="G727" s="1">
        <f>IF(OR(Table4[[#This Row],[INSTALLMENT]]=3),3,0)</f>
        <v>0</v>
      </c>
    </row>
    <row r="728" spans="1:7">
      <c r="A728" s="1">
        <v>787</v>
      </c>
      <c r="B728" s="1" t="s">
        <v>2508</v>
      </c>
      <c r="C728" s="1" t="s">
        <v>356</v>
      </c>
      <c r="D728" s="1">
        <f>COUNTIFS('Raw Entries'!B:B,Table4[[#This Row],[Name]],'Raw Entries'!I:I,Table4[[#This Row],[BOOK No.]])</f>
        <v>0</v>
      </c>
      <c r="E728" s="1">
        <f t="array" ref="E728">IF(OR(Table4[[#This Row],[INSTALLMENT]]=1,Table4[[#This Row],[INSTALLMENT]]=2,Table4[[#This Row],[INSTALLMENT]]=3),1,0)</f>
        <v>0</v>
      </c>
      <c r="F728" s="1">
        <f>IF(OR(Table4[[#This Row],[INSTALLMENT]]=2,Table4[[#This Row],[INSTALLMENT]]=3),2,0)</f>
        <v>0</v>
      </c>
      <c r="G728" s="1">
        <f>IF(OR(Table4[[#This Row],[INSTALLMENT]]=3),3,0)</f>
        <v>0</v>
      </c>
    </row>
    <row r="729" spans="1:7">
      <c r="A729" s="1">
        <v>788</v>
      </c>
      <c r="B729" s="1" t="s">
        <v>361</v>
      </c>
      <c r="C729" s="1" t="s">
        <v>356</v>
      </c>
      <c r="D729" s="1">
        <f>COUNTIFS('Raw Entries'!B:B,Table4[[#This Row],[Name]],'Raw Entries'!I:I,Table4[[#This Row],[BOOK No.]])</f>
        <v>1</v>
      </c>
      <c r="E729" s="1">
        <f t="array" ref="E729">IF(OR(Table4[[#This Row],[INSTALLMENT]]=1,Table4[[#This Row],[INSTALLMENT]]=2,Table4[[#This Row],[INSTALLMENT]]=3),1,0)</f>
        <v>1</v>
      </c>
      <c r="F729" s="1">
        <f>IF(OR(Table4[[#This Row],[INSTALLMENT]]=2,Table4[[#This Row],[INSTALLMENT]]=3),2,0)</f>
        <v>0</v>
      </c>
      <c r="G729" s="1">
        <f>IF(OR(Table4[[#This Row],[INSTALLMENT]]=3),3,0)</f>
        <v>0</v>
      </c>
    </row>
    <row r="730" spans="1:7">
      <c r="A730" s="1">
        <v>789</v>
      </c>
      <c r="B730" s="1" t="s">
        <v>2509</v>
      </c>
      <c r="C730" s="1" t="s">
        <v>356</v>
      </c>
      <c r="D730" s="1">
        <f>COUNTIFS('Raw Entries'!B:B,Table4[[#This Row],[Name]],'Raw Entries'!I:I,Table4[[#This Row],[BOOK No.]])</f>
        <v>0</v>
      </c>
      <c r="E730" s="1">
        <f t="array" ref="E730">IF(OR(Table4[[#This Row],[INSTALLMENT]]=1,Table4[[#This Row],[INSTALLMENT]]=2,Table4[[#This Row],[INSTALLMENT]]=3),1,0)</f>
        <v>0</v>
      </c>
      <c r="F730" s="1">
        <f>IF(OR(Table4[[#This Row],[INSTALLMENT]]=2,Table4[[#This Row],[INSTALLMENT]]=3),2,0)</f>
        <v>0</v>
      </c>
      <c r="G730" s="1">
        <f>IF(OR(Table4[[#This Row],[INSTALLMENT]]=3),3,0)</f>
        <v>0</v>
      </c>
    </row>
    <row r="731" spans="1:7">
      <c r="A731" s="1">
        <v>790</v>
      </c>
      <c r="B731" s="1" t="s">
        <v>2510</v>
      </c>
      <c r="C731" s="1" t="s">
        <v>356</v>
      </c>
      <c r="D731" s="1">
        <f>COUNTIFS('Raw Entries'!B:B,Table4[[#This Row],[Name]],'Raw Entries'!I:I,Table4[[#This Row],[BOOK No.]])</f>
        <v>0</v>
      </c>
      <c r="E731" s="1">
        <f t="array" ref="E731">IF(OR(Table4[[#This Row],[INSTALLMENT]]=1,Table4[[#This Row],[INSTALLMENT]]=2,Table4[[#This Row],[INSTALLMENT]]=3),1,0)</f>
        <v>0</v>
      </c>
      <c r="F731" s="1">
        <f>IF(OR(Table4[[#This Row],[INSTALLMENT]]=2,Table4[[#This Row],[INSTALLMENT]]=3),2,0)</f>
        <v>0</v>
      </c>
      <c r="G731" s="1">
        <f>IF(OR(Table4[[#This Row],[INSTALLMENT]]=3),3,0)</f>
        <v>0</v>
      </c>
    </row>
    <row r="732" spans="1:7">
      <c r="A732" s="1">
        <v>791</v>
      </c>
      <c r="B732" s="1" t="s">
        <v>2511</v>
      </c>
      <c r="C732" s="1" t="s">
        <v>356</v>
      </c>
      <c r="D732" s="1">
        <f>COUNTIFS('Raw Entries'!B:B,Table4[[#This Row],[Name]],'Raw Entries'!I:I,Table4[[#This Row],[BOOK No.]])</f>
        <v>1</v>
      </c>
      <c r="E732" s="1">
        <f t="array" ref="E732">IF(OR(Table4[[#This Row],[INSTALLMENT]]=1,Table4[[#This Row],[INSTALLMENT]]=2,Table4[[#This Row],[INSTALLMENT]]=3),1,0)</f>
        <v>1</v>
      </c>
      <c r="F732" s="1">
        <f>IF(OR(Table4[[#This Row],[INSTALLMENT]]=2,Table4[[#This Row],[INSTALLMENT]]=3),2,0)</f>
        <v>0</v>
      </c>
      <c r="G732" s="1">
        <f>IF(OR(Table4[[#This Row],[INSTALLMENT]]=3),3,0)</f>
        <v>0</v>
      </c>
    </row>
    <row r="733" spans="1:7">
      <c r="A733" s="1">
        <v>792</v>
      </c>
      <c r="B733" s="1" t="s">
        <v>2512</v>
      </c>
      <c r="C733" s="1" t="s">
        <v>366</v>
      </c>
      <c r="D733" s="1">
        <f>COUNTIFS('Raw Entries'!B:B,Table4[[#This Row],[Name]],'Raw Entries'!I:I,Table4[[#This Row],[BOOK No.]])</f>
        <v>0</v>
      </c>
      <c r="E733" s="1">
        <f t="array" ref="E733">IF(OR(Table4[[#This Row],[INSTALLMENT]]=1,Table4[[#This Row],[INSTALLMENT]]=2,Table4[[#This Row],[INSTALLMENT]]=3),1,0)</f>
        <v>0</v>
      </c>
      <c r="F733" s="1">
        <f>IF(OR(Table4[[#This Row],[INSTALLMENT]]=2,Table4[[#This Row],[INSTALLMENT]]=3),2,0)</f>
        <v>0</v>
      </c>
      <c r="G733" s="1">
        <f>IF(OR(Table4[[#This Row],[INSTALLMENT]]=3),3,0)</f>
        <v>0</v>
      </c>
    </row>
    <row r="734" spans="1:7">
      <c r="A734" s="1">
        <v>793</v>
      </c>
      <c r="B734" s="1" t="s">
        <v>1844</v>
      </c>
      <c r="C734" s="1" t="s">
        <v>366</v>
      </c>
      <c r="D734" s="1">
        <f>COUNTIFS('Raw Entries'!B:B,Table4[[#This Row],[Name]],'Raw Entries'!I:I,Table4[[#This Row],[BOOK No.]])</f>
        <v>1</v>
      </c>
      <c r="E734" s="1">
        <f t="array" ref="E734">IF(OR(Table4[[#This Row],[INSTALLMENT]]=1,Table4[[#This Row],[INSTALLMENT]]=2,Table4[[#This Row],[INSTALLMENT]]=3),1,0)</f>
        <v>1</v>
      </c>
      <c r="F734" s="1">
        <f>IF(OR(Table4[[#This Row],[INSTALLMENT]]=2,Table4[[#This Row],[INSTALLMENT]]=3),2,0)</f>
        <v>0</v>
      </c>
      <c r="G734" s="1">
        <f>IF(OR(Table4[[#This Row],[INSTALLMENT]]=3),3,0)</f>
        <v>0</v>
      </c>
    </row>
    <row r="735" spans="1:7">
      <c r="A735" s="1">
        <v>794</v>
      </c>
      <c r="B735" s="1" t="s">
        <v>655</v>
      </c>
      <c r="C735" s="1" t="s">
        <v>366</v>
      </c>
      <c r="D735" s="1">
        <f>COUNTIFS('Raw Entries'!B:B,Table4[[#This Row],[Name]],'Raw Entries'!I:I,Table4[[#This Row],[BOOK No.]])</f>
        <v>3</v>
      </c>
      <c r="E735" s="1">
        <f t="array" ref="E735">IF(OR(Table4[[#This Row],[INSTALLMENT]]=1,Table4[[#This Row],[INSTALLMENT]]=2,Table4[[#This Row],[INSTALLMENT]]=3),1,0)</f>
        <v>1</v>
      </c>
      <c r="F735" s="1">
        <f>IF(OR(Table4[[#This Row],[INSTALLMENT]]=2,Table4[[#This Row],[INSTALLMENT]]=3),2,0)</f>
        <v>2</v>
      </c>
      <c r="G735" s="1">
        <f>IF(OR(Table4[[#This Row],[INSTALLMENT]]=3),3,0)</f>
        <v>3</v>
      </c>
    </row>
    <row r="736" spans="1:7">
      <c r="A736" s="1">
        <v>795</v>
      </c>
      <c r="B736" s="1" t="s">
        <v>2513</v>
      </c>
      <c r="C736" s="1" t="s">
        <v>366</v>
      </c>
      <c r="D736" s="1">
        <f>COUNTIFS('Raw Entries'!B:B,Table4[[#This Row],[Name]],'Raw Entries'!I:I,Table4[[#This Row],[BOOK No.]])</f>
        <v>0</v>
      </c>
      <c r="E736" s="1">
        <f t="array" ref="E736">IF(OR(Table4[[#This Row],[INSTALLMENT]]=1,Table4[[#This Row],[INSTALLMENT]]=2,Table4[[#This Row],[INSTALLMENT]]=3),1,0)</f>
        <v>0</v>
      </c>
      <c r="F736" s="1">
        <f>IF(OR(Table4[[#This Row],[INSTALLMENT]]=2,Table4[[#This Row],[INSTALLMENT]]=3),2,0)</f>
        <v>0</v>
      </c>
      <c r="G736" s="1">
        <f>IF(OR(Table4[[#This Row],[INSTALLMENT]]=3),3,0)</f>
        <v>0</v>
      </c>
    </row>
    <row r="737" spans="1:7">
      <c r="A737" s="1">
        <v>796</v>
      </c>
      <c r="B737" s="1" t="s">
        <v>2514</v>
      </c>
      <c r="C737" s="1" t="s">
        <v>366</v>
      </c>
      <c r="D737" s="1">
        <f>COUNTIFS('Raw Entries'!B:B,Table4[[#This Row],[Name]],'Raw Entries'!I:I,Table4[[#This Row],[BOOK No.]])</f>
        <v>0</v>
      </c>
      <c r="E737" s="1">
        <f t="array" ref="E737">IF(OR(Table4[[#This Row],[INSTALLMENT]]=1,Table4[[#This Row],[INSTALLMENT]]=2,Table4[[#This Row],[INSTALLMENT]]=3),1,0)</f>
        <v>0</v>
      </c>
      <c r="F737" s="1">
        <f>IF(OR(Table4[[#This Row],[INSTALLMENT]]=2,Table4[[#This Row],[INSTALLMENT]]=3),2,0)</f>
        <v>0</v>
      </c>
      <c r="G737" s="1">
        <f>IF(OR(Table4[[#This Row],[INSTALLMENT]]=3),3,0)</f>
        <v>0</v>
      </c>
    </row>
    <row r="738" spans="1:7">
      <c r="A738" s="1">
        <v>797</v>
      </c>
      <c r="B738" s="1" t="s">
        <v>595</v>
      </c>
      <c r="C738" s="1" t="s">
        <v>366</v>
      </c>
      <c r="D738" s="1">
        <f>COUNTIFS('Raw Entries'!B:B,Table4[[#This Row],[Name]],'Raw Entries'!I:I,Table4[[#This Row],[BOOK No.]])</f>
        <v>3</v>
      </c>
      <c r="E738" s="1">
        <f t="array" ref="E738">IF(OR(Table4[[#This Row],[INSTALLMENT]]=1,Table4[[#This Row],[INSTALLMENT]]=2,Table4[[#This Row],[INSTALLMENT]]=3),1,0)</f>
        <v>1</v>
      </c>
      <c r="F738" s="1">
        <f>IF(OR(Table4[[#This Row],[INSTALLMENT]]=2,Table4[[#This Row],[INSTALLMENT]]=3),2,0)</f>
        <v>2</v>
      </c>
      <c r="G738" s="1">
        <f>IF(OR(Table4[[#This Row],[INSTALLMENT]]=3),3,0)</f>
        <v>3</v>
      </c>
    </row>
    <row r="739" spans="1:7">
      <c r="A739" s="1">
        <v>798</v>
      </c>
      <c r="B739" s="1" t="s">
        <v>2515</v>
      </c>
      <c r="C739" s="1" t="s">
        <v>366</v>
      </c>
      <c r="D739" s="1">
        <f>COUNTIFS('Raw Entries'!B:B,Table4[[#This Row],[Name]],'Raw Entries'!I:I,Table4[[#This Row],[BOOK No.]])</f>
        <v>0</v>
      </c>
      <c r="E739" s="1">
        <f t="array" ref="E739">IF(OR(Table4[[#This Row],[INSTALLMENT]]=1,Table4[[#This Row],[INSTALLMENT]]=2,Table4[[#This Row],[INSTALLMENT]]=3),1,0)</f>
        <v>0</v>
      </c>
      <c r="F739" s="1">
        <f>IF(OR(Table4[[#This Row],[INSTALLMENT]]=2,Table4[[#This Row],[INSTALLMENT]]=3),2,0)</f>
        <v>0</v>
      </c>
      <c r="G739" s="1">
        <f>IF(OR(Table4[[#This Row],[INSTALLMENT]]=3),3,0)</f>
        <v>0</v>
      </c>
    </row>
    <row r="740" spans="1:7">
      <c r="A740" s="1">
        <v>799</v>
      </c>
      <c r="B740" s="1" t="s">
        <v>2516</v>
      </c>
      <c r="C740" s="1" t="s">
        <v>366</v>
      </c>
      <c r="D740" s="1">
        <f>COUNTIFS('Raw Entries'!B:B,Table4[[#This Row],[Name]],'Raw Entries'!I:I,Table4[[#This Row],[BOOK No.]])</f>
        <v>0</v>
      </c>
      <c r="E740" s="1">
        <f t="array" ref="E740">IF(OR(Table4[[#This Row],[INSTALLMENT]]=1,Table4[[#This Row],[INSTALLMENT]]=2,Table4[[#This Row],[INSTALLMENT]]=3),1,0)</f>
        <v>0</v>
      </c>
      <c r="F740" s="1">
        <f>IF(OR(Table4[[#This Row],[INSTALLMENT]]=2,Table4[[#This Row],[INSTALLMENT]]=3),2,0)</f>
        <v>0</v>
      </c>
      <c r="G740" s="1">
        <f>IF(OR(Table4[[#This Row],[INSTALLMENT]]=3),3,0)</f>
        <v>0</v>
      </c>
    </row>
    <row r="741" spans="1:7">
      <c r="A741" s="1">
        <v>800</v>
      </c>
      <c r="B741" s="1" t="s">
        <v>2517</v>
      </c>
      <c r="C741" s="1" t="s">
        <v>366</v>
      </c>
      <c r="D741" s="1">
        <f>COUNTIFS('Raw Entries'!B:B,Table4[[#This Row],[Name]],'Raw Entries'!I:I,Table4[[#This Row],[BOOK No.]])</f>
        <v>0</v>
      </c>
      <c r="E741" s="1">
        <f t="array" ref="E741">IF(OR(Table4[[#This Row],[INSTALLMENT]]=1,Table4[[#This Row],[INSTALLMENT]]=2,Table4[[#This Row],[INSTALLMENT]]=3),1,0)</f>
        <v>0</v>
      </c>
      <c r="F741" s="1">
        <f>IF(OR(Table4[[#This Row],[INSTALLMENT]]=2,Table4[[#This Row],[INSTALLMENT]]=3),2,0)</f>
        <v>0</v>
      </c>
      <c r="G741" s="1">
        <f>IF(OR(Table4[[#This Row],[INSTALLMENT]]=3),3,0)</f>
        <v>0</v>
      </c>
    </row>
    <row r="742" spans="1:7">
      <c r="A742" s="1">
        <v>801</v>
      </c>
      <c r="B742" s="1" t="s">
        <v>371</v>
      </c>
      <c r="C742" s="1" t="s">
        <v>366</v>
      </c>
      <c r="D742" s="1">
        <f>COUNTIFS('Raw Entries'!B:B,Table4[[#This Row],[Name]],'Raw Entries'!I:I,Table4[[#This Row],[BOOK No.]])</f>
        <v>1</v>
      </c>
      <c r="E742" s="1">
        <f t="array" ref="E742">IF(OR(Table4[[#This Row],[INSTALLMENT]]=1,Table4[[#This Row],[INSTALLMENT]]=2,Table4[[#This Row],[INSTALLMENT]]=3),1,0)</f>
        <v>1</v>
      </c>
      <c r="F742" s="1">
        <f>IF(OR(Table4[[#This Row],[INSTALLMENT]]=2,Table4[[#This Row],[INSTALLMENT]]=3),2,0)</f>
        <v>0</v>
      </c>
      <c r="G742" s="1">
        <f>IF(OR(Table4[[#This Row],[INSTALLMENT]]=3),3,0)</f>
        <v>0</v>
      </c>
    </row>
    <row r="743" spans="1:7">
      <c r="A743" s="1">
        <v>802</v>
      </c>
      <c r="B743" s="1" t="s">
        <v>372</v>
      </c>
      <c r="C743" s="1" t="s">
        <v>366</v>
      </c>
      <c r="D743" s="1">
        <f>COUNTIFS('Raw Entries'!B:B,Table4[[#This Row],[Name]],'Raw Entries'!I:I,Table4[[#This Row],[BOOK No.]])</f>
        <v>1</v>
      </c>
      <c r="E743" s="1">
        <f t="array" ref="E743">IF(OR(Table4[[#This Row],[INSTALLMENT]]=1,Table4[[#This Row],[INSTALLMENT]]=2,Table4[[#This Row],[INSTALLMENT]]=3),1,0)</f>
        <v>1</v>
      </c>
      <c r="F743" s="1">
        <f>IF(OR(Table4[[#This Row],[INSTALLMENT]]=2,Table4[[#This Row],[INSTALLMENT]]=3),2,0)</f>
        <v>0</v>
      </c>
      <c r="G743" s="1">
        <f>IF(OR(Table4[[#This Row],[INSTALLMENT]]=3),3,0)</f>
        <v>0</v>
      </c>
    </row>
    <row r="744" spans="1:7">
      <c r="A744" s="1">
        <v>803</v>
      </c>
      <c r="B744" s="1" t="s">
        <v>2518</v>
      </c>
      <c r="C744" s="1" t="s">
        <v>366</v>
      </c>
      <c r="D744" s="1">
        <f>COUNTIFS('Raw Entries'!B:B,Table4[[#This Row],[Name]],'Raw Entries'!I:I,Table4[[#This Row],[BOOK No.]])</f>
        <v>0</v>
      </c>
      <c r="E744" s="1">
        <f t="array" ref="E744">IF(OR(Table4[[#This Row],[INSTALLMENT]]=1,Table4[[#This Row],[INSTALLMENT]]=2,Table4[[#This Row],[INSTALLMENT]]=3),1,0)</f>
        <v>0</v>
      </c>
      <c r="F744" s="1">
        <f>IF(OR(Table4[[#This Row],[INSTALLMENT]]=2,Table4[[#This Row],[INSTALLMENT]]=3),2,0)</f>
        <v>0</v>
      </c>
      <c r="G744" s="1">
        <f>IF(OR(Table4[[#This Row],[INSTALLMENT]]=3),3,0)</f>
        <v>0</v>
      </c>
    </row>
    <row r="745" spans="1:7">
      <c r="A745" s="1">
        <v>804</v>
      </c>
      <c r="B745" s="1" t="s">
        <v>2519</v>
      </c>
      <c r="C745" s="1" t="s">
        <v>366</v>
      </c>
      <c r="D745" s="1">
        <f>COUNTIFS('Raw Entries'!B:B,Table4[[#This Row],[Name]],'Raw Entries'!I:I,Table4[[#This Row],[BOOK No.]])</f>
        <v>0</v>
      </c>
      <c r="E745" s="1">
        <f t="array" ref="E745">IF(OR(Table4[[#This Row],[INSTALLMENT]]=1,Table4[[#This Row],[INSTALLMENT]]=2,Table4[[#This Row],[INSTALLMENT]]=3),1,0)</f>
        <v>0</v>
      </c>
      <c r="F745" s="1">
        <f>IF(OR(Table4[[#This Row],[INSTALLMENT]]=2,Table4[[#This Row],[INSTALLMENT]]=3),2,0)</f>
        <v>0</v>
      </c>
      <c r="G745" s="1">
        <f>IF(OR(Table4[[#This Row],[INSTALLMENT]]=3),3,0)</f>
        <v>0</v>
      </c>
    </row>
    <row r="746" spans="1:7">
      <c r="A746" s="1">
        <v>805</v>
      </c>
      <c r="B746" s="1" t="s">
        <v>2520</v>
      </c>
      <c r="C746" s="1" t="s">
        <v>366</v>
      </c>
      <c r="D746" s="1">
        <f>COUNTIFS('Raw Entries'!B:B,Table4[[#This Row],[Name]],'Raw Entries'!I:I,Table4[[#This Row],[BOOK No.]])</f>
        <v>3</v>
      </c>
      <c r="E746" s="1">
        <f t="array" ref="E746">IF(OR(Table4[[#This Row],[INSTALLMENT]]=1,Table4[[#This Row],[INSTALLMENT]]=2,Table4[[#This Row],[INSTALLMENT]]=3),1,0)</f>
        <v>1</v>
      </c>
      <c r="F746" s="1">
        <f>IF(OR(Table4[[#This Row],[INSTALLMENT]]=2,Table4[[#This Row],[INSTALLMENT]]=3),2,0)</f>
        <v>2</v>
      </c>
      <c r="G746" s="1">
        <f>IF(OR(Table4[[#This Row],[INSTALLMENT]]=3),3,0)</f>
        <v>3</v>
      </c>
    </row>
    <row r="747" spans="1:7">
      <c r="A747" s="1">
        <v>806</v>
      </c>
      <c r="B747" s="1" t="s">
        <v>2521</v>
      </c>
      <c r="C747" s="1" t="s">
        <v>366</v>
      </c>
      <c r="D747" s="1">
        <f>COUNTIFS('Raw Entries'!B:B,Table4[[#This Row],[Name]],'Raw Entries'!I:I,Table4[[#This Row],[BOOK No.]])</f>
        <v>0</v>
      </c>
      <c r="E747" s="1">
        <f t="array" ref="E747">IF(OR(Table4[[#This Row],[INSTALLMENT]]=1,Table4[[#This Row],[INSTALLMENT]]=2,Table4[[#This Row],[INSTALLMENT]]=3),1,0)</f>
        <v>0</v>
      </c>
      <c r="F747" s="1">
        <f>IF(OR(Table4[[#This Row],[INSTALLMENT]]=2,Table4[[#This Row],[INSTALLMENT]]=3),2,0)</f>
        <v>0</v>
      </c>
      <c r="G747" s="1">
        <f>IF(OR(Table4[[#This Row],[INSTALLMENT]]=3),3,0)</f>
        <v>0</v>
      </c>
    </row>
    <row r="748" spans="1:7">
      <c r="A748" s="1">
        <v>807</v>
      </c>
      <c r="B748" s="1" t="s">
        <v>2522</v>
      </c>
      <c r="C748" s="1" t="s">
        <v>366</v>
      </c>
      <c r="D748" s="1">
        <f>COUNTIFS('Raw Entries'!B:B,Table4[[#This Row],[Name]],'Raw Entries'!I:I,Table4[[#This Row],[BOOK No.]])</f>
        <v>0</v>
      </c>
      <c r="E748" s="1">
        <f t="array" ref="E748">IF(OR(Table4[[#This Row],[INSTALLMENT]]=1,Table4[[#This Row],[INSTALLMENT]]=2,Table4[[#This Row],[INSTALLMENT]]=3),1,0)</f>
        <v>0</v>
      </c>
      <c r="F748" s="1">
        <f>IF(OR(Table4[[#This Row],[INSTALLMENT]]=2,Table4[[#This Row],[INSTALLMENT]]=3),2,0)</f>
        <v>0</v>
      </c>
      <c r="G748" s="1">
        <f>IF(OR(Table4[[#This Row],[INSTALLMENT]]=3),3,0)</f>
        <v>0</v>
      </c>
    </row>
    <row r="749" spans="1:7">
      <c r="A749" s="1">
        <v>808</v>
      </c>
      <c r="B749" s="1" t="s">
        <v>368</v>
      </c>
      <c r="C749" s="1" t="s">
        <v>366</v>
      </c>
      <c r="D749" s="1">
        <f>COUNTIFS('Raw Entries'!B:B,Table4[[#This Row],[Name]],'Raw Entries'!I:I,Table4[[#This Row],[BOOK No.]])</f>
        <v>1</v>
      </c>
      <c r="E749" s="1">
        <f t="array" ref="E749">IF(OR(Table4[[#This Row],[INSTALLMENT]]=1,Table4[[#This Row],[INSTALLMENT]]=2,Table4[[#This Row],[INSTALLMENT]]=3),1,0)</f>
        <v>1</v>
      </c>
      <c r="F749" s="1">
        <f>IF(OR(Table4[[#This Row],[INSTALLMENT]]=2,Table4[[#This Row],[INSTALLMENT]]=3),2,0)</f>
        <v>0</v>
      </c>
      <c r="G749" s="1">
        <f>IF(OR(Table4[[#This Row],[INSTALLMENT]]=3),3,0)</f>
        <v>0</v>
      </c>
    </row>
    <row r="750" spans="1:7">
      <c r="A750" s="1">
        <v>809</v>
      </c>
      <c r="B750" s="1" t="s">
        <v>2523</v>
      </c>
      <c r="C750" s="1" t="s">
        <v>366</v>
      </c>
      <c r="D750" s="1">
        <f>COUNTIFS('Raw Entries'!B:B,Table4[[#This Row],[Name]],'Raw Entries'!I:I,Table4[[#This Row],[BOOK No.]])</f>
        <v>0</v>
      </c>
      <c r="E750" s="1">
        <f t="array" ref="E750">IF(OR(Table4[[#This Row],[INSTALLMENT]]=1,Table4[[#This Row],[INSTALLMENT]]=2,Table4[[#This Row],[INSTALLMENT]]=3),1,0)</f>
        <v>0</v>
      </c>
      <c r="F750" s="1">
        <f>IF(OR(Table4[[#This Row],[INSTALLMENT]]=2,Table4[[#This Row],[INSTALLMENT]]=3),2,0)</f>
        <v>0</v>
      </c>
      <c r="G750" s="1">
        <f>IF(OR(Table4[[#This Row],[INSTALLMENT]]=3),3,0)</f>
        <v>0</v>
      </c>
    </row>
    <row r="751" spans="1:7">
      <c r="A751" s="1">
        <v>810</v>
      </c>
      <c r="B751" s="1" t="s">
        <v>2524</v>
      </c>
      <c r="C751" s="1" t="s">
        <v>366</v>
      </c>
      <c r="D751" s="1">
        <f>COUNTIFS('Raw Entries'!B:B,Table4[[#This Row],[Name]],'Raw Entries'!I:I,Table4[[#This Row],[BOOK No.]])</f>
        <v>0</v>
      </c>
      <c r="E751" s="1">
        <f t="array" ref="E751">IF(OR(Table4[[#This Row],[INSTALLMENT]]=1,Table4[[#This Row],[INSTALLMENT]]=2,Table4[[#This Row],[INSTALLMENT]]=3),1,0)</f>
        <v>0</v>
      </c>
      <c r="F751" s="1">
        <f>IF(OR(Table4[[#This Row],[INSTALLMENT]]=2,Table4[[#This Row],[INSTALLMENT]]=3),2,0)</f>
        <v>0</v>
      </c>
      <c r="G751" s="1">
        <f>IF(OR(Table4[[#This Row],[INSTALLMENT]]=3),3,0)</f>
        <v>0</v>
      </c>
    </row>
    <row r="752" spans="1:7">
      <c r="A752" s="1">
        <v>811</v>
      </c>
      <c r="B752" s="1" t="s">
        <v>2525</v>
      </c>
      <c r="C752" s="1" t="s">
        <v>366</v>
      </c>
      <c r="D752" s="1">
        <f>COUNTIFS('Raw Entries'!B:B,Table4[[#This Row],[Name]],'Raw Entries'!I:I,Table4[[#This Row],[BOOK No.]])</f>
        <v>0</v>
      </c>
      <c r="E752" s="1">
        <f t="array" ref="E752">IF(OR(Table4[[#This Row],[INSTALLMENT]]=1,Table4[[#This Row],[INSTALLMENT]]=2,Table4[[#This Row],[INSTALLMENT]]=3),1,0)</f>
        <v>0</v>
      </c>
      <c r="F752" s="1">
        <f>IF(OR(Table4[[#This Row],[INSTALLMENT]]=2,Table4[[#This Row],[INSTALLMENT]]=3),2,0)</f>
        <v>0</v>
      </c>
      <c r="G752" s="1">
        <f>IF(OR(Table4[[#This Row],[INSTALLMENT]]=3),3,0)</f>
        <v>0</v>
      </c>
    </row>
    <row r="753" spans="1:7">
      <c r="A753" s="1">
        <v>812</v>
      </c>
      <c r="B753" s="1" t="s">
        <v>2526</v>
      </c>
      <c r="C753" s="1" t="s">
        <v>366</v>
      </c>
      <c r="D753" s="1">
        <f>COUNTIFS('Raw Entries'!B:B,Table4[[#This Row],[Name]],'Raw Entries'!I:I,Table4[[#This Row],[BOOK No.]])</f>
        <v>0</v>
      </c>
      <c r="E753" s="1">
        <f t="array" ref="E753">IF(OR(Table4[[#This Row],[INSTALLMENT]]=1,Table4[[#This Row],[INSTALLMENT]]=2,Table4[[#This Row],[INSTALLMENT]]=3),1,0)</f>
        <v>0</v>
      </c>
      <c r="F753" s="1">
        <f>IF(OR(Table4[[#This Row],[INSTALLMENT]]=2,Table4[[#This Row],[INSTALLMENT]]=3),2,0)</f>
        <v>0</v>
      </c>
      <c r="G753" s="1">
        <f>IF(OR(Table4[[#This Row],[INSTALLMENT]]=3),3,0)</f>
        <v>0</v>
      </c>
    </row>
    <row r="754" spans="1:7">
      <c r="A754" s="1">
        <v>813</v>
      </c>
      <c r="B754" s="1" t="s">
        <v>370</v>
      </c>
      <c r="C754" s="1" t="s">
        <v>366</v>
      </c>
      <c r="D754" s="1">
        <f>COUNTIFS('Raw Entries'!B:B,Table4[[#This Row],[Name]],'Raw Entries'!I:I,Table4[[#This Row],[BOOK No.]])</f>
        <v>3</v>
      </c>
      <c r="E754" s="1">
        <f t="array" ref="E754">IF(OR(Table4[[#This Row],[INSTALLMENT]]=1,Table4[[#This Row],[INSTALLMENT]]=2,Table4[[#This Row],[INSTALLMENT]]=3),1,0)</f>
        <v>1</v>
      </c>
      <c r="F754" s="1">
        <f>IF(OR(Table4[[#This Row],[INSTALLMENT]]=2,Table4[[#This Row],[INSTALLMENT]]=3),2,0)</f>
        <v>2</v>
      </c>
      <c r="G754" s="1">
        <f>IF(OR(Table4[[#This Row],[INSTALLMENT]]=3),3,0)</f>
        <v>3</v>
      </c>
    </row>
    <row r="755" spans="1:7">
      <c r="A755" s="1">
        <v>814</v>
      </c>
      <c r="B755" s="1" t="s">
        <v>369</v>
      </c>
      <c r="C755" s="1" t="s">
        <v>366</v>
      </c>
      <c r="D755" s="1">
        <f>COUNTIFS('Raw Entries'!B:B,Table4[[#This Row],[Name]],'Raw Entries'!I:I,Table4[[#This Row],[BOOK No.]])</f>
        <v>3</v>
      </c>
      <c r="E755" s="1">
        <f t="array" ref="E755">IF(OR(Table4[[#This Row],[INSTALLMENT]]=1,Table4[[#This Row],[INSTALLMENT]]=2,Table4[[#This Row],[INSTALLMENT]]=3),1,0)</f>
        <v>1</v>
      </c>
      <c r="F755" s="1">
        <f>IF(OR(Table4[[#This Row],[INSTALLMENT]]=2,Table4[[#This Row],[INSTALLMENT]]=3),2,0)</f>
        <v>2</v>
      </c>
      <c r="G755" s="1">
        <f>IF(OR(Table4[[#This Row],[INSTALLMENT]]=3),3,0)</f>
        <v>3</v>
      </c>
    </row>
    <row r="756" spans="1:7">
      <c r="A756" s="1">
        <v>815</v>
      </c>
      <c r="B756" s="1" t="s">
        <v>373</v>
      </c>
      <c r="C756" s="1" t="s">
        <v>366</v>
      </c>
      <c r="D756" s="1">
        <f>COUNTIFS('Raw Entries'!B:B,Table4[[#This Row],[Name]],'Raw Entries'!I:I,Table4[[#This Row],[BOOK No.]])</f>
        <v>3</v>
      </c>
      <c r="E756" s="1">
        <f t="array" ref="E756">IF(OR(Table4[[#This Row],[INSTALLMENT]]=1,Table4[[#This Row],[INSTALLMENT]]=2,Table4[[#This Row],[INSTALLMENT]]=3),1,0)</f>
        <v>1</v>
      </c>
      <c r="F756" s="1">
        <f>IF(OR(Table4[[#This Row],[INSTALLMENT]]=2,Table4[[#This Row],[INSTALLMENT]]=3),2,0)</f>
        <v>2</v>
      </c>
      <c r="G756" s="1">
        <f>IF(OR(Table4[[#This Row],[INSTALLMENT]]=3),3,0)</f>
        <v>3</v>
      </c>
    </row>
    <row r="757" spans="1:7">
      <c r="A757" s="1">
        <v>816</v>
      </c>
      <c r="B757" s="1" t="s">
        <v>2527</v>
      </c>
      <c r="C757" s="1" t="s">
        <v>366</v>
      </c>
      <c r="D757" s="1">
        <f>COUNTIFS('Raw Entries'!B:B,Table4[[#This Row],[Name]],'Raw Entries'!I:I,Table4[[#This Row],[BOOK No.]])</f>
        <v>0</v>
      </c>
      <c r="E757" s="1">
        <f t="array" ref="E757">IF(OR(Table4[[#This Row],[INSTALLMENT]]=1,Table4[[#This Row],[INSTALLMENT]]=2,Table4[[#This Row],[INSTALLMENT]]=3),1,0)</f>
        <v>0</v>
      </c>
      <c r="F757" s="1">
        <f>IF(OR(Table4[[#This Row],[INSTALLMENT]]=2,Table4[[#This Row],[INSTALLMENT]]=3),2,0)</f>
        <v>0</v>
      </c>
      <c r="G757" s="1">
        <f>IF(OR(Table4[[#This Row],[INSTALLMENT]]=3),3,0)</f>
        <v>0</v>
      </c>
    </row>
    <row r="758" spans="1:7">
      <c r="A758" s="1">
        <v>817</v>
      </c>
      <c r="B758" s="1" t="s">
        <v>2528</v>
      </c>
      <c r="C758" s="1" t="s">
        <v>366</v>
      </c>
      <c r="D758" s="1">
        <f>COUNTIFS('Raw Entries'!B:B,Table4[[#This Row],[Name]],'Raw Entries'!I:I,Table4[[#This Row],[BOOK No.]])</f>
        <v>3</v>
      </c>
      <c r="E758" s="1">
        <f t="array" ref="E758">IF(OR(Table4[[#This Row],[INSTALLMENT]]=1,Table4[[#This Row],[INSTALLMENT]]=2,Table4[[#This Row],[INSTALLMENT]]=3),1,0)</f>
        <v>1</v>
      </c>
      <c r="F758" s="1">
        <f>IF(OR(Table4[[#This Row],[INSTALLMENT]]=2,Table4[[#This Row],[INSTALLMENT]]=3),2,0)</f>
        <v>2</v>
      </c>
      <c r="G758" s="1">
        <f>IF(OR(Table4[[#This Row],[INSTALLMENT]]=3),3,0)</f>
        <v>3</v>
      </c>
    </row>
    <row r="759" spans="1:7">
      <c r="A759" s="1">
        <v>818</v>
      </c>
      <c r="B759" s="1" t="s">
        <v>651</v>
      </c>
      <c r="C759" s="1" t="s">
        <v>366</v>
      </c>
      <c r="D759" s="1">
        <f>COUNTIFS('Raw Entries'!B:B,Table4[[#This Row],[Name]],'Raw Entries'!I:I,Table4[[#This Row],[BOOK No.]])</f>
        <v>3</v>
      </c>
      <c r="E759" s="1">
        <f t="array" ref="E759">IF(OR(Table4[[#This Row],[INSTALLMENT]]=1,Table4[[#This Row],[INSTALLMENT]]=2,Table4[[#This Row],[INSTALLMENT]]=3),1,0)</f>
        <v>1</v>
      </c>
      <c r="F759" s="1">
        <f>IF(OR(Table4[[#This Row],[INSTALLMENT]]=2,Table4[[#This Row],[INSTALLMENT]]=3),2,0)</f>
        <v>2</v>
      </c>
      <c r="G759" s="1">
        <f>IF(OR(Table4[[#This Row],[INSTALLMENT]]=3),3,0)</f>
        <v>3</v>
      </c>
    </row>
    <row r="760" spans="1:7">
      <c r="A760" s="1">
        <v>819</v>
      </c>
      <c r="B760" s="1" t="s">
        <v>2529</v>
      </c>
      <c r="C760" s="1" t="s">
        <v>366</v>
      </c>
      <c r="D760" s="1">
        <f>COUNTIFS('Raw Entries'!B:B,Table4[[#This Row],[Name]],'Raw Entries'!I:I,Table4[[#This Row],[BOOK No.]])</f>
        <v>0</v>
      </c>
      <c r="E760" s="1">
        <f t="array" ref="E760">IF(OR(Table4[[#This Row],[INSTALLMENT]]=1,Table4[[#This Row],[INSTALLMENT]]=2,Table4[[#This Row],[INSTALLMENT]]=3),1,0)</f>
        <v>0</v>
      </c>
      <c r="F760" s="1">
        <f>IF(OR(Table4[[#This Row],[INSTALLMENT]]=2,Table4[[#This Row],[INSTALLMENT]]=3),2,0)</f>
        <v>0</v>
      </c>
      <c r="G760" s="1">
        <f>IF(OR(Table4[[#This Row],[INSTALLMENT]]=3),3,0)</f>
        <v>0</v>
      </c>
    </row>
    <row r="761" spans="1:7">
      <c r="A761" s="1">
        <v>820</v>
      </c>
      <c r="B761" s="1" t="s">
        <v>2530</v>
      </c>
      <c r="C761" s="1" t="s">
        <v>366</v>
      </c>
      <c r="D761" s="1">
        <f>COUNTIFS('Raw Entries'!B:B,Table4[[#This Row],[Name]],'Raw Entries'!I:I,Table4[[#This Row],[BOOK No.]])</f>
        <v>0</v>
      </c>
      <c r="E761" s="1">
        <f t="array" ref="E761">IF(OR(Table4[[#This Row],[INSTALLMENT]]=1,Table4[[#This Row],[INSTALLMENT]]=2,Table4[[#This Row],[INSTALLMENT]]=3),1,0)</f>
        <v>0</v>
      </c>
      <c r="F761" s="1">
        <f>IF(OR(Table4[[#This Row],[INSTALLMENT]]=2,Table4[[#This Row],[INSTALLMENT]]=3),2,0)</f>
        <v>0</v>
      </c>
      <c r="G761" s="1">
        <f>IF(OR(Table4[[#This Row],[INSTALLMENT]]=3),3,0)</f>
        <v>0</v>
      </c>
    </row>
    <row r="762" spans="1:7">
      <c r="A762" s="1">
        <v>821</v>
      </c>
      <c r="B762" s="1" t="s">
        <v>2531</v>
      </c>
      <c r="C762" s="1" t="s">
        <v>366</v>
      </c>
      <c r="D762" s="1">
        <f>COUNTIFS('Raw Entries'!B:B,Table4[[#This Row],[Name]],'Raw Entries'!I:I,Table4[[#This Row],[BOOK No.]])</f>
        <v>0</v>
      </c>
      <c r="E762" s="1">
        <f t="array" ref="E762">IF(OR(Table4[[#This Row],[INSTALLMENT]]=1,Table4[[#This Row],[INSTALLMENT]]=2,Table4[[#This Row],[INSTALLMENT]]=3),1,0)</f>
        <v>0</v>
      </c>
      <c r="F762" s="1">
        <f>IF(OR(Table4[[#This Row],[INSTALLMENT]]=2,Table4[[#This Row],[INSTALLMENT]]=3),2,0)</f>
        <v>0</v>
      </c>
      <c r="G762" s="1">
        <f>IF(OR(Table4[[#This Row],[INSTALLMENT]]=3),3,0)</f>
        <v>0</v>
      </c>
    </row>
    <row r="763" spans="1:7">
      <c r="A763" s="1">
        <v>822</v>
      </c>
      <c r="B763" s="1" t="s">
        <v>2532</v>
      </c>
      <c r="C763" s="1" t="s">
        <v>366</v>
      </c>
      <c r="D763" s="1">
        <f>COUNTIFS('Raw Entries'!B:B,Table4[[#This Row],[Name]],'Raw Entries'!I:I,Table4[[#This Row],[BOOK No.]])</f>
        <v>0</v>
      </c>
      <c r="E763" s="1">
        <f t="array" ref="E763">IF(OR(Table4[[#This Row],[INSTALLMENT]]=1,Table4[[#This Row],[INSTALLMENT]]=2,Table4[[#This Row],[INSTALLMENT]]=3),1,0)</f>
        <v>0</v>
      </c>
      <c r="F763" s="1">
        <f>IF(OR(Table4[[#This Row],[INSTALLMENT]]=2,Table4[[#This Row],[INSTALLMENT]]=3),2,0)</f>
        <v>0</v>
      </c>
      <c r="G763" s="1">
        <f>IF(OR(Table4[[#This Row],[INSTALLMENT]]=3),3,0)</f>
        <v>0</v>
      </c>
    </row>
    <row r="764" spans="1:7">
      <c r="A764" s="1">
        <v>823</v>
      </c>
      <c r="B764" s="1" t="s">
        <v>2533</v>
      </c>
      <c r="C764" s="1" t="s">
        <v>366</v>
      </c>
      <c r="D764" s="1">
        <f>COUNTIFS('Raw Entries'!B:B,Table4[[#This Row],[Name]],'Raw Entries'!I:I,Table4[[#This Row],[BOOK No.]])</f>
        <v>0</v>
      </c>
      <c r="E764" s="1">
        <f t="array" ref="E764">IF(OR(Table4[[#This Row],[INSTALLMENT]]=1,Table4[[#This Row],[INSTALLMENT]]=2,Table4[[#This Row],[INSTALLMENT]]=3),1,0)</f>
        <v>0</v>
      </c>
      <c r="F764" s="1">
        <f>IF(OR(Table4[[#This Row],[INSTALLMENT]]=2,Table4[[#This Row],[INSTALLMENT]]=3),2,0)</f>
        <v>0</v>
      </c>
      <c r="G764" s="1">
        <f>IF(OR(Table4[[#This Row],[INSTALLMENT]]=3),3,0)</f>
        <v>0</v>
      </c>
    </row>
    <row r="765" spans="1:7">
      <c r="A765" s="1">
        <v>824</v>
      </c>
      <c r="B765" s="1" t="s">
        <v>2534</v>
      </c>
      <c r="C765" s="1" t="s">
        <v>366</v>
      </c>
      <c r="D765" s="1">
        <f>COUNTIFS('Raw Entries'!B:B,Table4[[#This Row],[Name]],'Raw Entries'!I:I,Table4[[#This Row],[BOOK No.]])</f>
        <v>0</v>
      </c>
      <c r="E765" s="1">
        <f t="array" ref="E765">IF(OR(Table4[[#This Row],[INSTALLMENT]]=1,Table4[[#This Row],[INSTALLMENT]]=2,Table4[[#This Row],[INSTALLMENT]]=3),1,0)</f>
        <v>0</v>
      </c>
      <c r="F765" s="1">
        <f>IF(OR(Table4[[#This Row],[INSTALLMENT]]=2,Table4[[#This Row],[INSTALLMENT]]=3),2,0)</f>
        <v>0</v>
      </c>
      <c r="G765" s="1">
        <f>IF(OR(Table4[[#This Row],[INSTALLMENT]]=3),3,0)</f>
        <v>0</v>
      </c>
    </row>
    <row r="766" spans="1:7">
      <c r="A766" s="1">
        <v>825</v>
      </c>
      <c r="B766" s="1" t="s">
        <v>367</v>
      </c>
      <c r="C766" s="1" t="s">
        <v>366</v>
      </c>
      <c r="D766" s="1">
        <f>COUNTIFS('Raw Entries'!B:B,Table4[[#This Row],[Name]],'Raw Entries'!I:I,Table4[[#This Row],[BOOK No.]])</f>
        <v>1</v>
      </c>
      <c r="E766" s="1">
        <f t="array" ref="E766">IF(OR(Table4[[#This Row],[INSTALLMENT]]=1,Table4[[#This Row],[INSTALLMENT]]=2,Table4[[#This Row],[INSTALLMENT]]=3),1,0)</f>
        <v>1</v>
      </c>
      <c r="F766" s="1">
        <f>IF(OR(Table4[[#This Row],[INSTALLMENT]]=2,Table4[[#This Row],[INSTALLMENT]]=3),2,0)</f>
        <v>0</v>
      </c>
      <c r="G766" s="1">
        <f>IF(OR(Table4[[#This Row],[INSTALLMENT]]=3),3,0)</f>
        <v>0</v>
      </c>
    </row>
    <row r="767" spans="1:7">
      <c r="A767" s="1">
        <v>826</v>
      </c>
      <c r="B767" s="1" t="s">
        <v>2535</v>
      </c>
      <c r="C767" s="1" t="s">
        <v>366</v>
      </c>
      <c r="D767" s="1">
        <f>COUNTIFS('Raw Entries'!B:B,Table4[[#This Row],[Name]],'Raw Entries'!I:I,Table4[[#This Row],[BOOK No.]])</f>
        <v>0</v>
      </c>
      <c r="E767" s="1">
        <f t="array" ref="E767">IF(OR(Table4[[#This Row],[INSTALLMENT]]=1,Table4[[#This Row],[INSTALLMENT]]=2,Table4[[#This Row],[INSTALLMENT]]=3),1,0)</f>
        <v>0</v>
      </c>
      <c r="F767" s="1">
        <f>IF(OR(Table4[[#This Row],[INSTALLMENT]]=2,Table4[[#This Row],[INSTALLMENT]]=3),2,0)</f>
        <v>0</v>
      </c>
      <c r="G767" s="1">
        <f>IF(OR(Table4[[#This Row],[INSTALLMENT]]=3),3,0)</f>
        <v>0</v>
      </c>
    </row>
    <row r="768" spans="1:7">
      <c r="A768" s="1">
        <v>827</v>
      </c>
      <c r="B768" s="1" t="s">
        <v>2536</v>
      </c>
      <c r="C768" s="1" t="s">
        <v>366</v>
      </c>
      <c r="D768" s="1">
        <f>COUNTIFS('Raw Entries'!B:B,Table4[[#This Row],[Name]],'Raw Entries'!I:I,Table4[[#This Row],[BOOK No.]])</f>
        <v>0</v>
      </c>
      <c r="E768" s="1">
        <f t="array" ref="E768">IF(OR(Table4[[#This Row],[INSTALLMENT]]=1,Table4[[#This Row],[INSTALLMENT]]=2,Table4[[#This Row],[INSTALLMENT]]=3),1,0)</f>
        <v>0</v>
      </c>
      <c r="F768" s="1">
        <f>IF(OR(Table4[[#This Row],[INSTALLMENT]]=2,Table4[[#This Row],[INSTALLMENT]]=3),2,0)</f>
        <v>0</v>
      </c>
      <c r="G768" s="1">
        <f>IF(OR(Table4[[#This Row],[INSTALLMENT]]=3),3,0)</f>
        <v>0</v>
      </c>
    </row>
    <row r="769" spans="1:7">
      <c r="A769" s="1">
        <v>828</v>
      </c>
      <c r="B769" s="1" t="s">
        <v>2537</v>
      </c>
      <c r="C769" s="1" t="s">
        <v>366</v>
      </c>
      <c r="D769" s="1">
        <f>COUNTIFS('Raw Entries'!B:B,Table4[[#This Row],[Name]],'Raw Entries'!I:I,Table4[[#This Row],[BOOK No.]])</f>
        <v>0</v>
      </c>
      <c r="E769" s="1">
        <f t="array" ref="E769">IF(OR(Table4[[#This Row],[INSTALLMENT]]=1,Table4[[#This Row],[INSTALLMENT]]=2,Table4[[#This Row],[INSTALLMENT]]=3),1,0)</f>
        <v>0</v>
      </c>
      <c r="F769" s="1">
        <f>IF(OR(Table4[[#This Row],[INSTALLMENT]]=2,Table4[[#This Row],[INSTALLMENT]]=3),2,0)</f>
        <v>0</v>
      </c>
      <c r="G769" s="1">
        <f>IF(OR(Table4[[#This Row],[INSTALLMENT]]=3),3,0)</f>
        <v>0</v>
      </c>
    </row>
    <row r="770" spans="1:7">
      <c r="A770" s="1">
        <v>829</v>
      </c>
      <c r="B770" s="1" t="s">
        <v>2538</v>
      </c>
      <c r="C770" s="1" t="s">
        <v>366</v>
      </c>
      <c r="D770" s="1">
        <f>COUNTIFS('Raw Entries'!B:B,Table4[[#This Row],[Name]],'Raw Entries'!I:I,Table4[[#This Row],[BOOK No.]])</f>
        <v>0</v>
      </c>
      <c r="E770" s="1">
        <f t="array" ref="E770">IF(OR(Table4[[#This Row],[INSTALLMENT]]=1,Table4[[#This Row],[INSTALLMENT]]=2,Table4[[#This Row],[INSTALLMENT]]=3),1,0)</f>
        <v>0</v>
      </c>
      <c r="F770" s="1">
        <f>IF(OR(Table4[[#This Row],[INSTALLMENT]]=2,Table4[[#This Row],[INSTALLMENT]]=3),2,0)</f>
        <v>0</v>
      </c>
      <c r="G770" s="1">
        <f>IF(OR(Table4[[#This Row],[INSTALLMENT]]=3),3,0)</f>
        <v>0</v>
      </c>
    </row>
    <row r="771" spans="1:7">
      <c r="A771" s="1">
        <v>830</v>
      </c>
      <c r="B771" s="1" t="s">
        <v>2539</v>
      </c>
      <c r="C771" s="1" t="s">
        <v>366</v>
      </c>
      <c r="D771" s="1">
        <f>COUNTIFS('Raw Entries'!B:B,Table4[[#This Row],[Name]],'Raw Entries'!I:I,Table4[[#This Row],[BOOK No.]])</f>
        <v>1</v>
      </c>
      <c r="E771" s="1">
        <f t="array" ref="E771">IF(OR(Table4[[#This Row],[INSTALLMENT]]=1,Table4[[#This Row],[INSTALLMENT]]=2,Table4[[#This Row],[INSTALLMENT]]=3),1,0)</f>
        <v>1</v>
      </c>
      <c r="F771" s="1">
        <f>IF(OR(Table4[[#This Row],[INSTALLMENT]]=2,Table4[[#This Row],[INSTALLMENT]]=3),2,0)</f>
        <v>0</v>
      </c>
      <c r="G771" s="1">
        <f>IF(OR(Table4[[#This Row],[INSTALLMENT]]=3),3,0)</f>
        <v>0</v>
      </c>
    </row>
    <row r="772" spans="1:7">
      <c r="A772" s="1">
        <v>831</v>
      </c>
      <c r="B772" s="1" t="s">
        <v>2540</v>
      </c>
      <c r="C772" s="1" t="s">
        <v>374</v>
      </c>
      <c r="D772" s="1">
        <f>COUNTIFS('Raw Entries'!B:B,Table4[[#This Row],[Name]],'Raw Entries'!I:I,Table4[[#This Row],[BOOK No.]])</f>
        <v>0</v>
      </c>
      <c r="E772" s="1">
        <f t="array" ref="E772">IF(OR(Table4[[#This Row],[INSTALLMENT]]=1,Table4[[#This Row],[INSTALLMENT]]=2,Table4[[#This Row],[INSTALLMENT]]=3),1,0)</f>
        <v>0</v>
      </c>
      <c r="F772" s="1">
        <f>IF(OR(Table4[[#This Row],[INSTALLMENT]]=2,Table4[[#This Row],[INSTALLMENT]]=3),2,0)</f>
        <v>0</v>
      </c>
      <c r="G772" s="1">
        <f>IF(OR(Table4[[#This Row],[INSTALLMENT]]=3),3,0)</f>
        <v>0</v>
      </c>
    </row>
    <row r="773" spans="1:7">
      <c r="A773" s="1">
        <v>832</v>
      </c>
      <c r="B773" s="1" t="s">
        <v>2541</v>
      </c>
      <c r="C773" s="1" t="s">
        <v>374</v>
      </c>
      <c r="D773" s="1">
        <f>COUNTIFS('Raw Entries'!B:B,Table4[[#This Row],[Name]],'Raw Entries'!I:I,Table4[[#This Row],[BOOK No.]])</f>
        <v>0</v>
      </c>
      <c r="E773" s="1">
        <f t="array" ref="E773">IF(OR(Table4[[#This Row],[INSTALLMENT]]=1,Table4[[#This Row],[INSTALLMENT]]=2,Table4[[#This Row],[INSTALLMENT]]=3),1,0)</f>
        <v>0</v>
      </c>
      <c r="F773" s="1">
        <f>IF(OR(Table4[[#This Row],[INSTALLMENT]]=2,Table4[[#This Row],[INSTALLMENT]]=3),2,0)</f>
        <v>0</v>
      </c>
      <c r="G773" s="1">
        <f>IF(OR(Table4[[#This Row],[INSTALLMENT]]=3),3,0)</f>
        <v>0</v>
      </c>
    </row>
    <row r="774" spans="1:7">
      <c r="A774" s="1">
        <v>833</v>
      </c>
      <c r="B774" s="1" t="s">
        <v>2542</v>
      </c>
      <c r="C774" s="1" t="s">
        <v>374</v>
      </c>
      <c r="D774" s="1">
        <f>COUNTIFS('Raw Entries'!B:B,Table4[[#This Row],[Name]],'Raw Entries'!I:I,Table4[[#This Row],[BOOK No.]])</f>
        <v>0</v>
      </c>
      <c r="E774" s="1">
        <f t="array" ref="E774">IF(OR(Table4[[#This Row],[INSTALLMENT]]=1,Table4[[#This Row],[INSTALLMENT]]=2,Table4[[#This Row],[INSTALLMENT]]=3),1,0)</f>
        <v>0</v>
      </c>
      <c r="F774" s="1">
        <f>IF(OR(Table4[[#This Row],[INSTALLMENT]]=2,Table4[[#This Row],[INSTALLMENT]]=3),2,0)</f>
        <v>0</v>
      </c>
      <c r="G774" s="1">
        <f>IF(OR(Table4[[#This Row],[INSTALLMENT]]=3),3,0)</f>
        <v>0</v>
      </c>
    </row>
    <row r="775" spans="1:7">
      <c r="A775" s="1">
        <v>834</v>
      </c>
      <c r="B775" s="1" t="s">
        <v>2543</v>
      </c>
      <c r="C775" s="1" t="s">
        <v>374</v>
      </c>
      <c r="D775" s="1">
        <f>COUNTIFS('Raw Entries'!B:B,Table4[[#This Row],[Name]],'Raw Entries'!I:I,Table4[[#This Row],[BOOK No.]])</f>
        <v>0</v>
      </c>
      <c r="E775" s="1">
        <f t="array" ref="E775">IF(OR(Table4[[#This Row],[INSTALLMENT]]=1,Table4[[#This Row],[INSTALLMENT]]=2,Table4[[#This Row],[INSTALLMENT]]=3),1,0)</f>
        <v>0</v>
      </c>
      <c r="F775" s="1">
        <f>IF(OR(Table4[[#This Row],[INSTALLMENT]]=2,Table4[[#This Row],[INSTALLMENT]]=3),2,0)</f>
        <v>0</v>
      </c>
      <c r="G775" s="1">
        <f>IF(OR(Table4[[#This Row],[INSTALLMENT]]=3),3,0)</f>
        <v>0</v>
      </c>
    </row>
    <row r="776" spans="1:7">
      <c r="A776" s="1">
        <v>835</v>
      </c>
      <c r="B776" s="1" t="s">
        <v>2544</v>
      </c>
      <c r="C776" s="1" t="s">
        <v>374</v>
      </c>
      <c r="D776" s="1">
        <f>COUNTIFS('Raw Entries'!B:B,Table4[[#This Row],[Name]],'Raw Entries'!I:I,Table4[[#This Row],[BOOK No.]])</f>
        <v>0</v>
      </c>
      <c r="E776" s="1">
        <f t="array" ref="E776">IF(OR(Table4[[#This Row],[INSTALLMENT]]=1,Table4[[#This Row],[INSTALLMENT]]=2,Table4[[#This Row],[INSTALLMENT]]=3),1,0)</f>
        <v>0</v>
      </c>
      <c r="F776" s="1">
        <f>IF(OR(Table4[[#This Row],[INSTALLMENT]]=2,Table4[[#This Row],[INSTALLMENT]]=3),2,0)</f>
        <v>0</v>
      </c>
      <c r="G776" s="1">
        <f>IF(OR(Table4[[#This Row],[INSTALLMENT]]=3),3,0)</f>
        <v>0</v>
      </c>
    </row>
    <row r="777" spans="1:7">
      <c r="A777" s="1">
        <v>836</v>
      </c>
      <c r="B777" s="1" t="s">
        <v>2545</v>
      </c>
      <c r="C777" s="1" t="s">
        <v>374</v>
      </c>
      <c r="D777" s="1">
        <f>COUNTIFS('Raw Entries'!B:B,Table4[[#This Row],[Name]],'Raw Entries'!I:I,Table4[[#This Row],[BOOK No.]])</f>
        <v>0</v>
      </c>
      <c r="E777" s="1">
        <f t="array" ref="E777">IF(OR(Table4[[#This Row],[INSTALLMENT]]=1,Table4[[#This Row],[INSTALLMENT]]=2,Table4[[#This Row],[INSTALLMENT]]=3),1,0)</f>
        <v>0</v>
      </c>
      <c r="F777" s="1">
        <f>IF(OR(Table4[[#This Row],[INSTALLMENT]]=2,Table4[[#This Row],[INSTALLMENT]]=3),2,0)</f>
        <v>0</v>
      </c>
      <c r="G777" s="1">
        <f>IF(OR(Table4[[#This Row],[INSTALLMENT]]=3),3,0)</f>
        <v>0</v>
      </c>
    </row>
    <row r="778" spans="1:7">
      <c r="A778" s="1">
        <v>837</v>
      </c>
      <c r="B778" s="1" t="s">
        <v>2546</v>
      </c>
      <c r="C778" s="1" t="s">
        <v>374</v>
      </c>
      <c r="D778" s="1">
        <f>COUNTIFS('Raw Entries'!B:B,Table4[[#This Row],[Name]],'Raw Entries'!I:I,Table4[[#This Row],[BOOK No.]])</f>
        <v>0</v>
      </c>
      <c r="E778" s="1">
        <f t="array" ref="E778">IF(OR(Table4[[#This Row],[INSTALLMENT]]=1,Table4[[#This Row],[INSTALLMENT]]=2,Table4[[#This Row],[INSTALLMENT]]=3),1,0)</f>
        <v>0</v>
      </c>
      <c r="F778" s="1">
        <f>IF(OR(Table4[[#This Row],[INSTALLMENT]]=2,Table4[[#This Row],[INSTALLMENT]]=3),2,0)</f>
        <v>0</v>
      </c>
      <c r="G778" s="1">
        <f>IF(OR(Table4[[#This Row],[INSTALLMENT]]=3),3,0)</f>
        <v>0</v>
      </c>
    </row>
    <row r="779" spans="1:7">
      <c r="A779" s="1">
        <v>838</v>
      </c>
      <c r="B779" s="1" t="s">
        <v>376</v>
      </c>
      <c r="C779" s="1" t="s">
        <v>374</v>
      </c>
      <c r="D779" s="1">
        <f>COUNTIFS('Raw Entries'!B:B,Table4[[#This Row],[Name]],'Raw Entries'!I:I,Table4[[#This Row],[BOOK No.]])</f>
        <v>1</v>
      </c>
      <c r="E779" s="1">
        <f t="array" ref="E779">IF(OR(Table4[[#This Row],[INSTALLMENT]]=1,Table4[[#This Row],[INSTALLMENT]]=2,Table4[[#This Row],[INSTALLMENT]]=3),1,0)</f>
        <v>1</v>
      </c>
      <c r="F779" s="1">
        <f>IF(OR(Table4[[#This Row],[INSTALLMENT]]=2,Table4[[#This Row],[INSTALLMENT]]=3),2,0)</f>
        <v>0</v>
      </c>
      <c r="G779" s="1">
        <f>IF(OR(Table4[[#This Row],[INSTALLMENT]]=3),3,0)</f>
        <v>0</v>
      </c>
    </row>
    <row r="780" spans="1:7">
      <c r="A780" s="1">
        <v>839</v>
      </c>
      <c r="B780" s="1" t="s">
        <v>2547</v>
      </c>
      <c r="C780" s="1" t="s">
        <v>374</v>
      </c>
      <c r="D780" s="1">
        <f>COUNTIFS('Raw Entries'!B:B,Table4[[#This Row],[Name]],'Raw Entries'!I:I,Table4[[#This Row],[BOOK No.]])</f>
        <v>0</v>
      </c>
      <c r="E780" s="1">
        <f t="array" ref="E780">IF(OR(Table4[[#This Row],[INSTALLMENT]]=1,Table4[[#This Row],[INSTALLMENT]]=2,Table4[[#This Row],[INSTALLMENT]]=3),1,0)</f>
        <v>0</v>
      </c>
      <c r="F780" s="1">
        <f>IF(OR(Table4[[#This Row],[INSTALLMENT]]=2,Table4[[#This Row],[INSTALLMENT]]=3),2,0)</f>
        <v>0</v>
      </c>
      <c r="G780" s="1">
        <f>IF(OR(Table4[[#This Row],[INSTALLMENT]]=3),3,0)</f>
        <v>0</v>
      </c>
    </row>
    <row r="781" spans="1:7">
      <c r="A781" s="1">
        <v>840</v>
      </c>
      <c r="B781" s="1" t="s">
        <v>633</v>
      </c>
      <c r="C781" s="1" t="s">
        <v>374</v>
      </c>
      <c r="D781" s="1">
        <f>COUNTIFS('Raw Entries'!B:B,Table4[[#This Row],[Name]],'Raw Entries'!I:I,Table4[[#This Row],[BOOK No.]])</f>
        <v>2</v>
      </c>
      <c r="E781" s="1">
        <f t="array" ref="E781">IF(OR(Table4[[#This Row],[INSTALLMENT]]=1,Table4[[#This Row],[INSTALLMENT]]=2,Table4[[#This Row],[INSTALLMENT]]=3),1,0)</f>
        <v>1</v>
      </c>
      <c r="F781" s="1">
        <f>IF(OR(Table4[[#This Row],[INSTALLMENT]]=2,Table4[[#This Row],[INSTALLMENT]]=3),2,0)</f>
        <v>2</v>
      </c>
      <c r="G781" s="1">
        <f>IF(OR(Table4[[#This Row],[INSTALLMENT]]=3),3,0)</f>
        <v>0</v>
      </c>
    </row>
    <row r="782" spans="1:7">
      <c r="A782" s="1">
        <v>841</v>
      </c>
      <c r="B782" s="1" t="s">
        <v>2548</v>
      </c>
      <c r="C782" s="1" t="s">
        <v>374</v>
      </c>
      <c r="D782" s="1">
        <f>COUNTIFS('Raw Entries'!B:B,Table4[[#This Row],[Name]],'Raw Entries'!I:I,Table4[[#This Row],[BOOK No.]])</f>
        <v>0</v>
      </c>
      <c r="E782" s="1">
        <f t="array" ref="E782">IF(OR(Table4[[#This Row],[INSTALLMENT]]=1,Table4[[#This Row],[INSTALLMENT]]=2,Table4[[#This Row],[INSTALLMENT]]=3),1,0)</f>
        <v>0</v>
      </c>
      <c r="F782" s="1">
        <f>IF(OR(Table4[[#This Row],[INSTALLMENT]]=2,Table4[[#This Row],[INSTALLMENT]]=3),2,0)</f>
        <v>0</v>
      </c>
      <c r="G782" s="1">
        <f>IF(OR(Table4[[#This Row],[INSTALLMENT]]=3),3,0)</f>
        <v>0</v>
      </c>
    </row>
    <row r="783" spans="1:7">
      <c r="A783" s="1">
        <v>842</v>
      </c>
      <c r="B783" s="1" t="s">
        <v>375</v>
      </c>
      <c r="C783" s="1" t="s">
        <v>374</v>
      </c>
      <c r="D783" s="1">
        <f>COUNTIFS('Raw Entries'!B:B,Table4[[#This Row],[Name]],'Raw Entries'!I:I,Table4[[#This Row],[BOOK No.]])</f>
        <v>3</v>
      </c>
      <c r="E783" s="1">
        <f t="array" ref="E783">IF(OR(Table4[[#This Row],[INSTALLMENT]]=1,Table4[[#This Row],[INSTALLMENT]]=2,Table4[[#This Row],[INSTALLMENT]]=3),1,0)</f>
        <v>1</v>
      </c>
      <c r="F783" s="1">
        <f>IF(OR(Table4[[#This Row],[INSTALLMENT]]=2,Table4[[#This Row],[INSTALLMENT]]=3),2,0)</f>
        <v>2</v>
      </c>
      <c r="G783" s="1">
        <f>IF(OR(Table4[[#This Row],[INSTALLMENT]]=3),3,0)</f>
        <v>3</v>
      </c>
    </row>
    <row r="784" spans="1:7">
      <c r="A784" s="1">
        <v>843</v>
      </c>
      <c r="B784" s="1" t="s">
        <v>678</v>
      </c>
      <c r="C784" s="1" t="s">
        <v>374</v>
      </c>
      <c r="D784" s="1">
        <f>COUNTIFS('Raw Entries'!B:B,Table4[[#This Row],[Name]],'Raw Entries'!I:I,Table4[[#This Row],[BOOK No.]])</f>
        <v>1</v>
      </c>
      <c r="E784" s="1">
        <f t="array" ref="E784">IF(OR(Table4[[#This Row],[INSTALLMENT]]=1,Table4[[#This Row],[INSTALLMENT]]=2,Table4[[#This Row],[INSTALLMENT]]=3),1,0)</f>
        <v>1</v>
      </c>
      <c r="F784" s="1">
        <f>IF(OR(Table4[[#This Row],[INSTALLMENT]]=2,Table4[[#This Row],[INSTALLMENT]]=3),2,0)</f>
        <v>0</v>
      </c>
      <c r="G784" s="1">
        <f>IF(OR(Table4[[#This Row],[INSTALLMENT]]=3),3,0)</f>
        <v>0</v>
      </c>
    </row>
    <row r="785" spans="1:7">
      <c r="A785" s="1">
        <v>844</v>
      </c>
      <c r="B785" s="1" t="s">
        <v>383</v>
      </c>
      <c r="C785" s="1" t="s">
        <v>374</v>
      </c>
      <c r="D785" s="1">
        <f>COUNTIFS('Raw Entries'!B:B,Table4[[#This Row],[Name]],'Raw Entries'!I:I,Table4[[#This Row],[BOOK No.]])</f>
        <v>2</v>
      </c>
      <c r="E785" s="1">
        <f t="array" ref="E785">IF(OR(Table4[[#This Row],[INSTALLMENT]]=1,Table4[[#This Row],[INSTALLMENT]]=2,Table4[[#This Row],[INSTALLMENT]]=3),1,0)</f>
        <v>1</v>
      </c>
      <c r="F785" s="1">
        <f>IF(OR(Table4[[#This Row],[INSTALLMENT]]=2,Table4[[#This Row],[INSTALLMENT]]=3),2,0)</f>
        <v>2</v>
      </c>
      <c r="G785" s="1">
        <f>IF(OR(Table4[[#This Row],[INSTALLMENT]]=3),3,0)</f>
        <v>0</v>
      </c>
    </row>
    <row r="786" spans="1:7">
      <c r="A786" s="1">
        <v>845</v>
      </c>
      <c r="B786" s="1" t="s">
        <v>2549</v>
      </c>
      <c r="C786" s="1" t="s">
        <v>374</v>
      </c>
      <c r="D786" s="1">
        <f>COUNTIFS('Raw Entries'!B:B,Table4[[#This Row],[Name]],'Raw Entries'!I:I,Table4[[#This Row],[BOOK No.]])</f>
        <v>0</v>
      </c>
      <c r="E786" s="1">
        <f t="array" ref="E786">IF(OR(Table4[[#This Row],[INSTALLMENT]]=1,Table4[[#This Row],[INSTALLMENT]]=2,Table4[[#This Row],[INSTALLMENT]]=3),1,0)</f>
        <v>0</v>
      </c>
      <c r="F786" s="1">
        <f>IF(OR(Table4[[#This Row],[INSTALLMENT]]=2,Table4[[#This Row],[INSTALLMENT]]=3),2,0)</f>
        <v>0</v>
      </c>
      <c r="G786" s="1">
        <f>IF(OR(Table4[[#This Row],[INSTALLMENT]]=3),3,0)</f>
        <v>0</v>
      </c>
    </row>
    <row r="787" spans="1:7">
      <c r="A787" s="1">
        <v>846</v>
      </c>
      <c r="B787" s="1" t="s">
        <v>385</v>
      </c>
      <c r="C787" s="1" t="s">
        <v>374</v>
      </c>
      <c r="D787" s="1">
        <f>COUNTIFS('Raw Entries'!B:B,Table4[[#This Row],[Name]],'Raw Entries'!I:I,Table4[[#This Row],[BOOK No.]])</f>
        <v>1</v>
      </c>
      <c r="E787" s="1">
        <f t="array" ref="E787">IF(OR(Table4[[#This Row],[INSTALLMENT]]=1,Table4[[#This Row],[INSTALLMENT]]=2,Table4[[#This Row],[INSTALLMENT]]=3),1,0)</f>
        <v>1</v>
      </c>
      <c r="F787" s="1">
        <f>IF(OR(Table4[[#This Row],[INSTALLMENT]]=2,Table4[[#This Row],[INSTALLMENT]]=3),2,0)</f>
        <v>0</v>
      </c>
      <c r="G787" s="1">
        <f>IF(OR(Table4[[#This Row],[INSTALLMENT]]=3),3,0)</f>
        <v>0</v>
      </c>
    </row>
    <row r="788" spans="1:7">
      <c r="A788" s="1">
        <v>847</v>
      </c>
      <c r="B788" s="1" t="s">
        <v>2550</v>
      </c>
      <c r="C788" s="1" t="s">
        <v>374</v>
      </c>
      <c r="D788" s="1">
        <f>COUNTIFS('Raw Entries'!B:B,Table4[[#This Row],[Name]],'Raw Entries'!I:I,Table4[[#This Row],[BOOK No.]])</f>
        <v>0</v>
      </c>
      <c r="E788" s="1">
        <f t="array" ref="E788">IF(OR(Table4[[#This Row],[INSTALLMENT]]=1,Table4[[#This Row],[INSTALLMENT]]=2,Table4[[#This Row],[INSTALLMENT]]=3),1,0)</f>
        <v>0</v>
      </c>
      <c r="F788" s="1">
        <f>IF(OR(Table4[[#This Row],[INSTALLMENT]]=2,Table4[[#This Row],[INSTALLMENT]]=3),2,0)</f>
        <v>0</v>
      </c>
      <c r="G788" s="1">
        <f>IF(OR(Table4[[#This Row],[INSTALLMENT]]=3),3,0)</f>
        <v>0</v>
      </c>
    </row>
    <row r="789" spans="1:7">
      <c r="A789" s="1">
        <v>848</v>
      </c>
      <c r="B789" s="1" t="s">
        <v>260</v>
      </c>
      <c r="C789" s="1" t="s">
        <v>374</v>
      </c>
      <c r="D789" s="1">
        <f>COUNTIFS('Raw Entries'!B:B,Table4[[#This Row],[Name]],'Raw Entries'!I:I,Table4[[#This Row],[BOOK No.]])</f>
        <v>0</v>
      </c>
      <c r="E789" s="1">
        <f t="array" ref="E789">IF(OR(Table4[[#This Row],[INSTALLMENT]]=1,Table4[[#This Row],[INSTALLMENT]]=2,Table4[[#This Row],[INSTALLMENT]]=3),1,0)</f>
        <v>0</v>
      </c>
      <c r="F789" s="1">
        <f>IF(OR(Table4[[#This Row],[INSTALLMENT]]=2,Table4[[#This Row],[INSTALLMENT]]=3),2,0)</f>
        <v>0</v>
      </c>
      <c r="G789" s="1">
        <f>IF(OR(Table4[[#This Row],[INSTALLMENT]]=3),3,0)</f>
        <v>0</v>
      </c>
    </row>
    <row r="790" spans="1:7">
      <c r="A790" s="1">
        <v>849</v>
      </c>
      <c r="B790" s="1" t="s">
        <v>2551</v>
      </c>
      <c r="C790" s="1" t="s">
        <v>374</v>
      </c>
      <c r="D790" s="1">
        <f>COUNTIFS('Raw Entries'!B:B,Table4[[#This Row],[Name]],'Raw Entries'!I:I,Table4[[#This Row],[BOOK No.]])</f>
        <v>0</v>
      </c>
      <c r="E790" s="1">
        <f t="array" ref="E790">IF(OR(Table4[[#This Row],[INSTALLMENT]]=1,Table4[[#This Row],[INSTALLMENT]]=2,Table4[[#This Row],[INSTALLMENT]]=3),1,0)</f>
        <v>0</v>
      </c>
      <c r="F790" s="1">
        <f>IF(OR(Table4[[#This Row],[INSTALLMENT]]=2,Table4[[#This Row],[INSTALLMENT]]=3),2,0)</f>
        <v>0</v>
      </c>
      <c r="G790" s="1">
        <f>IF(OR(Table4[[#This Row],[INSTALLMENT]]=3),3,0)</f>
        <v>0</v>
      </c>
    </row>
    <row r="791" spans="1:7">
      <c r="A791" s="1">
        <v>850</v>
      </c>
      <c r="B791" s="1" t="s">
        <v>381</v>
      </c>
      <c r="C791" s="1" t="s">
        <v>374</v>
      </c>
      <c r="D791" s="1">
        <f>COUNTIFS('Raw Entries'!B:B,Table4[[#This Row],[Name]],'Raw Entries'!I:I,Table4[[#This Row],[BOOK No.]])</f>
        <v>3</v>
      </c>
      <c r="E791" s="1">
        <f t="array" ref="E791">IF(OR(Table4[[#This Row],[INSTALLMENT]]=1,Table4[[#This Row],[INSTALLMENT]]=2,Table4[[#This Row],[INSTALLMENT]]=3),1,0)</f>
        <v>1</v>
      </c>
      <c r="F791" s="1">
        <f>IF(OR(Table4[[#This Row],[INSTALLMENT]]=2,Table4[[#This Row],[INSTALLMENT]]=3),2,0)</f>
        <v>2</v>
      </c>
      <c r="G791" s="1">
        <f>IF(OR(Table4[[#This Row],[INSTALLMENT]]=3),3,0)</f>
        <v>3</v>
      </c>
    </row>
    <row r="792" spans="1:7">
      <c r="A792" s="1">
        <v>851</v>
      </c>
      <c r="B792" s="1" t="s">
        <v>2552</v>
      </c>
      <c r="C792" s="1" t="s">
        <v>374</v>
      </c>
      <c r="D792" s="1">
        <f>COUNTIFS('Raw Entries'!B:B,Table4[[#This Row],[Name]],'Raw Entries'!I:I,Table4[[#This Row],[BOOK No.]])</f>
        <v>0</v>
      </c>
      <c r="E792" s="1">
        <f t="array" ref="E792">IF(OR(Table4[[#This Row],[INSTALLMENT]]=1,Table4[[#This Row],[INSTALLMENT]]=2,Table4[[#This Row],[INSTALLMENT]]=3),1,0)</f>
        <v>0</v>
      </c>
      <c r="F792" s="1">
        <f>IF(OR(Table4[[#This Row],[INSTALLMENT]]=2,Table4[[#This Row],[INSTALLMENT]]=3),2,0)</f>
        <v>0</v>
      </c>
      <c r="G792" s="1">
        <f>IF(OR(Table4[[#This Row],[INSTALLMENT]]=3),3,0)</f>
        <v>0</v>
      </c>
    </row>
    <row r="793" spans="1:7">
      <c r="A793" s="1">
        <v>852</v>
      </c>
      <c r="B793" s="1" t="s">
        <v>2553</v>
      </c>
      <c r="C793" s="1" t="s">
        <v>374</v>
      </c>
      <c r="D793" s="1">
        <f>COUNTIFS('Raw Entries'!B:B,Table4[[#This Row],[Name]],'Raw Entries'!I:I,Table4[[#This Row],[BOOK No.]])</f>
        <v>0</v>
      </c>
      <c r="E793" s="1">
        <f t="array" ref="E793">IF(OR(Table4[[#This Row],[INSTALLMENT]]=1,Table4[[#This Row],[INSTALLMENT]]=2,Table4[[#This Row],[INSTALLMENT]]=3),1,0)</f>
        <v>0</v>
      </c>
      <c r="F793" s="1">
        <f>IF(OR(Table4[[#This Row],[INSTALLMENT]]=2,Table4[[#This Row],[INSTALLMENT]]=3),2,0)</f>
        <v>0</v>
      </c>
      <c r="G793" s="1">
        <f>IF(OR(Table4[[#This Row],[INSTALLMENT]]=3),3,0)</f>
        <v>0</v>
      </c>
    </row>
    <row r="794" spans="1:7">
      <c r="A794" s="1">
        <v>853</v>
      </c>
      <c r="B794" s="1" t="s">
        <v>2554</v>
      </c>
      <c r="C794" s="1" t="s">
        <v>374</v>
      </c>
      <c r="D794" s="1">
        <f>COUNTIFS('Raw Entries'!B:B,Table4[[#This Row],[Name]],'Raw Entries'!I:I,Table4[[#This Row],[BOOK No.]])</f>
        <v>0</v>
      </c>
      <c r="E794" s="1">
        <f t="array" ref="E794">IF(OR(Table4[[#This Row],[INSTALLMENT]]=1,Table4[[#This Row],[INSTALLMENT]]=2,Table4[[#This Row],[INSTALLMENT]]=3),1,0)</f>
        <v>0</v>
      </c>
      <c r="F794" s="1">
        <f>IF(OR(Table4[[#This Row],[INSTALLMENT]]=2,Table4[[#This Row],[INSTALLMENT]]=3),2,0)</f>
        <v>0</v>
      </c>
      <c r="G794" s="1">
        <f>IF(OR(Table4[[#This Row],[INSTALLMENT]]=3),3,0)</f>
        <v>0</v>
      </c>
    </row>
    <row r="795" spans="1:7">
      <c r="A795" s="1">
        <v>855</v>
      </c>
      <c r="B795" s="1" t="s">
        <v>2555</v>
      </c>
      <c r="C795" s="1" t="s">
        <v>374</v>
      </c>
      <c r="D795" s="1">
        <f>COUNTIFS('Raw Entries'!B:B,Table4[[#This Row],[Name]],'Raw Entries'!I:I,Table4[[#This Row],[BOOK No.]])</f>
        <v>0</v>
      </c>
      <c r="E795" s="1">
        <f t="array" ref="E795">IF(OR(Table4[[#This Row],[INSTALLMENT]]=1,Table4[[#This Row],[INSTALLMENT]]=2,Table4[[#This Row],[INSTALLMENT]]=3),1,0)</f>
        <v>0</v>
      </c>
      <c r="F795" s="1">
        <f>IF(OR(Table4[[#This Row],[INSTALLMENT]]=2,Table4[[#This Row],[INSTALLMENT]]=3),2,0)</f>
        <v>0</v>
      </c>
      <c r="G795" s="1">
        <f>IF(OR(Table4[[#This Row],[INSTALLMENT]]=3),3,0)</f>
        <v>0</v>
      </c>
    </row>
    <row r="796" spans="1:7">
      <c r="A796" s="1">
        <v>856</v>
      </c>
      <c r="B796" s="1" t="s">
        <v>377</v>
      </c>
      <c r="C796" s="1" t="s">
        <v>374</v>
      </c>
      <c r="D796" s="1">
        <f>COUNTIFS('Raw Entries'!B:B,Table4[[#This Row],[Name]],'Raw Entries'!I:I,Table4[[#This Row],[BOOK No.]])</f>
        <v>2</v>
      </c>
      <c r="E796" s="1">
        <f t="array" ref="E796">IF(OR(Table4[[#This Row],[INSTALLMENT]]=1,Table4[[#This Row],[INSTALLMENT]]=2,Table4[[#This Row],[INSTALLMENT]]=3),1,0)</f>
        <v>1</v>
      </c>
      <c r="F796" s="1">
        <f>IF(OR(Table4[[#This Row],[INSTALLMENT]]=2,Table4[[#This Row],[INSTALLMENT]]=3),2,0)</f>
        <v>2</v>
      </c>
      <c r="G796" s="1">
        <f>IF(OR(Table4[[#This Row],[INSTALLMENT]]=3),3,0)</f>
        <v>0</v>
      </c>
    </row>
    <row r="797" spans="1:7">
      <c r="A797" s="1">
        <v>857</v>
      </c>
      <c r="B797" s="1" t="s">
        <v>2556</v>
      </c>
      <c r="C797" s="1" t="s">
        <v>374</v>
      </c>
      <c r="D797" s="1">
        <f>COUNTIFS('Raw Entries'!B:B,Table4[[#This Row],[Name]],'Raw Entries'!I:I,Table4[[#This Row],[BOOK No.]])</f>
        <v>0</v>
      </c>
      <c r="E797" s="1">
        <f t="array" ref="E797">IF(OR(Table4[[#This Row],[INSTALLMENT]]=1,Table4[[#This Row],[INSTALLMENT]]=2,Table4[[#This Row],[INSTALLMENT]]=3),1,0)</f>
        <v>0</v>
      </c>
      <c r="F797" s="1">
        <f>IF(OR(Table4[[#This Row],[INSTALLMENT]]=2,Table4[[#This Row],[INSTALLMENT]]=3),2,0)</f>
        <v>0</v>
      </c>
      <c r="G797" s="1">
        <f>IF(OR(Table4[[#This Row],[INSTALLMENT]]=3),3,0)</f>
        <v>0</v>
      </c>
    </row>
    <row r="798" spans="1:7">
      <c r="A798" s="1">
        <v>858</v>
      </c>
      <c r="B798" s="1" t="s">
        <v>2557</v>
      </c>
      <c r="C798" s="1" t="s">
        <v>374</v>
      </c>
      <c r="D798" s="1">
        <f>COUNTIFS('Raw Entries'!B:B,Table4[[#This Row],[Name]],'Raw Entries'!I:I,Table4[[#This Row],[BOOK No.]])</f>
        <v>0</v>
      </c>
      <c r="E798" s="1">
        <f t="array" ref="E798">IF(OR(Table4[[#This Row],[INSTALLMENT]]=1,Table4[[#This Row],[INSTALLMENT]]=2,Table4[[#This Row],[INSTALLMENT]]=3),1,0)</f>
        <v>0</v>
      </c>
      <c r="F798" s="1">
        <f>IF(OR(Table4[[#This Row],[INSTALLMENT]]=2,Table4[[#This Row],[INSTALLMENT]]=3),2,0)</f>
        <v>0</v>
      </c>
      <c r="G798" s="1">
        <f>IF(OR(Table4[[#This Row],[INSTALLMENT]]=3),3,0)</f>
        <v>0</v>
      </c>
    </row>
    <row r="799" spans="1:7">
      <c r="A799" s="1">
        <v>859</v>
      </c>
      <c r="B799" s="1" t="s">
        <v>2558</v>
      </c>
      <c r="C799" s="1" t="s">
        <v>374</v>
      </c>
      <c r="D799" s="1">
        <f>COUNTIFS('Raw Entries'!B:B,Table4[[#This Row],[Name]],'Raw Entries'!I:I,Table4[[#This Row],[BOOK No.]])</f>
        <v>0</v>
      </c>
      <c r="E799" s="1">
        <f t="array" ref="E799">IF(OR(Table4[[#This Row],[INSTALLMENT]]=1,Table4[[#This Row],[INSTALLMENT]]=2,Table4[[#This Row],[INSTALLMENT]]=3),1,0)</f>
        <v>0</v>
      </c>
      <c r="F799" s="1">
        <f>IF(OR(Table4[[#This Row],[INSTALLMENT]]=2,Table4[[#This Row],[INSTALLMENT]]=3),2,0)</f>
        <v>0</v>
      </c>
      <c r="G799" s="1">
        <f>IF(OR(Table4[[#This Row],[INSTALLMENT]]=3),3,0)</f>
        <v>0</v>
      </c>
    </row>
    <row r="800" spans="1:7">
      <c r="A800" s="1">
        <v>860</v>
      </c>
      <c r="B800" s="1" t="s">
        <v>2559</v>
      </c>
      <c r="C800" s="1" t="s">
        <v>374</v>
      </c>
      <c r="D800" s="1">
        <f>COUNTIFS('Raw Entries'!B:B,Table4[[#This Row],[Name]],'Raw Entries'!I:I,Table4[[#This Row],[BOOK No.]])</f>
        <v>0</v>
      </c>
      <c r="E800" s="1">
        <f t="array" ref="E800">IF(OR(Table4[[#This Row],[INSTALLMENT]]=1,Table4[[#This Row],[INSTALLMENT]]=2,Table4[[#This Row],[INSTALLMENT]]=3),1,0)</f>
        <v>0</v>
      </c>
      <c r="F800" s="1">
        <f>IF(OR(Table4[[#This Row],[INSTALLMENT]]=2,Table4[[#This Row],[INSTALLMENT]]=3),2,0)</f>
        <v>0</v>
      </c>
      <c r="G800" s="1">
        <f>IF(OR(Table4[[#This Row],[INSTALLMENT]]=3),3,0)</f>
        <v>0</v>
      </c>
    </row>
    <row r="801" spans="1:7">
      <c r="A801" s="1">
        <v>861</v>
      </c>
      <c r="B801" s="1" t="s">
        <v>382</v>
      </c>
      <c r="C801" s="1" t="s">
        <v>374</v>
      </c>
      <c r="D801" s="1">
        <f>COUNTIFS('Raw Entries'!B:B,Table4[[#This Row],[Name]],'Raw Entries'!I:I,Table4[[#This Row],[BOOK No.]])</f>
        <v>1</v>
      </c>
      <c r="E801" s="1">
        <f t="array" ref="E801">IF(OR(Table4[[#This Row],[INSTALLMENT]]=1,Table4[[#This Row],[INSTALLMENT]]=2,Table4[[#This Row],[INSTALLMENT]]=3),1,0)</f>
        <v>1</v>
      </c>
      <c r="F801" s="1">
        <f>IF(OR(Table4[[#This Row],[INSTALLMENT]]=2,Table4[[#This Row],[INSTALLMENT]]=3),2,0)</f>
        <v>0</v>
      </c>
      <c r="G801" s="1">
        <f>IF(OR(Table4[[#This Row],[INSTALLMENT]]=3),3,0)</f>
        <v>0</v>
      </c>
    </row>
    <row r="802" spans="1:7">
      <c r="A802" s="1">
        <v>862</v>
      </c>
      <c r="B802" s="1" t="s">
        <v>380</v>
      </c>
      <c r="C802" s="1" t="s">
        <v>374</v>
      </c>
      <c r="D802" s="1">
        <f>COUNTIFS('Raw Entries'!B:B,Table4[[#This Row],[Name]],'Raw Entries'!I:I,Table4[[#This Row],[BOOK No.]])</f>
        <v>3</v>
      </c>
      <c r="E802" s="1">
        <f t="array" ref="E802">IF(OR(Table4[[#This Row],[INSTALLMENT]]=1,Table4[[#This Row],[INSTALLMENT]]=2,Table4[[#This Row],[INSTALLMENT]]=3),1,0)</f>
        <v>1</v>
      </c>
      <c r="F802" s="1">
        <f>IF(OR(Table4[[#This Row],[INSTALLMENT]]=2,Table4[[#This Row],[INSTALLMENT]]=3),2,0)</f>
        <v>2</v>
      </c>
      <c r="G802" s="1">
        <f>IF(OR(Table4[[#This Row],[INSTALLMENT]]=3),3,0)</f>
        <v>3</v>
      </c>
    </row>
    <row r="803" spans="1:7">
      <c r="A803" s="1">
        <v>863</v>
      </c>
      <c r="B803" s="1" t="s">
        <v>2560</v>
      </c>
      <c r="C803" s="1" t="s">
        <v>374</v>
      </c>
      <c r="D803" s="1">
        <f>COUNTIFS('Raw Entries'!B:B,Table4[[#This Row],[Name]],'Raw Entries'!I:I,Table4[[#This Row],[BOOK No.]])</f>
        <v>0</v>
      </c>
      <c r="E803" s="1">
        <f t="array" ref="E803">IF(OR(Table4[[#This Row],[INSTALLMENT]]=1,Table4[[#This Row],[INSTALLMENT]]=2,Table4[[#This Row],[INSTALLMENT]]=3),1,0)</f>
        <v>0</v>
      </c>
      <c r="F803" s="1">
        <f>IF(OR(Table4[[#This Row],[INSTALLMENT]]=2,Table4[[#This Row],[INSTALLMENT]]=3),2,0)</f>
        <v>0</v>
      </c>
      <c r="G803" s="1">
        <f>IF(OR(Table4[[#This Row],[INSTALLMENT]]=3),3,0)</f>
        <v>0</v>
      </c>
    </row>
    <row r="804" spans="1:7">
      <c r="A804" s="1">
        <v>864</v>
      </c>
      <c r="B804" s="1" t="s">
        <v>384</v>
      </c>
      <c r="C804" s="1" t="s">
        <v>374</v>
      </c>
      <c r="D804" s="1">
        <f>COUNTIFS('Raw Entries'!B:B,Table4[[#This Row],[Name]],'Raw Entries'!I:I,Table4[[#This Row],[BOOK No.]])</f>
        <v>2</v>
      </c>
      <c r="E804" s="1">
        <f t="array" ref="E804">IF(OR(Table4[[#This Row],[INSTALLMENT]]=1,Table4[[#This Row],[INSTALLMENT]]=2,Table4[[#This Row],[INSTALLMENT]]=3),1,0)</f>
        <v>1</v>
      </c>
      <c r="F804" s="1">
        <f>IF(OR(Table4[[#This Row],[INSTALLMENT]]=2,Table4[[#This Row],[INSTALLMENT]]=3),2,0)</f>
        <v>2</v>
      </c>
      <c r="G804" s="1">
        <f>IF(OR(Table4[[#This Row],[INSTALLMENT]]=3),3,0)</f>
        <v>0</v>
      </c>
    </row>
    <row r="805" spans="1:7">
      <c r="A805" s="1">
        <v>865</v>
      </c>
      <c r="B805" s="1" t="s">
        <v>379</v>
      </c>
      <c r="C805" s="1" t="s">
        <v>374</v>
      </c>
      <c r="D805" s="1">
        <f>COUNTIFS('Raw Entries'!B:B,Table4[[#This Row],[Name]],'Raw Entries'!I:I,Table4[[#This Row],[BOOK No.]])</f>
        <v>1</v>
      </c>
      <c r="E805" s="1">
        <f t="array" ref="E805">IF(OR(Table4[[#This Row],[INSTALLMENT]]=1,Table4[[#This Row],[INSTALLMENT]]=2,Table4[[#This Row],[INSTALLMENT]]=3),1,0)</f>
        <v>1</v>
      </c>
      <c r="F805" s="1">
        <f>IF(OR(Table4[[#This Row],[INSTALLMENT]]=2,Table4[[#This Row],[INSTALLMENT]]=3),2,0)</f>
        <v>0</v>
      </c>
      <c r="G805" s="1">
        <f>IF(OR(Table4[[#This Row],[INSTALLMENT]]=3),3,0)</f>
        <v>0</v>
      </c>
    </row>
    <row r="806" spans="1:7">
      <c r="A806" s="1">
        <v>866</v>
      </c>
      <c r="B806" s="1" t="s">
        <v>2561</v>
      </c>
      <c r="C806" s="1" t="s">
        <v>374</v>
      </c>
      <c r="D806" s="1">
        <f>COUNTIFS('Raw Entries'!B:B,Table4[[#This Row],[Name]],'Raw Entries'!I:I,Table4[[#This Row],[BOOK No.]])</f>
        <v>0</v>
      </c>
      <c r="E806" s="1">
        <f t="array" ref="E806">IF(OR(Table4[[#This Row],[INSTALLMENT]]=1,Table4[[#This Row],[INSTALLMENT]]=2,Table4[[#This Row],[INSTALLMENT]]=3),1,0)</f>
        <v>0</v>
      </c>
      <c r="F806" s="1">
        <f>IF(OR(Table4[[#This Row],[INSTALLMENT]]=2,Table4[[#This Row],[INSTALLMENT]]=3),2,0)</f>
        <v>0</v>
      </c>
      <c r="G806" s="1">
        <f>IF(OR(Table4[[#This Row],[INSTALLMENT]]=3),3,0)</f>
        <v>0</v>
      </c>
    </row>
    <row r="807" spans="1:7">
      <c r="A807" s="1">
        <v>867</v>
      </c>
      <c r="B807" s="1" t="s">
        <v>2562</v>
      </c>
      <c r="C807" s="1" t="s">
        <v>374</v>
      </c>
      <c r="D807" s="1">
        <f>COUNTIFS('Raw Entries'!B:B,Table4[[#This Row],[Name]],'Raw Entries'!I:I,Table4[[#This Row],[BOOK No.]])</f>
        <v>0</v>
      </c>
      <c r="E807" s="1">
        <f t="array" ref="E807">IF(OR(Table4[[#This Row],[INSTALLMENT]]=1,Table4[[#This Row],[INSTALLMENT]]=2,Table4[[#This Row],[INSTALLMENT]]=3),1,0)</f>
        <v>0</v>
      </c>
      <c r="F807" s="1">
        <f>IF(OR(Table4[[#This Row],[INSTALLMENT]]=2,Table4[[#This Row],[INSTALLMENT]]=3),2,0)</f>
        <v>0</v>
      </c>
      <c r="G807" s="1">
        <f>IF(OR(Table4[[#This Row],[INSTALLMENT]]=3),3,0)</f>
        <v>0</v>
      </c>
    </row>
    <row r="808" spans="1:7">
      <c r="A808" s="1">
        <v>868</v>
      </c>
      <c r="B808" s="1" t="s">
        <v>2563</v>
      </c>
      <c r="C808" s="1" t="s">
        <v>386</v>
      </c>
      <c r="D808" s="1">
        <f>COUNTIFS('Raw Entries'!B:B,Table4[[#This Row],[Name]],'Raw Entries'!I:I,Table4[[#This Row],[BOOK No.]])</f>
        <v>0</v>
      </c>
      <c r="E808" s="1">
        <f t="array" ref="E808">IF(OR(Table4[[#This Row],[INSTALLMENT]]=1,Table4[[#This Row],[INSTALLMENT]]=2,Table4[[#This Row],[INSTALLMENT]]=3),1,0)</f>
        <v>0</v>
      </c>
      <c r="F808" s="1">
        <f>IF(OR(Table4[[#This Row],[INSTALLMENT]]=2,Table4[[#This Row],[INSTALLMENT]]=3),2,0)</f>
        <v>0</v>
      </c>
      <c r="G808" s="1">
        <f>IF(OR(Table4[[#This Row],[INSTALLMENT]]=3),3,0)</f>
        <v>0</v>
      </c>
    </row>
    <row r="809" spans="1:7">
      <c r="A809" s="1">
        <v>869</v>
      </c>
      <c r="B809" s="1" t="s">
        <v>395</v>
      </c>
      <c r="C809" s="1" t="s">
        <v>386</v>
      </c>
      <c r="D809" s="1">
        <f>COUNTIFS('Raw Entries'!B:B,Table4[[#This Row],[Name]],'Raw Entries'!I:I,Table4[[#This Row],[BOOK No.]])</f>
        <v>3</v>
      </c>
      <c r="E809" s="1">
        <f t="array" ref="E809">IF(OR(Table4[[#This Row],[INSTALLMENT]]=1,Table4[[#This Row],[INSTALLMENT]]=2,Table4[[#This Row],[INSTALLMENT]]=3),1,0)</f>
        <v>1</v>
      </c>
      <c r="F809" s="1">
        <f>IF(OR(Table4[[#This Row],[INSTALLMENT]]=2,Table4[[#This Row],[INSTALLMENT]]=3),2,0)</f>
        <v>2</v>
      </c>
      <c r="G809" s="1">
        <f>IF(OR(Table4[[#This Row],[INSTALLMENT]]=3),3,0)</f>
        <v>3</v>
      </c>
    </row>
    <row r="810" spans="1:7">
      <c r="A810" s="1">
        <v>870</v>
      </c>
      <c r="B810" s="1" t="s">
        <v>2564</v>
      </c>
      <c r="C810" s="1" t="s">
        <v>386</v>
      </c>
      <c r="D810" s="1">
        <f>COUNTIFS('Raw Entries'!B:B,Table4[[#This Row],[Name]],'Raw Entries'!I:I,Table4[[#This Row],[BOOK No.]])</f>
        <v>0</v>
      </c>
      <c r="E810" s="1">
        <f t="array" ref="E810">IF(OR(Table4[[#This Row],[INSTALLMENT]]=1,Table4[[#This Row],[INSTALLMENT]]=2,Table4[[#This Row],[INSTALLMENT]]=3),1,0)</f>
        <v>0</v>
      </c>
      <c r="F810" s="1">
        <f>IF(OR(Table4[[#This Row],[INSTALLMENT]]=2,Table4[[#This Row],[INSTALLMENT]]=3),2,0)</f>
        <v>0</v>
      </c>
      <c r="G810" s="1">
        <f>IF(OR(Table4[[#This Row],[INSTALLMENT]]=3),3,0)</f>
        <v>0</v>
      </c>
    </row>
    <row r="811" spans="1:7">
      <c r="A811" s="1">
        <v>871</v>
      </c>
      <c r="B811" s="1" t="s">
        <v>2565</v>
      </c>
      <c r="C811" s="1" t="s">
        <v>386</v>
      </c>
      <c r="D811" s="1">
        <f>COUNTIFS('Raw Entries'!B:B,Table4[[#This Row],[Name]],'Raw Entries'!I:I,Table4[[#This Row],[BOOK No.]])</f>
        <v>0</v>
      </c>
      <c r="E811" s="1">
        <f t="array" ref="E811">IF(OR(Table4[[#This Row],[INSTALLMENT]]=1,Table4[[#This Row],[INSTALLMENT]]=2,Table4[[#This Row],[INSTALLMENT]]=3),1,0)</f>
        <v>0</v>
      </c>
      <c r="F811" s="1">
        <f>IF(OR(Table4[[#This Row],[INSTALLMENT]]=2,Table4[[#This Row],[INSTALLMENT]]=3),2,0)</f>
        <v>0</v>
      </c>
      <c r="G811" s="1">
        <f>IF(OR(Table4[[#This Row],[INSTALLMENT]]=3),3,0)</f>
        <v>0</v>
      </c>
    </row>
    <row r="812" spans="1:7">
      <c r="A812" s="1">
        <v>872</v>
      </c>
      <c r="B812" s="1" t="s">
        <v>2566</v>
      </c>
      <c r="C812" s="1" t="s">
        <v>386</v>
      </c>
      <c r="D812" s="1">
        <f>COUNTIFS('Raw Entries'!B:B,Table4[[#This Row],[Name]],'Raw Entries'!I:I,Table4[[#This Row],[BOOK No.]])</f>
        <v>2</v>
      </c>
      <c r="E812" s="1">
        <f t="array" ref="E812">IF(OR(Table4[[#This Row],[INSTALLMENT]]=1,Table4[[#This Row],[INSTALLMENT]]=2,Table4[[#This Row],[INSTALLMENT]]=3),1,0)</f>
        <v>1</v>
      </c>
      <c r="F812" s="1">
        <f>IF(OR(Table4[[#This Row],[INSTALLMENT]]=2,Table4[[#This Row],[INSTALLMENT]]=3),2,0)</f>
        <v>2</v>
      </c>
      <c r="G812" s="1">
        <f>IF(OR(Table4[[#This Row],[INSTALLMENT]]=3),3,0)</f>
        <v>0</v>
      </c>
    </row>
    <row r="813" spans="1:7">
      <c r="A813" s="1">
        <v>873</v>
      </c>
      <c r="B813" s="1" t="s">
        <v>2567</v>
      </c>
      <c r="C813" s="1" t="s">
        <v>386</v>
      </c>
      <c r="D813" s="1">
        <f>COUNTIFS('Raw Entries'!B:B,Table4[[#This Row],[Name]],'Raw Entries'!I:I,Table4[[#This Row],[BOOK No.]])</f>
        <v>0</v>
      </c>
      <c r="E813" s="1">
        <f t="array" ref="E813">IF(OR(Table4[[#This Row],[INSTALLMENT]]=1,Table4[[#This Row],[INSTALLMENT]]=2,Table4[[#This Row],[INSTALLMENT]]=3),1,0)</f>
        <v>0</v>
      </c>
      <c r="F813" s="1">
        <f>IF(OR(Table4[[#This Row],[INSTALLMENT]]=2,Table4[[#This Row],[INSTALLMENT]]=3),2,0)</f>
        <v>0</v>
      </c>
      <c r="G813" s="1">
        <f>IF(OR(Table4[[#This Row],[INSTALLMENT]]=3),3,0)</f>
        <v>0</v>
      </c>
    </row>
    <row r="814" spans="1:7">
      <c r="A814" s="1">
        <v>874</v>
      </c>
      <c r="B814" s="1" t="s">
        <v>2568</v>
      </c>
      <c r="C814" s="1" t="s">
        <v>386</v>
      </c>
      <c r="D814" s="1">
        <f>COUNTIFS('Raw Entries'!B:B,Table4[[#This Row],[Name]],'Raw Entries'!I:I,Table4[[#This Row],[BOOK No.]])</f>
        <v>0</v>
      </c>
      <c r="E814" s="1">
        <f t="array" ref="E814">IF(OR(Table4[[#This Row],[INSTALLMENT]]=1,Table4[[#This Row],[INSTALLMENT]]=2,Table4[[#This Row],[INSTALLMENT]]=3),1,0)</f>
        <v>0</v>
      </c>
      <c r="F814" s="1">
        <f>IF(OR(Table4[[#This Row],[INSTALLMENT]]=2,Table4[[#This Row],[INSTALLMENT]]=3),2,0)</f>
        <v>0</v>
      </c>
      <c r="G814" s="1">
        <f>IF(OR(Table4[[#This Row],[INSTALLMENT]]=3),3,0)</f>
        <v>0</v>
      </c>
    </row>
    <row r="815" spans="1:7">
      <c r="A815" s="1">
        <v>875</v>
      </c>
      <c r="B815" s="1" t="s">
        <v>2569</v>
      </c>
      <c r="C815" s="1" t="s">
        <v>386</v>
      </c>
      <c r="D815" s="1">
        <f>COUNTIFS('Raw Entries'!B:B,Table4[[#This Row],[Name]],'Raw Entries'!I:I,Table4[[#This Row],[BOOK No.]])</f>
        <v>0</v>
      </c>
      <c r="E815" s="1">
        <f t="array" ref="E815">IF(OR(Table4[[#This Row],[INSTALLMENT]]=1,Table4[[#This Row],[INSTALLMENT]]=2,Table4[[#This Row],[INSTALLMENT]]=3),1,0)</f>
        <v>0</v>
      </c>
      <c r="F815" s="1">
        <f>IF(OR(Table4[[#This Row],[INSTALLMENT]]=2,Table4[[#This Row],[INSTALLMENT]]=3),2,0)</f>
        <v>0</v>
      </c>
      <c r="G815" s="1">
        <f>IF(OR(Table4[[#This Row],[INSTALLMENT]]=3),3,0)</f>
        <v>0</v>
      </c>
    </row>
    <row r="816" spans="1:7">
      <c r="A816" s="1">
        <v>876</v>
      </c>
      <c r="B816" s="1" t="s">
        <v>2570</v>
      </c>
      <c r="C816" s="1" t="s">
        <v>386</v>
      </c>
      <c r="D816" s="1">
        <f>COUNTIFS('Raw Entries'!B:B,Table4[[#This Row],[Name]],'Raw Entries'!I:I,Table4[[#This Row],[BOOK No.]])</f>
        <v>0</v>
      </c>
      <c r="E816" s="1">
        <f t="array" ref="E816">IF(OR(Table4[[#This Row],[INSTALLMENT]]=1,Table4[[#This Row],[INSTALLMENT]]=2,Table4[[#This Row],[INSTALLMENT]]=3),1,0)</f>
        <v>0</v>
      </c>
      <c r="F816" s="1">
        <f>IF(OR(Table4[[#This Row],[INSTALLMENT]]=2,Table4[[#This Row],[INSTALLMENT]]=3),2,0)</f>
        <v>0</v>
      </c>
      <c r="G816" s="1">
        <f>IF(OR(Table4[[#This Row],[INSTALLMENT]]=3),3,0)</f>
        <v>0</v>
      </c>
    </row>
    <row r="817" spans="1:7">
      <c r="A817" s="1">
        <v>877</v>
      </c>
      <c r="B817" s="1" t="s">
        <v>2547</v>
      </c>
      <c r="C817" s="1" t="s">
        <v>386</v>
      </c>
      <c r="D817" s="1">
        <f>COUNTIFS('Raw Entries'!B:B,Table4[[#This Row],[Name]],'Raw Entries'!I:I,Table4[[#This Row],[BOOK No.]])</f>
        <v>0</v>
      </c>
      <c r="E817" s="1">
        <f t="array" ref="E817">IF(OR(Table4[[#This Row],[INSTALLMENT]]=1,Table4[[#This Row],[INSTALLMENT]]=2,Table4[[#This Row],[INSTALLMENT]]=3),1,0)</f>
        <v>0</v>
      </c>
      <c r="F817" s="1">
        <f>IF(OR(Table4[[#This Row],[INSTALLMENT]]=2,Table4[[#This Row],[INSTALLMENT]]=3),2,0)</f>
        <v>0</v>
      </c>
      <c r="G817" s="1">
        <f>IF(OR(Table4[[#This Row],[INSTALLMENT]]=3),3,0)</f>
        <v>0</v>
      </c>
    </row>
    <row r="818" spans="1:7">
      <c r="A818" s="1">
        <v>878</v>
      </c>
      <c r="B818" s="1" t="s">
        <v>633</v>
      </c>
      <c r="C818" s="1" t="s">
        <v>386</v>
      </c>
      <c r="D818" s="1">
        <f>COUNTIFS('Raw Entries'!B:B,Table4[[#This Row],[Name]],'Raw Entries'!I:I,Table4[[#This Row],[BOOK No.]])</f>
        <v>0</v>
      </c>
      <c r="E818" s="1">
        <f t="array" ref="E818">IF(OR(Table4[[#This Row],[INSTALLMENT]]=1,Table4[[#This Row],[INSTALLMENT]]=2,Table4[[#This Row],[INSTALLMENT]]=3),1,0)</f>
        <v>0</v>
      </c>
      <c r="F818" s="1">
        <f>IF(OR(Table4[[#This Row],[INSTALLMENT]]=2,Table4[[#This Row],[INSTALLMENT]]=3),2,0)</f>
        <v>0</v>
      </c>
      <c r="G818" s="1">
        <f>IF(OR(Table4[[#This Row],[INSTALLMENT]]=3),3,0)</f>
        <v>0</v>
      </c>
    </row>
    <row r="819" spans="1:7">
      <c r="A819" s="1">
        <v>879</v>
      </c>
      <c r="B819" s="1" t="s">
        <v>2571</v>
      </c>
      <c r="C819" s="1" t="s">
        <v>386</v>
      </c>
      <c r="D819" s="1">
        <f>COUNTIFS('Raw Entries'!B:B,Table4[[#This Row],[Name]],'Raw Entries'!I:I,Table4[[#This Row],[BOOK No.]])</f>
        <v>0</v>
      </c>
      <c r="E819" s="1">
        <f t="array" ref="E819">IF(OR(Table4[[#This Row],[INSTALLMENT]]=1,Table4[[#This Row],[INSTALLMENT]]=2,Table4[[#This Row],[INSTALLMENT]]=3),1,0)</f>
        <v>0</v>
      </c>
      <c r="F819" s="1">
        <f>IF(OR(Table4[[#This Row],[INSTALLMENT]]=2,Table4[[#This Row],[INSTALLMENT]]=3),2,0)</f>
        <v>0</v>
      </c>
      <c r="G819" s="1">
        <f>IF(OR(Table4[[#This Row],[INSTALLMENT]]=3),3,0)</f>
        <v>0</v>
      </c>
    </row>
    <row r="820" spans="1:7">
      <c r="A820" s="1">
        <v>880</v>
      </c>
      <c r="B820" s="1" t="s">
        <v>2572</v>
      </c>
      <c r="C820" s="1" t="s">
        <v>386</v>
      </c>
      <c r="D820" s="1">
        <f>COUNTIFS('Raw Entries'!B:B,Table4[[#This Row],[Name]],'Raw Entries'!I:I,Table4[[#This Row],[BOOK No.]])</f>
        <v>0</v>
      </c>
      <c r="E820" s="1">
        <f t="array" ref="E820">IF(OR(Table4[[#This Row],[INSTALLMENT]]=1,Table4[[#This Row],[INSTALLMENT]]=2,Table4[[#This Row],[INSTALLMENT]]=3),1,0)</f>
        <v>0</v>
      </c>
      <c r="F820" s="1">
        <f>IF(OR(Table4[[#This Row],[INSTALLMENT]]=2,Table4[[#This Row],[INSTALLMENT]]=3),2,0)</f>
        <v>0</v>
      </c>
      <c r="G820" s="1">
        <f>IF(OR(Table4[[#This Row],[INSTALLMENT]]=3),3,0)</f>
        <v>0</v>
      </c>
    </row>
    <row r="821" spans="1:7">
      <c r="A821" s="1">
        <v>881</v>
      </c>
      <c r="B821" s="1" t="s">
        <v>2573</v>
      </c>
      <c r="C821" s="1" t="s">
        <v>386</v>
      </c>
      <c r="D821" s="1">
        <f>COUNTIFS('Raw Entries'!B:B,Table4[[#This Row],[Name]],'Raw Entries'!I:I,Table4[[#This Row],[BOOK No.]])</f>
        <v>0</v>
      </c>
      <c r="E821" s="1">
        <f t="array" ref="E821">IF(OR(Table4[[#This Row],[INSTALLMENT]]=1,Table4[[#This Row],[INSTALLMENT]]=2,Table4[[#This Row],[INSTALLMENT]]=3),1,0)</f>
        <v>0</v>
      </c>
      <c r="F821" s="1">
        <f>IF(OR(Table4[[#This Row],[INSTALLMENT]]=2,Table4[[#This Row],[INSTALLMENT]]=3),2,0)</f>
        <v>0</v>
      </c>
      <c r="G821" s="1">
        <f>IF(OR(Table4[[#This Row],[INSTALLMENT]]=3),3,0)</f>
        <v>0</v>
      </c>
    </row>
    <row r="822" spans="1:7">
      <c r="A822" s="1">
        <v>882</v>
      </c>
      <c r="B822" s="1" t="s">
        <v>2574</v>
      </c>
      <c r="C822" s="1" t="s">
        <v>386</v>
      </c>
      <c r="D822" s="1">
        <f>COUNTIFS('Raw Entries'!B:B,Table4[[#This Row],[Name]],'Raw Entries'!I:I,Table4[[#This Row],[BOOK No.]])</f>
        <v>0</v>
      </c>
      <c r="E822" s="1">
        <f t="array" ref="E822">IF(OR(Table4[[#This Row],[INSTALLMENT]]=1,Table4[[#This Row],[INSTALLMENT]]=2,Table4[[#This Row],[INSTALLMENT]]=3),1,0)</f>
        <v>0</v>
      </c>
      <c r="F822" s="1">
        <f>IF(OR(Table4[[#This Row],[INSTALLMENT]]=2,Table4[[#This Row],[INSTALLMENT]]=3),2,0)</f>
        <v>0</v>
      </c>
      <c r="G822" s="1">
        <f>IF(OR(Table4[[#This Row],[INSTALLMENT]]=3),3,0)</f>
        <v>0</v>
      </c>
    </row>
    <row r="823" spans="1:7">
      <c r="A823" s="1">
        <v>883</v>
      </c>
      <c r="B823" s="1" t="s">
        <v>2575</v>
      </c>
      <c r="C823" s="1" t="s">
        <v>386</v>
      </c>
      <c r="D823" s="1">
        <f>COUNTIFS('Raw Entries'!B:B,Table4[[#This Row],[Name]],'Raw Entries'!I:I,Table4[[#This Row],[BOOK No.]])</f>
        <v>0</v>
      </c>
      <c r="E823" s="1">
        <f t="array" ref="E823">IF(OR(Table4[[#This Row],[INSTALLMENT]]=1,Table4[[#This Row],[INSTALLMENT]]=2,Table4[[#This Row],[INSTALLMENT]]=3),1,0)</f>
        <v>0</v>
      </c>
      <c r="F823" s="1">
        <f>IF(OR(Table4[[#This Row],[INSTALLMENT]]=2,Table4[[#This Row],[INSTALLMENT]]=3),2,0)</f>
        <v>0</v>
      </c>
      <c r="G823" s="1">
        <f>IF(OR(Table4[[#This Row],[INSTALLMENT]]=3),3,0)</f>
        <v>0</v>
      </c>
    </row>
    <row r="824" spans="1:7">
      <c r="A824" s="1">
        <v>884</v>
      </c>
      <c r="B824" s="1" t="s">
        <v>2576</v>
      </c>
      <c r="C824" s="1" t="s">
        <v>386</v>
      </c>
      <c r="D824" s="1">
        <f>COUNTIFS('Raw Entries'!B:B,Table4[[#This Row],[Name]],'Raw Entries'!I:I,Table4[[#This Row],[BOOK No.]])</f>
        <v>0</v>
      </c>
      <c r="E824" s="1">
        <f t="array" ref="E824">IF(OR(Table4[[#This Row],[INSTALLMENT]]=1,Table4[[#This Row],[INSTALLMENT]]=2,Table4[[#This Row],[INSTALLMENT]]=3),1,0)</f>
        <v>0</v>
      </c>
      <c r="F824" s="1">
        <f>IF(OR(Table4[[#This Row],[INSTALLMENT]]=2,Table4[[#This Row],[INSTALLMENT]]=3),2,0)</f>
        <v>0</v>
      </c>
      <c r="G824" s="1">
        <f>IF(OR(Table4[[#This Row],[INSTALLMENT]]=3),3,0)</f>
        <v>0</v>
      </c>
    </row>
    <row r="825" spans="1:7">
      <c r="A825" s="1">
        <v>885</v>
      </c>
      <c r="B825" s="1" t="s">
        <v>2577</v>
      </c>
      <c r="C825" s="1" t="s">
        <v>386</v>
      </c>
      <c r="D825" s="1">
        <f>COUNTIFS('Raw Entries'!B:B,Table4[[#This Row],[Name]],'Raw Entries'!I:I,Table4[[#This Row],[BOOK No.]])</f>
        <v>0</v>
      </c>
      <c r="E825" s="1">
        <f t="array" ref="E825">IF(OR(Table4[[#This Row],[INSTALLMENT]]=1,Table4[[#This Row],[INSTALLMENT]]=2,Table4[[#This Row],[INSTALLMENT]]=3),1,0)</f>
        <v>0</v>
      </c>
      <c r="F825" s="1">
        <f>IF(OR(Table4[[#This Row],[INSTALLMENT]]=2,Table4[[#This Row],[INSTALLMENT]]=3),2,0)</f>
        <v>0</v>
      </c>
      <c r="G825" s="1">
        <f>IF(OR(Table4[[#This Row],[INSTALLMENT]]=3),3,0)</f>
        <v>0</v>
      </c>
    </row>
    <row r="826" spans="1:7">
      <c r="A826" s="1">
        <v>886</v>
      </c>
      <c r="B826" s="1" t="s">
        <v>2578</v>
      </c>
      <c r="C826" s="1" t="s">
        <v>386</v>
      </c>
      <c r="D826" s="1">
        <f>COUNTIFS('Raw Entries'!B:B,Table4[[#This Row],[Name]],'Raw Entries'!I:I,Table4[[#This Row],[BOOK No.]])</f>
        <v>0</v>
      </c>
      <c r="E826" s="1">
        <f t="array" ref="E826">IF(OR(Table4[[#This Row],[INSTALLMENT]]=1,Table4[[#This Row],[INSTALLMENT]]=2,Table4[[#This Row],[INSTALLMENT]]=3),1,0)</f>
        <v>0</v>
      </c>
      <c r="F826" s="1">
        <f>IF(OR(Table4[[#This Row],[INSTALLMENT]]=2,Table4[[#This Row],[INSTALLMENT]]=3),2,0)</f>
        <v>0</v>
      </c>
      <c r="G826" s="1">
        <f>IF(OR(Table4[[#This Row],[INSTALLMENT]]=3),3,0)</f>
        <v>0</v>
      </c>
    </row>
    <row r="827" spans="1:7">
      <c r="A827" s="1">
        <v>887</v>
      </c>
      <c r="B827" s="1" t="s">
        <v>2579</v>
      </c>
      <c r="C827" s="1" t="s">
        <v>386</v>
      </c>
      <c r="D827" s="1">
        <f>COUNTIFS('Raw Entries'!B:B,Table4[[#This Row],[Name]],'Raw Entries'!I:I,Table4[[#This Row],[BOOK No.]])</f>
        <v>0</v>
      </c>
      <c r="E827" s="1">
        <f t="array" ref="E827">IF(OR(Table4[[#This Row],[INSTALLMENT]]=1,Table4[[#This Row],[INSTALLMENT]]=2,Table4[[#This Row],[INSTALLMENT]]=3),1,0)</f>
        <v>0</v>
      </c>
      <c r="F827" s="1">
        <f>IF(OR(Table4[[#This Row],[INSTALLMENT]]=2,Table4[[#This Row],[INSTALLMENT]]=3),2,0)</f>
        <v>0</v>
      </c>
      <c r="G827" s="1">
        <f>IF(OR(Table4[[#This Row],[INSTALLMENT]]=3),3,0)</f>
        <v>0</v>
      </c>
    </row>
    <row r="828" spans="1:7">
      <c r="A828" s="1">
        <v>888</v>
      </c>
      <c r="B828" s="1" t="s">
        <v>387</v>
      </c>
      <c r="C828" s="1" t="s">
        <v>386</v>
      </c>
      <c r="D828" s="1">
        <f>COUNTIFS('Raw Entries'!B:B,Table4[[#This Row],[Name]],'Raw Entries'!I:I,Table4[[#This Row],[BOOK No.]])</f>
        <v>1</v>
      </c>
      <c r="E828" s="1">
        <f t="array" ref="E828">IF(OR(Table4[[#This Row],[INSTALLMENT]]=1,Table4[[#This Row],[INSTALLMENT]]=2,Table4[[#This Row],[INSTALLMENT]]=3),1,0)</f>
        <v>1</v>
      </c>
      <c r="F828" s="1">
        <f>IF(OR(Table4[[#This Row],[INSTALLMENT]]=2,Table4[[#This Row],[INSTALLMENT]]=3),2,0)</f>
        <v>0</v>
      </c>
      <c r="G828" s="1">
        <f>IF(OR(Table4[[#This Row],[INSTALLMENT]]=3),3,0)</f>
        <v>0</v>
      </c>
    </row>
    <row r="829" spans="1:7">
      <c r="A829" s="1">
        <v>889</v>
      </c>
      <c r="B829" s="1" t="s">
        <v>2580</v>
      </c>
      <c r="C829" s="1" t="s">
        <v>386</v>
      </c>
      <c r="D829" s="1">
        <f>COUNTIFS('Raw Entries'!B:B,Table4[[#This Row],[Name]],'Raw Entries'!I:I,Table4[[#This Row],[BOOK No.]])</f>
        <v>0</v>
      </c>
      <c r="E829" s="1">
        <f t="array" ref="E829">IF(OR(Table4[[#This Row],[INSTALLMENT]]=1,Table4[[#This Row],[INSTALLMENT]]=2,Table4[[#This Row],[INSTALLMENT]]=3),1,0)</f>
        <v>0</v>
      </c>
      <c r="F829" s="1">
        <f>IF(OR(Table4[[#This Row],[INSTALLMENT]]=2,Table4[[#This Row],[INSTALLMENT]]=3),2,0)</f>
        <v>0</v>
      </c>
      <c r="G829" s="1">
        <f>IF(OR(Table4[[#This Row],[INSTALLMENT]]=3),3,0)</f>
        <v>0</v>
      </c>
    </row>
    <row r="830" spans="1:7">
      <c r="A830" s="1">
        <v>890</v>
      </c>
      <c r="B830" s="1" t="s">
        <v>2581</v>
      </c>
      <c r="C830" s="1" t="s">
        <v>386</v>
      </c>
      <c r="D830" s="1">
        <f>COUNTIFS('Raw Entries'!B:B,Table4[[#This Row],[Name]],'Raw Entries'!I:I,Table4[[#This Row],[BOOK No.]])</f>
        <v>0</v>
      </c>
      <c r="E830" s="1">
        <f t="array" ref="E830">IF(OR(Table4[[#This Row],[INSTALLMENT]]=1,Table4[[#This Row],[INSTALLMENT]]=2,Table4[[#This Row],[INSTALLMENT]]=3),1,0)</f>
        <v>0</v>
      </c>
      <c r="F830" s="1">
        <f>IF(OR(Table4[[#This Row],[INSTALLMENT]]=2,Table4[[#This Row],[INSTALLMENT]]=3),2,0)</f>
        <v>0</v>
      </c>
      <c r="G830" s="1">
        <f>IF(OR(Table4[[#This Row],[INSTALLMENT]]=3),3,0)</f>
        <v>0</v>
      </c>
    </row>
    <row r="831" spans="1:7">
      <c r="A831" s="1">
        <v>891</v>
      </c>
      <c r="B831" s="1" t="s">
        <v>2582</v>
      </c>
      <c r="C831" s="1" t="s">
        <v>386</v>
      </c>
      <c r="D831" s="1">
        <f>COUNTIFS('Raw Entries'!B:B,Table4[[#This Row],[Name]],'Raw Entries'!I:I,Table4[[#This Row],[BOOK No.]])</f>
        <v>0</v>
      </c>
      <c r="E831" s="1">
        <f t="array" ref="E831">IF(OR(Table4[[#This Row],[INSTALLMENT]]=1,Table4[[#This Row],[INSTALLMENT]]=2,Table4[[#This Row],[INSTALLMENT]]=3),1,0)</f>
        <v>0</v>
      </c>
      <c r="F831" s="1">
        <f>IF(OR(Table4[[#This Row],[INSTALLMENT]]=2,Table4[[#This Row],[INSTALLMENT]]=3),2,0)</f>
        <v>0</v>
      </c>
      <c r="G831" s="1">
        <f>IF(OR(Table4[[#This Row],[INSTALLMENT]]=3),3,0)</f>
        <v>0</v>
      </c>
    </row>
    <row r="832" spans="1:7">
      <c r="A832" s="1">
        <v>892</v>
      </c>
      <c r="B832" s="1" t="s">
        <v>392</v>
      </c>
      <c r="C832" s="1" t="s">
        <v>386</v>
      </c>
      <c r="D832" s="1">
        <f>COUNTIFS('Raw Entries'!B:B,Table4[[#This Row],[Name]],'Raw Entries'!I:I,Table4[[#This Row],[BOOK No.]])</f>
        <v>3</v>
      </c>
      <c r="E832" s="1">
        <f t="array" ref="E832">IF(OR(Table4[[#This Row],[INSTALLMENT]]=1,Table4[[#This Row],[INSTALLMENT]]=2,Table4[[#This Row],[INSTALLMENT]]=3),1,0)</f>
        <v>1</v>
      </c>
      <c r="F832" s="1">
        <f>IF(OR(Table4[[#This Row],[INSTALLMENT]]=2,Table4[[#This Row],[INSTALLMENT]]=3),2,0)</f>
        <v>2</v>
      </c>
      <c r="G832" s="1">
        <f>IF(OR(Table4[[#This Row],[INSTALLMENT]]=3),3,0)</f>
        <v>3</v>
      </c>
    </row>
    <row r="833" spans="1:7">
      <c r="A833" s="1">
        <v>893</v>
      </c>
      <c r="B833" s="1" t="s">
        <v>2583</v>
      </c>
      <c r="C833" s="1" t="s">
        <v>386</v>
      </c>
      <c r="D833" s="1">
        <f>COUNTIFS('Raw Entries'!B:B,Table4[[#This Row],[Name]],'Raw Entries'!I:I,Table4[[#This Row],[BOOK No.]])</f>
        <v>0</v>
      </c>
      <c r="E833" s="1">
        <f t="array" ref="E833">IF(OR(Table4[[#This Row],[INSTALLMENT]]=1,Table4[[#This Row],[INSTALLMENT]]=2,Table4[[#This Row],[INSTALLMENT]]=3),1,0)</f>
        <v>0</v>
      </c>
      <c r="F833" s="1">
        <f>IF(OR(Table4[[#This Row],[INSTALLMENT]]=2,Table4[[#This Row],[INSTALLMENT]]=3),2,0)</f>
        <v>0</v>
      </c>
      <c r="G833" s="1">
        <f>IF(OR(Table4[[#This Row],[INSTALLMENT]]=3),3,0)</f>
        <v>0</v>
      </c>
    </row>
    <row r="834" spans="1:7">
      <c r="A834" s="1">
        <v>894</v>
      </c>
      <c r="B834" s="1" t="s">
        <v>388</v>
      </c>
      <c r="C834" s="1" t="s">
        <v>386</v>
      </c>
      <c r="D834" s="1">
        <f>COUNTIFS('Raw Entries'!B:B,Table4[[#This Row],[Name]],'Raw Entries'!I:I,Table4[[#This Row],[BOOK No.]])</f>
        <v>1</v>
      </c>
      <c r="E834" s="1">
        <f t="array" ref="E834">IF(OR(Table4[[#This Row],[INSTALLMENT]]=1,Table4[[#This Row],[INSTALLMENT]]=2,Table4[[#This Row],[INSTALLMENT]]=3),1,0)</f>
        <v>1</v>
      </c>
      <c r="F834" s="1">
        <f>IF(OR(Table4[[#This Row],[INSTALLMENT]]=2,Table4[[#This Row],[INSTALLMENT]]=3),2,0)</f>
        <v>0</v>
      </c>
      <c r="G834" s="1">
        <f>IF(OR(Table4[[#This Row],[INSTALLMENT]]=3),3,0)</f>
        <v>0</v>
      </c>
    </row>
    <row r="835" spans="1:7">
      <c r="A835" s="1">
        <v>895</v>
      </c>
      <c r="B835" s="1" t="s">
        <v>2584</v>
      </c>
      <c r="C835" s="1" t="s">
        <v>386</v>
      </c>
      <c r="D835" s="1">
        <f>COUNTIFS('Raw Entries'!B:B,Table4[[#This Row],[Name]],'Raw Entries'!I:I,Table4[[#This Row],[BOOK No.]])</f>
        <v>0</v>
      </c>
      <c r="E835" s="1">
        <f t="array" ref="E835">IF(OR(Table4[[#This Row],[INSTALLMENT]]=1,Table4[[#This Row],[INSTALLMENT]]=2,Table4[[#This Row],[INSTALLMENT]]=3),1,0)</f>
        <v>0</v>
      </c>
      <c r="F835" s="1">
        <f>IF(OR(Table4[[#This Row],[INSTALLMENT]]=2,Table4[[#This Row],[INSTALLMENT]]=3),2,0)</f>
        <v>0</v>
      </c>
      <c r="G835" s="1">
        <f>IF(OR(Table4[[#This Row],[INSTALLMENT]]=3),3,0)</f>
        <v>0</v>
      </c>
    </row>
    <row r="836" spans="1:7">
      <c r="A836" s="1">
        <v>896</v>
      </c>
      <c r="B836" s="1" t="s">
        <v>391</v>
      </c>
      <c r="C836" s="1" t="s">
        <v>386</v>
      </c>
      <c r="D836" s="1">
        <f>COUNTIFS('Raw Entries'!B:B,Table4[[#This Row],[Name]],'Raw Entries'!I:I,Table4[[#This Row],[BOOK No.]])</f>
        <v>3</v>
      </c>
      <c r="E836" s="1">
        <f t="array" ref="E836">IF(OR(Table4[[#This Row],[INSTALLMENT]]=1,Table4[[#This Row],[INSTALLMENT]]=2,Table4[[#This Row],[INSTALLMENT]]=3),1,0)</f>
        <v>1</v>
      </c>
      <c r="F836" s="1">
        <f>IF(OR(Table4[[#This Row],[INSTALLMENT]]=2,Table4[[#This Row],[INSTALLMENT]]=3),2,0)</f>
        <v>2</v>
      </c>
      <c r="G836" s="1">
        <f>IF(OR(Table4[[#This Row],[INSTALLMENT]]=3),3,0)</f>
        <v>3</v>
      </c>
    </row>
    <row r="837" spans="1:7">
      <c r="A837" s="1">
        <v>897</v>
      </c>
      <c r="B837" s="1" t="s">
        <v>390</v>
      </c>
      <c r="C837" s="1" t="s">
        <v>386</v>
      </c>
      <c r="D837" s="1">
        <f>COUNTIFS('Raw Entries'!B:B,Table4[[#This Row],[Name]],'Raw Entries'!I:I,Table4[[#This Row],[BOOK No.]])</f>
        <v>1</v>
      </c>
      <c r="E837" s="1">
        <f t="array" ref="E837">IF(OR(Table4[[#This Row],[INSTALLMENT]]=1,Table4[[#This Row],[INSTALLMENT]]=2,Table4[[#This Row],[INSTALLMENT]]=3),1,0)</f>
        <v>1</v>
      </c>
      <c r="F837" s="1">
        <f>IF(OR(Table4[[#This Row],[INSTALLMENT]]=2,Table4[[#This Row],[INSTALLMENT]]=3),2,0)</f>
        <v>0</v>
      </c>
      <c r="G837" s="1">
        <f>IF(OR(Table4[[#This Row],[INSTALLMENT]]=3),3,0)</f>
        <v>0</v>
      </c>
    </row>
    <row r="838" spans="1:7">
      <c r="A838" s="1">
        <v>898</v>
      </c>
      <c r="B838" s="1" t="s">
        <v>2585</v>
      </c>
      <c r="C838" s="1" t="s">
        <v>386</v>
      </c>
      <c r="D838" s="1">
        <f>COUNTIFS('Raw Entries'!B:B,Table4[[#This Row],[Name]],'Raw Entries'!I:I,Table4[[#This Row],[BOOK No.]])</f>
        <v>0</v>
      </c>
      <c r="E838" s="1">
        <f t="array" ref="E838">IF(OR(Table4[[#This Row],[INSTALLMENT]]=1,Table4[[#This Row],[INSTALLMENT]]=2,Table4[[#This Row],[INSTALLMENT]]=3),1,0)</f>
        <v>0</v>
      </c>
      <c r="F838" s="1">
        <f>IF(OR(Table4[[#This Row],[INSTALLMENT]]=2,Table4[[#This Row],[INSTALLMENT]]=3),2,0)</f>
        <v>0</v>
      </c>
      <c r="G838" s="1">
        <f>IF(OR(Table4[[#This Row],[INSTALLMENT]]=3),3,0)</f>
        <v>0</v>
      </c>
    </row>
    <row r="839" spans="1:7">
      <c r="A839" s="1">
        <v>899</v>
      </c>
      <c r="B839" s="1" t="s">
        <v>2586</v>
      </c>
      <c r="C839" s="1" t="s">
        <v>386</v>
      </c>
      <c r="D839" s="1">
        <f>COUNTIFS('Raw Entries'!B:B,Table4[[#This Row],[Name]],'Raw Entries'!I:I,Table4[[#This Row],[BOOK No.]])</f>
        <v>0</v>
      </c>
      <c r="E839" s="1">
        <f t="array" ref="E839">IF(OR(Table4[[#This Row],[INSTALLMENT]]=1,Table4[[#This Row],[INSTALLMENT]]=2,Table4[[#This Row],[INSTALLMENT]]=3),1,0)</f>
        <v>0</v>
      </c>
      <c r="F839" s="1">
        <f>IF(OR(Table4[[#This Row],[INSTALLMENT]]=2,Table4[[#This Row],[INSTALLMENT]]=3),2,0)</f>
        <v>0</v>
      </c>
      <c r="G839" s="1">
        <f>IF(OR(Table4[[#This Row],[INSTALLMENT]]=3),3,0)</f>
        <v>0</v>
      </c>
    </row>
    <row r="840" spans="1:7">
      <c r="A840" s="1">
        <v>900</v>
      </c>
      <c r="B840" s="1" t="s">
        <v>2587</v>
      </c>
      <c r="C840" s="1" t="s">
        <v>386</v>
      </c>
      <c r="D840" s="1">
        <f>COUNTIFS('Raw Entries'!B:B,Table4[[#This Row],[Name]],'Raw Entries'!I:I,Table4[[#This Row],[BOOK No.]])</f>
        <v>0</v>
      </c>
      <c r="E840" s="1">
        <f t="array" ref="E840">IF(OR(Table4[[#This Row],[INSTALLMENT]]=1,Table4[[#This Row],[INSTALLMENT]]=2,Table4[[#This Row],[INSTALLMENT]]=3),1,0)</f>
        <v>0</v>
      </c>
      <c r="F840" s="1">
        <f>IF(OR(Table4[[#This Row],[INSTALLMENT]]=2,Table4[[#This Row],[INSTALLMENT]]=3),2,0)</f>
        <v>0</v>
      </c>
      <c r="G840" s="1">
        <f>IF(OR(Table4[[#This Row],[INSTALLMENT]]=3),3,0)</f>
        <v>0</v>
      </c>
    </row>
    <row r="841" spans="1:7">
      <c r="A841" s="1">
        <v>901</v>
      </c>
      <c r="B841" s="1" t="s">
        <v>2588</v>
      </c>
      <c r="C841" s="1" t="s">
        <v>386</v>
      </c>
      <c r="D841" s="1">
        <f>COUNTIFS('Raw Entries'!B:B,Table4[[#This Row],[Name]],'Raw Entries'!I:I,Table4[[#This Row],[BOOK No.]])</f>
        <v>0</v>
      </c>
      <c r="E841" s="1">
        <f t="array" ref="E841">IF(OR(Table4[[#This Row],[INSTALLMENT]]=1,Table4[[#This Row],[INSTALLMENT]]=2,Table4[[#This Row],[INSTALLMENT]]=3),1,0)</f>
        <v>0</v>
      </c>
      <c r="F841" s="1">
        <f>IF(OR(Table4[[#This Row],[INSTALLMENT]]=2,Table4[[#This Row],[INSTALLMENT]]=3),2,0)</f>
        <v>0</v>
      </c>
      <c r="G841" s="1">
        <f>IF(OR(Table4[[#This Row],[INSTALLMENT]]=3),3,0)</f>
        <v>0</v>
      </c>
    </row>
    <row r="842" spans="1:7">
      <c r="A842" s="1">
        <v>902</v>
      </c>
      <c r="B842" s="1" t="s">
        <v>2589</v>
      </c>
      <c r="C842" s="1" t="s">
        <v>386</v>
      </c>
      <c r="D842" s="1">
        <f>COUNTIFS('Raw Entries'!B:B,Table4[[#This Row],[Name]],'Raw Entries'!I:I,Table4[[#This Row],[BOOK No.]])</f>
        <v>0</v>
      </c>
      <c r="E842" s="1">
        <f t="array" ref="E842">IF(OR(Table4[[#This Row],[INSTALLMENT]]=1,Table4[[#This Row],[INSTALLMENT]]=2,Table4[[#This Row],[INSTALLMENT]]=3),1,0)</f>
        <v>0</v>
      </c>
      <c r="F842" s="1">
        <f>IF(OR(Table4[[#This Row],[INSTALLMENT]]=2,Table4[[#This Row],[INSTALLMENT]]=3),2,0)</f>
        <v>0</v>
      </c>
      <c r="G842" s="1">
        <f>IF(OR(Table4[[#This Row],[INSTALLMENT]]=3),3,0)</f>
        <v>0</v>
      </c>
    </row>
    <row r="843" spans="1:7">
      <c r="A843" s="1">
        <v>903</v>
      </c>
      <c r="B843" s="1" t="s">
        <v>2590</v>
      </c>
      <c r="C843" s="1" t="s">
        <v>386</v>
      </c>
      <c r="D843" s="1">
        <f>COUNTIFS('Raw Entries'!B:B,Table4[[#This Row],[Name]],'Raw Entries'!I:I,Table4[[#This Row],[BOOK No.]])</f>
        <v>0</v>
      </c>
      <c r="E843" s="1">
        <f t="array" ref="E843">IF(OR(Table4[[#This Row],[INSTALLMENT]]=1,Table4[[#This Row],[INSTALLMENT]]=2,Table4[[#This Row],[INSTALLMENT]]=3),1,0)</f>
        <v>0</v>
      </c>
      <c r="F843" s="1">
        <f>IF(OR(Table4[[#This Row],[INSTALLMENT]]=2,Table4[[#This Row],[INSTALLMENT]]=3),2,0)</f>
        <v>0</v>
      </c>
      <c r="G843" s="1">
        <f>IF(OR(Table4[[#This Row],[INSTALLMENT]]=3),3,0)</f>
        <v>0</v>
      </c>
    </row>
    <row r="844" spans="1:7">
      <c r="A844" s="1">
        <v>904</v>
      </c>
      <c r="B844" s="1" t="s">
        <v>605</v>
      </c>
      <c r="C844" s="1" t="s">
        <v>386</v>
      </c>
      <c r="D844" s="1">
        <f>COUNTIFS('Raw Entries'!B:B,Table4[[#This Row],[Name]],'Raw Entries'!I:I,Table4[[#This Row],[BOOK No.]])</f>
        <v>1</v>
      </c>
      <c r="E844" s="1">
        <f t="array" ref="E844">IF(OR(Table4[[#This Row],[INSTALLMENT]]=1,Table4[[#This Row],[INSTALLMENT]]=2,Table4[[#This Row],[INSTALLMENT]]=3),1,0)</f>
        <v>1</v>
      </c>
      <c r="F844" s="1">
        <f>IF(OR(Table4[[#This Row],[INSTALLMENT]]=2,Table4[[#This Row],[INSTALLMENT]]=3),2,0)</f>
        <v>0</v>
      </c>
      <c r="G844" s="1">
        <f>IF(OR(Table4[[#This Row],[INSTALLMENT]]=3),3,0)</f>
        <v>0</v>
      </c>
    </row>
    <row r="845" spans="1:7">
      <c r="A845" s="1">
        <v>905</v>
      </c>
      <c r="B845" s="1" t="s">
        <v>393</v>
      </c>
      <c r="C845" s="1" t="s">
        <v>386</v>
      </c>
      <c r="D845" s="1">
        <f>COUNTIFS('Raw Entries'!B:B,Table4[[#This Row],[Name]],'Raw Entries'!I:I,Table4[[#This Row],[BOOK No.]])</f>
        <v>1</v>
      </c>
      <c r="E845" s="1">
        <f t="array" ref="E845">IF(OR(Table4[[#This Row],[INSTALLMENT]]=1,Table4[[#This Row],[INSTALLMENT]]=2,Table4[[#This Row],[INSTALLMENT]]=3),1,0)</f>
        <v>1</v>
      </c>
      <c r="F845" s="1">
        <f>IF(OR(Table4[[#This Row],[INSTALLMENT]]=2,Table4[[#This Row],[INSTALLMENT]]=3),2,0)</f>
        <v>0</v>
      </c>
      <c r="G845" s="1">
        <f>IF(OR(Table4[[#This Row],[INSTALLMENT]]=3),3,0)</f>
        <v>0</v>
      </c>
    </row>
    <row r="846" spans="1:7">
      <c r="A846" s="1">
        <v>906</v>
      </c>
      <c r="B846" s="1" t="s">
        <v>396</v>
      </c>
      <c r="C846" s="1" t="s">
        <v>386</v>
      </c>
      <c r="D846" s="1">
        <f>COUNTIFS('Raw Entries'!B:B,Table4[[#This Row],[Name]],'Raw Entries'!I:I,Table4[[#This Row],[BOOK No.]])</f>
        <v>3</v>
      </c>
      <c r="E846" s="1">
        <f t="array" ref="E846">IF(OR(Table4[[#This Row],[INSTALLMENT]]=1,Table4[[#This Row],[INSTALLMENT]]=2,Table4[[#This Row],[INSTALLMENT]]=3),1,0)</f>
        <v>1</v>
      </c>
      <c r="F846" s="1">
        <f>IF(OR(Table4[[#This Row],[INSTALLMENT]]=2,Table4[[#This Row],[INSTALLMENT]]=3),2,0)</f>
        <v>2</v>
      </c>
      <c r="G846" s="1">
        <f>IF(OR(Table4[[#This Row],[INSTALLMENT]]=3),3,0)</f>
        <v>3</v>
      </c>
    </row>
    <row r="847" spans="1:7">
      <c r="A847" s="1">
        <v>907</v>
      </c>
      <c r="B847" s="1" t="s">
        <v>3944</v>
      </c>
      <c r="C847" s="1" t="s">
        <v>356</v>
      </c>
      <c r="D847" s="1">
        <f>COUNTIFS('Raw Entries'!B:B,Table4[[#This Row],[Name]],'Raw Entries'!I:I,Table4[[#This Row],[BOOK No.]])</f>
        <v>0</v>
      </c>
      <c r="E847" s="1">
        <f t="array" ref="E847">IF(OR(Table4[[#This Row],[INSTALLMENT]]=1,Table4[[#This Row],[INSTALLMENT]]=2,Table4[[#This Row],[INSTALLMENT]]=3),1,0)</f>
        <v>0</v>
      </c>
      <c r="F847" s="1">
        <f>IF(OR(Table4[[#This Row],[INSTALLMENT]]=2,Table4[[#This Row],[INSTALLMENT]]=3),2,0)</f>
        <v>0</v>
      </c>
      <c r="G847" s="1">
        <f>IF(OR(Table4[[#This Row],[INSTALLMENT]]=3),3,0)</f>
        <v>0</v>
      </c>
    </row>
    <row r="848" spans="1:7">
      <c r="A848" s="1">
        <v>907</v>
      </c>
      <c r="B848" s="1" t="s">
        <v>2591</v>
      </c>
      <c r="C848" s="1" t="s">
        <v>386</v>
      </c>
      <c r="D848" s="1">
        <f>COUNTIFS('Raw Entries'!B:B,Table4[[#This Row],[Name]],'Raw Entries'!I:I,Table4[[#This Row],[BOOK No.]])</f>
        <v>0</v>
      </c>
      <c r="E848" s="1">
        <f t="array" ref="E848">IF(OR(Table4[[#This Row],[INSTALLMENT]]=1,Table4[[#This Row],[INSTALLMENT]]=2,Table4[[#This Row],[INSTALLMENT]]=3),1,0)</f>
        <v>0</v>
      </c>
      <c r="F848" s="1">
        <f>IF(OR(Table4[[#This Row],[INSTALLMENT]]=2,Table4[[#This Row],[INSTALLMENT]]=3),2,0)</f>
        <v>0</v>
      </c>
      <c r="G848" s="1">
        <f>IF(OR(Table4[[#This Row],[INSTALLMENT]]=3),3,0)</f>
        <v>0</v>
      </c>
    </row>
    <row r="849" spans="1:7">
      <c r="A849" s="1">
        <v>908</v>
      </c>
      <c r="B849" s="1" t="s">
        <v>389</v>
      </c>
      <c r="C849" s="1" t="s">
        <v>386</v>
      </c>
      <c r="D849" s="1">
        <f>COUNTIFS('Raw Entries'!B:B,Table4[[#This Row],[Name]],'Raw Entries'!I:I,Table4[[#This Row],[BOOK No.]])</f>
        <v>3</v>
      </c>
      <c r="E849" s="1">
        <f t="array" ref="E849">IF(OR(Table4[[#This Row],[INSTALLMENT]]=1,Table4[[#This Row],[INSTALLMENT]]=2,Table4[[#This Row],[INSTALLMENT]]=3),1,0)</f>
        <v>1</v>
      </c>
      <c r="F849" s="1">
        <f>IF(OR(Table4[[#This Row],[INSTALLMENT]]=2,Table4[[#This Row],[INSTALLMENT]]=3),2,0)</f>
        <v>2</v>
      </c>
      <c r="G849" s="1">
        <f>IF(OR(Table4[[#This Row],[INSTALLMENT]]=3),3,0)</f>
        <v>3</v>
      </c>
    </row>
    <row r="850" spans="1:7">
      <c r="A850" s="1">
        <v>909</v>
      </c>
      <c r="B850" s="1" t="s">
        <v>394</v>
      </c>
      <c r="C850" s="1" t="s">
        <v>386</v>
      </c>
      <c r="D850" s="1">
        <f>COUNTIFS('Raw Entries'!B:B,Table4[[#This Row],[Name]],'Raw Entries'!I:I,Table4[[#This Row],[BOOK No.]])</f>
        <v>2</v>
      </c>
      <c r="E850" s="1">
        <f t="array" ref="E850">IF(OR(Table4[[#This Row],[INSTALLMENT]]=1,Table4[[#This Row],[INSTALLMENT]]=2,Table4[[#This Row],[INSTALLMENT]]=3),1,0)</f>
        <v>1</v>
      </c>
      <c r="F850" s="1">
        <f>IF(OR(Table4[[#This Row],[INSTALLMENT]]=2,Table4[[#This Row],[INSTALLMENT]]=3),2,0)</f>
        <v>2</v>
      </c>
      <c r="G850" s="1">
        <f>IF(OR(Table4[[#This Row],[INSTALLMENT]]=3),3,0)</f>
        <v>0</v>
      </c>
    </row>
    <row r="851" spans="1:7">
      <c r="A851" s="1">
        <v>910</v>
      </c>
      <c r="B851" s="1" t="s">
        <v>402</v>
      </c>
      <c r="C851" s="1" t="s">
        <v>397</v>
      </c>
      <c r="D851" s="1">
        <f>COUNTIFS('Raw Entries'!B:B,Table4[[#This Row],[Name]],'Raw Entries'!I:I,Table4[[#This Row],[BOOK No.]])</f>
        <v>1</v>
      </c>
      <c r="E851" s="1">
        <f t="array" ref="E851">IF(OR(Table4[[#This Row],[INSTALLMENT]]=1,Table4[[#This Row],[INSTALLMENT]]=2,Table4[[#This Row],[INSTALLMENT]]=3),1,0)</f>
        <v>1</v>
      </c>
      <c r="F851" s="1">
        <f>IF(OR(Table4[[#This Row],[INSTALLMENT]]=2,Table4[[#This Row],[INSTALLMENT]]=3),2,0)</f>
        <v>0</v>
      </c>
      <c r="G851" s="1">
        <f>IF(OR(Table4[[#This Row],[INSTALLMENT]]=3),3,0)</f>
        <v>0</v>
      </c>
    </row>
    <row r="852" spans="1:7">
      <c r="A852" s="1">
        <v>911</v>
      </c>
      <c r="B852" s="1" t="s">
        <v>2592</v>
      </c>
      <c r="C852" s="1" t="s">
        <v>397</v>
      </c>
      <c r="D852" s="1">
        <f>COUNTIFS('Raw Entries'!B:B,Table4[[#This Row],[Name]],'Raw Entries'!I:I,Table4[[#This Row],[BOOK No.]])</f>
        <v>0</v>
      </c>
      <c r="E852" s="1">
        <f t="array" ref="E852">IF(OR(Table4[[#This Row],[INSTALLMENT]]=1,Table4[[#This Row],[INSTALLMENT]]=2,Table4[[#This Row],[INSTALLMENT]]=3),1,0)</f>
        <v>0</v>
      </c>
      <c r="F852" s="1">
        <f>IF(OR(Table4[[#This Row],[INSTALLMENT]]=2,Table4[[#This Row],[INSTALLMENT]]=3),2,0)</f>
        <v>0</v>
      </c>
      <c r="G852" s="1">
        <f>IF(OR(Table4[[#This Row],[INSTALLMENT]]=3),3,0)</f>
        <v>0</v>
      </c>
    </row>
    <row r="853" spans="1:7">
      <c r="A853" s="1">
        <v>912</v>
      </c>
      <c r="B853" s="1" t="s">
        <v>2155</v>
      </c>
      <c r="C853" s="1" t="s">
        <v>397</v>
      </c>
      <c r="D853" s="1">
        <f>COUNTIFS('Raw Entries'!B:B,Table4[[#This Row],[Name]],'Raw Entries'!I:I,Table4[[#This Row],[BOOK No.]])</f>
        <v>0</v>
      </c>
      <c r="E853" s="1">
        <f t="array" ref="E853">IF(OR(Table4[[#This Row],[INSTALLMENT]]=1,Table4[[#This Row],[INSTALLMENT]]=2,Table4[[#This Row],[INSTALLMENT]]=3),1,0)</f>
        <v>0</v>
      </c>
      <c r="F853" s="1">
        <f>IF(OR(Table4[[#This Row],[INSTALLMENT]]=2,Table4[[#This Row],[INSTALLMENT]]=3),2,0)</f>
        <v>0</v>
      </c>
      <c r="G853" s="1">
        <f>IF(OR(Table4[[#This Row],[INSTALLMENT]]=3),3,0)</f>
        <v>0</v>
      </c>
    </row>
    <row r="854" spans="1:7">
      <c r="A854" s="1">
        <v>913</v>
      </c>
      <c r="B854" s="1" t="s">
        <v>2593</v>
      </c>
      <c r="C854" s="1" t="s">
        <v>397</v>
      </c>
      <c r="D854" s="1">
        <f>COUNTIFS('Raw Entries'!B:B,Table4[[#This Row],[Name]],'Raw Entries'!I:I,Table4[[#This Row],[BOOK No.]])</f>
        <v>0</v>
      </c>
      <c r="E854" s="1">
        <f t="array" ref="E854">IF(OR(Table4[[#This Row],[INSTALLMENT]]=1,Table4[[#This Row],[INSTALLMENT]]=2,Table4[[#This Row],[INSTALLMENT]]=3),1,0)</f>
        <v>0</v>
      </c>
      <c r="F854" s="1">
        <f>IF(OR(Table4[[#This Row],[INSTALLMENT]]=2,Table4[[#This Row],[INSTALLMENT]]=3),2,0)</f>
        <v>0</v>
      </c>
      <c r="G854" s="1">
        <f>IF(OR(Table4[[#This Row],[INSTALLMENT]]=3),3,0)</f>
        <v>0</v>
      </c>
    </row>
    <row r="855" spans="1:7">
      <c r="A855" s="1">
        <v>914</v>
      </c>
      <c r="B855" s="1" t="s">
        <v>404</v>
      </c>
      <c r="C855" s="1" t="s">
        <v>397</v>
      </c>
      <c r="D855" s="1">
        <f>COUNTIFS('Raw Entries'!B:B,Table4[[#This Row],[Name]],'Raw Entries'!I:I,Table4[[#This Row],[BOOK No.]])</f>
        <v>1</v>
      </c>
      <c r="E855" s="1">
        <f t="array" ref="E855">IF(OR(Table4[[#This Row],[INSTALLMENT]]=1,Table4[[#This Row],[INSTALLMENT]]=2,Table4[[#This Row],[INSTALLMENT]]=3),1,0)</f>
        <v>1</v>
      </c>
      <c r="F855" s="1">
        <f>IF(OR(Table4[[#This Row],[INSTALLMENT]]=2,Table4[[#This Row],[INSTALLMENT]]=3),2,0)</f>
        <v>0</v>
      </c>
      <c r="G855" s="1">
        <f>IF(OR(Table4[[#This Row],[INSTALLMENT]]=3),3,0)</f>
        <v>0</v>
      </c>
    </row>
    <row r="856" spans="1:7">
      <c r="A856" s="1">
        <v>915</v>
      </c>
      <c r="B856" s="1" t="s">
        <v>2594</v>
      </c>
      <c r="C856" s="1" t="s">
        <v>397</v>
      </c>
      <c r="D856" s="1">
        <f>COUNTIFS('Raw Entries'!B:B,Table4[[#This Row],[Name]],'Raw Entries'!I:I,Table4[[#This Row],[BOOK No.]])</f>
        <v>0</v>
      </c>
      <c r="E856" s="1">
        <f t="array" ref="E856">IF(OR(Table4[[#This Row],[INSTALLMENT]]=1,Table4[[#This Row],[INSTALLMENT]]=2,Table4[[#This Row],[INSTALLMENT]]=3),1,0)</f>
        <v>0</v>
      </c>
      <c r="F856" s="1">
        <f>IF(OR(Table4[[#This Row],[INSTALLMENT]]=2,Table4[[#This Row],[INSTALLMENT]]=3),2,0)</f>
        <v>0</v>
      </c>
      <c r="G856" s="1">
        <f>IF(OR(Table4[[#This Row],[INSTALLMENT]]=3),3,0)</f>
        <v>0</v>
      </c>
    </row>
    <row r="857" spans="1:7">
      <c r="A857" s="1">
        <v>916</v>
      </c>
      <c r="B857" s="1" t="s">
        <v>400</v>
      </c>
      <c r="C857" s="1" t="s">
        <v>397</v>
      </c>
      <c r="D857" s="1">
        <f>COUNTIFS('Raw Entries'!B:B,Table4[[#This Row],[Name]],'Raw Entries'!I:I,Table4[[#This Row],[BOOK No.]])</f>
        <v>1</v>
      </c>
      <c r="E857" s="1">
        <f t="array" ref="E857">IF(OR(Table4[[#This Row],[INSTALLMENT]]=1,Table4[[#This Row],[INSTALLMENT]]=2,Table4[[#This Row],[INSTALLMENT]]=3),1,0)</f>
        <v>1</v>
      </c>
      <c r="F857" s="1">
        <f>IF(OR(Table4[[#This Row],[INSTALLMENT]]=2,Table4[[#This Row],[INSTALLMENT]]=3),2,0)</f>
        <v>0</v>
      </c>
      <c r="G857" s="1">
        <f>IF(OR(Table4[[#This Row],[INSTALLMENT]]=3),3,0)</f>
        <v>0</v>
      </c>
    </row>
    <row r="858" spans="1:7">
      <c r="A858" s="1">
        <v>917</v>
      </c>
      <c r="B858" s="1" t="s">
        <v>2595</v>
      </c>
      <c r="C858" s="1" t="s">
        <v>397</v>
      </c>
      <c r="D858" s="1">
        <f>COUNTIFS('Raw Entries'!B:B,Table4[[#This Row],[Name]],'Raw Entries'!I:I,Table4[[#This Row],[BOOK No.]])</f>
        <v>0</v>
      </c>
      <c r="E858" s="1">
        <f t="array" ref="E858">IF(OR(Table4[[#This Row],[INSTALLMENT]]=1,Table4[[#This Row],[INSTALLMENT]]=2,Table4[[#This Row],[INSTALLMENT]]=3),1,0)</f>
        <v>0</v>
      </c>
      <c r="F858" s="1">
        <f>IF(OR(Table4[[#This Row],[INSTALLMENT]]=2,Table4[[#This Row],[INSTALLMENT]]=3),2,0)</f>
        <v>0</v>
      </c>
      <c r="G858" s="1">
        <f>IF(OR(Table4[[#This Row],[INSTALLMENT]]=3),3,0)</f>
        <v>0</v>
      </c>
    </row>
    <row r="859" spans="1:7">
      <c r="A859" s="1">
        <v>918</v>
      </c>
      <c r="B859" s="1" t="s">
        <v>1840</v>
      </c>
      <c r="C859" s="1" t="s">
        <v>397</v>
      </c>
      <c r="D859" s="1">
        <f>COUNTIFS('Raw Entries'!B:B,Table4[[#This Row],[Name]],'Raw Entries'!I:I,Table4[[#This Row],[BOOK No.]])</f>
        <v>1</v>
      </c>
      <c r="E859" s="1">
        <f t="array" ref="E859">IF(OR(Table4[[#This Row],[INSTALLMENT]]=1,Table4[[#This Row],[INSTALLMENT]]=2,Table4[[#This Row],[INSTALLMENT]]=3),1,0)</f>
        <v>1</v>
      </c>
      <c r="F859" s="1">
        <f>IF(OR(Table4[[#This Row],[INSTALLMENT]]=2,Table4[[#This Row],[INSTALLMENT]]=3),2,0)</f>
        <v>0</v>
      </c>
      <c r="G859" s="1">
        <f>IF(OR(Table4[[#This Row],[INSTALLMENT]]=3),3,0)</f>
        <v>0</v>
      </c>
    </row>
    <row r="860" spans="1:7">
      <c r="A860" s="1">
        <v>919</v>
      </c>
      <c r="B860" s="1" t="s">
        <v>2596</v>
      </c>
      <c r="C860" s="1" t="s">
        <v>397</v>
      </c>
      <c r="D860" s="1">
        <f>COUNTIFS('Raw Entries'!B:B,Table4[[#This Row],[Name]],'Raw Entries'!I:I,Table4[[#This Row],[BOOK No.]])</f>
        <v>0</v>
      </c>
      <c r="E860" s="1">
        <f t="array" ref="E860">IF(OR(Table4[[#This Row],[INSTALLMENT]]=1,Table4[[#This Row],[INSTALLMENT]]=2,Table4[[#This Row],[INSTALLMENT]]=3),1,0)</f>
        <v>0</v>
      </c>
      <c r="F860" s="1">
        <f>IF(OR(Table4[[#This Row],[INSTALLMENT]]=2,Table4[[#This Row],[INSTALLMENT]]=3),2,0)</f>
        <v>0</v>
      </c>
      <c r="G860" s="1">
        <f>IF(OR(Table4[[#This Row],[INSTALLMENT]]=3),3,0)</f>
        <v>0</v>
      </c>
    </row>
    <row r="861" spans="1:7">
      <c r="A861" s="1">
        <v>920</v>
      </c>
      <c r="B861" s="1" t="s">
        <v>2597</v>
      </c>
      <c r="C861" s="1" t="s">
        <v>397</v>
      </c>
      <c r="D861" s="1">
        <f>COUNTIFS('Raw Entries'!B:B,Table4[[#This Row],[Name]],'Raw Entries'!I:I,Table4[[#This Row],[BOOK No.]])</f>
        <v>0</v>
      </c>
      <c r="E861" s="1">
        <f t="array" ref="E861">IF(OR(Table4[[#This Row],[INSTALLMENT]]=1,Table4[[#This Row],[INSTALLMENT]]=2,Table4[[#This Row],[INSTALLMENT]]=3),1,0)</f>
        <v>0</v>
      </c>
      <c r="F861" s="1">
        <f>IF(OR(Table4[[#This Row],[INSTALLMENT]]=2,Table4[[#This Row],[INSTALLMENT]]=3),2,0)</f>
        <v>0</v>
      </c>
      <c r="G861" s="1">
        <f>IF(OR(Table4[[#This Row],[INSTALLMENT]]=3),3,0)</f>
        <v>0</v>
      </c>
    </row>
    <row r="862" spans="1:7">
      <c r="A862" s="1">
        <v>921</v>
      </c>
      <c r="B862" s="1" t="s">
        <v>2598</v>
      </c>
      <c r="C862" s="1" t="s">
        <v>397</v>
      </c>
      <c r="D862" s="1">
        <f>COUNTIFS('Raw Entries'!B:B,Table4[[#This Row],[Name]],'Raw Entries'!I:I,Table4[[#This Row],[BOOK No.]])</f>
        <v>0</v>
      </c>
      <c r="E862" s="1">
        <f t="array" ref="E862">IF(OR(Table4[[#This Row],[INSTALLMENT]]=1,Table4[[#This Row],[INSTALLMENT]]=2,Table4[[#This Row],[INSTALLMENT]]=3),1,0)</f>
        <v>0</v>
      </c>
      <c r="F862" s="1">
        <f>IF(OR(Table4[[#This Row],[INSTALLMENT]]=2,Table4[[#This Row],[INSTALLMENT]]=3),2,0)</f>
        <v>0</v>
      </c>
      <c r="G862" s="1">
        <f>IF(OR(Table4[[#This Row],[INSTALLMENT]]=3),3,0)</f>
        <v>0</v>
      </c>
    </row>
    <row r="863" spans="1:7">
      <c r="A863" s="1">
        <v>922</v>
      </c>
      <c r="B863" s="1" t="s">
        <v>631</v>
      </c>
      <c r="C863" s="1" t="s">
        <v>397</v>
      </c>
      <c r="D863" s="1">
        <f>COUNTIFS('Raw Entries'!B:B,Table4[[#This Row],[Name]],'Raw Entries'!I:I,Table4[[#This Row],[BOOK No.]])</f>
        <v>1</v>
      </c>
      <c r="E863" s="1">
        <f t="array" ref="E863">IF(OR(Table4[[#This Row],[INSTALLMENT]]=1,Table4[[#This Row],[INSTALLMENT]]=2,Table4[[#This Row],[INSTALLMENT]]=3),1,0)</f>
        <v>1</v>
      </c>
      <c r="F863" s="1">
        <f>IF(OR(Table4[[#This Row],[INSTALLMENT]]=2,Table4[[#This Row],[INSTALLMENT]]=3),2,0)</f>
        <v>0</v>
      </c>
      <c r="G863" s="1">
        <f>IF(OR(Table4[[#This Row],[INSTALLMENT]]=3),3,0)</f>
        <v>0</v>
      </c>
    </row>
    <row r="864" spans="1:7">
      <c r="A864" s="1">
        <v>923</v>
      </c>
      <c r="B864" s="1" t="s">
        <v>399</v>
      </c>
      <c r="C864" s="1" t="s">
        <v>397</v>
      </c>
      <c r="D864" s="1">
        <f>COUNTIFS('Raw Entries'!B:B,Table4[[#This Row],[Name]],'Raw Entries'!I:I,Table4[[#This Row],[BOOK No.]])</f>
        <v>3</v>
      </c>
      <c r="E864" s="1">
        <f t="array" ref="E864">IF(OR(Table4[[#This Row],[INSTALLMENT]]=1,Table4[[#This Row],[INSTALLMENT]]=2,Table4[[#This Row],[INSTALLMENT]]=3),1,0)</f>
        <v>1</v>
      </c>
      <c r="F864" s="1">
        <f>IF(OR(Table4[[#This Row],[INSTALLMENT]]=2,Table4[[#This Row],[INSTALLMENT]]=3),2,0)</f>
        <v>2</v>
      </c>
      <c r="G864" s="1">
        <f>IF(OR(Table4[[#This Row],[INSTALLMENT]]=3),3,0)</f>
        <v>3</v>
      </c>
    </row>
    <row r="865" spans="1:7">
      <c r="A865" s="1">
        <v>924</v>
      </c>
      <c r="B865" s="1" t="s">
        <v>627</v>
      </c>
      <c r="C865" s="1" t="s">
        <v>397</v>
      </c>
      <c r="D865" s="1">
        <f>COUNTIFS('Raw Entries'!B:B,Table4[[#This Row],[Name]],'Raw Entries'!I:I,Table4[[#This Row],[BOOK No.]])</f>
        <v>1</v>
      </c>
      <c r="E865" s="1">
        <f t="array" ref="E865">IF(OR(Table4[[#This Row],[INSTALLMENT]]=1,Table4[[#This Row],[INSTALLMENT]]=2,Table4[[#This Row],[INSTALLMENT]]=3),1,0)</f>
        <v>1</v>
      </c>
      <c r="F865" s="1">
        <f>IF(OR(Table4[[#This Row],[INSTALLMENT]]=2,Table4[[#This Row],[INSTALLMENT]]=3),2,0)</f>
        <v>0</v>
      </c>
      <c r="G865" s="1">
        <f>IF(OR(Table4[[#This Row],[INSTALLMENT]]=3),3,0)</f>
        <v>0</v>
      </c>
    </row>
    <row r="866" spans="1:7">
      <c r="A866" s="1">
        <v>925</v>
      </c>
      <c r="B866" s="1" t="s">
        <v>2599</v>
      </c>
      <c r="C866" s="1" t="s">
        <v>397</v>
      </c>
      <c r="D866" s="1">
        <f>COUNTIFS('Raw Entries'!B:B,Table4[[#This Row],[Name]],'Raw Entries'!I:I,Table4[[#This Row],[BOOK No.]])</f>
        <v>0</v>
      </c>
      <c r="E866" s="1">
        <f t="array" ref="E866">IF(OR(Table4[[#This Row],[INSTALLMENT]]=1,Table4[[#This Row],[INSTALLMENT]]=2,Table4[[#This Row],[INSTALLMENT]]=3),1,0)</f>
        <v>0</v>
      </c>
      <c r="F866" s="1">
        <f>IF(OR(Table4[[#This Row],[INSTALLMENT]]=2,Table4[[#This Row],[INSTALLMENT]]=3),2,0)</f>
        <v>0</v>
      </c>
      <c r="G866" s="1">
        <f>IF(OR(Table4[[#This Row],[INSTALLMENT]]=3),3,0)</f>
        <v>0</v>
      </c>
    </row>
    <row r="867" spans="1:7">
      <c r="A867" s="1">
        <v>926</v>
      </c>
      <c r="B867" s="1" t="s">
        <v>2600</v>
      </c>
      <c r="C867" s="1" t="s">
        <v>397</v>
      </c>
      <c r="D867" s="1">
        <f>COUNTIFS('Raw Entries'!B:B,Table4[[#This Row],[Name]],'Raw Entries'!I:I,Table4[[#This Row],[BOOK No.]])</f>
        <v>0</v>
      </c>
      <c r="E867" s="1">
        <f t="array" ref="E867">IF(OR(Table4[[#This Row],[INSTALLMENT]]=1,Table4[[#This Row],[INSTALLMENT]]=2,Table4[[#This Row],[INSTALLMENT]]=3),1,0)</f>
        <v>0</v>
      </c>
      <c r="F867" s="1">
        <f>IF(OR(Table4[[#This Row],[INSTALLMENT]]=2,Table4[[#This Row],[INSTALLMENT]]=3),2,0)</f>
        <v>0</v>
      </c>
      <c r="G867" s="1">
        <f>IF(OR(Table4[[#This Row],[INSTALLMENT]]=3),3,0)</f>
        <v>0</v>
      </c>
    </row>
    <row r="868" spans="1:7">
      <c r="A868" s="1">
        <v>927</v>
      </c>
      <c r="B868" s="1" t="s">
        <v>2601</v>
      </c>
      <c r="C868" s="1" t="s">
        <v>397</v>
      </c>
      <c r="D868" s="1">
        <f>COUNTIFS('Raw Entries'!B:B,Table4[[#This Row],[Name]],'Raw Entries'!I:I,Table4[[#This Row],[BOOK No.]])</f>
        <v>0</v>
      </c>
      <c r="E868" s="1">
        <f t="array" ref="E868">IF(OR(Table4[[#This Row],[INSTALLMENT]]=1,Table4[[#This Row],[INSTALLMENT]]=2,Table4[[#This Row],[INSTALLMENT]]=3),1,0)</f>
        <v>0</v>
      </c>
      <c r="F868" s="1">
        <f>IF(OR(Table4[[#This Row],[INSTALLMENT]]=2,Table4[[#This Row],[INSTALLMENT]]=3),2,0)</f>
        <v>0</v>
      </c>
      <c r="G868" s="1">
        <f>IF(OR(Table4[[#This Row],[INSTALLMENT]]=3),3,0)</f>
        <v>0</v>
      </c>
    </row>
    <row r="869" spans="1:7">
      <c r="A869" s="1">
        <v>928</v>
      </c>
      <c r="B869" s="1" t="s">
        <v>2602</v>
      </c>
      <c r="C869" s="1" t="s">
        <v>397</v>
      </c>
      <c r="D869" s="1">
        <f>COUNTIFS('Raw Entries'!B:B,Table4[[#This Row],[Name]],'Raw Entries'!I:I,Table4[[#This Row],[BOOK No.]])</f>
        <v>0</v>
      </c>
      <c r="E869" s="1">
        <f t="array" ref="E869">IF(OR(Table4[[#This Row],[INSTALLMENT]]=1,Table4[[#This Row],[INSTALLMENT]]=2,Table4[[#This Row],[INSTALLMENT]]=3),1,0)</f>
        <v>0</v>
      </c>
      <c r="F869" s="1">
        <f>IF(OR(Table4[[#This Row],[INSTALLMENT]]=2,Table4[[#This Row],[INSTALLMENT]]=3),2,0)</f>
        <v>0</v>
      </c>
      <c r="G869" s="1">
        <f>IF(OR(Table4[[#This Row],[INSTALLMENT]]=3),3,0)</f>
        <v>0</v>
      </c>
    </row>
    <row r="870" spans="1:7">
      <c r="A870" s="1">
        <v>929</v>
      </c>
      <c r="B870" s="1" t="s">
        <v>2603</v>
      </c>
      <c r="C870" s="1" t="s">
        <v>397</v>
      </c>
      <c r="D870" s="1">
        <f>COUNTIFS('Raw Entries'!B:B,Table4[[#This Row],[Name]],'Raw Entries'!I:I,Table4[[#This Row],[BOOK No.]])</f>
        <v>0</v>
      </c>
      <c r="E870" s="1">
        <f t="array" ref="E870">IF(OR(Table4[[#This Row],[INSTALLMENT]]=1,Table4[[#This Row],[INSTALLMENT]]=2,Table4[[#This Row],[INSTALLMENT]]=3),1,0)</f>
        <v>0</v>
      </c>
      <c r="F870" s="1">
        <f>IF(OR(Table4[[#This Row],[INSTALLMENT]]=2,Table4[[#This Row],[INSTALLMENT]]=3),2,0)</f>
        <v>0</v>
      </c>
      <c r="G870" s="1">
        <f>IF(OR(Table4[[#This Row],[INSTALLMENT]]=3),3,0)</f>
        <v>0</v>
      </c>
    </row>
    <row r="871" spans="1:7">
      <c r="A871" s="1">
        <v>930</v>
      </c>
      <c r="B871" s="1" t="s">
        <v>401</v>
      </c>
      <c r="C871" s="1" t="s">
        <v>397</v>
      </c>
      <c r="D871" s="1">
        <f>COUNTIFS('Raw Entries'!B:B,Table4[[#This Row],[Name]],'Raw Entries'!I:I,Table4[[#This Row],[BOOK No.]])</f>
        <v>3</v>
      </c>
      <c r="E871" s="1">
        <f t="array" ref="E871">IF(OR(Table4[[#This Row],[INSTALLMENT]]=1,Table4[[#This Row],[INSTALLMENT]]=2,Table4[[#This Row],[INSTALLMENT]]=3),1,0)</f>
        <v>1</v>
      </c>
      <c r="F871" s="1">
        <f>IF(OR(Table4[[#This Row],[INSTALLMENT]]=2,Table4[[#This Row],[INSTALLMENT]]=3),2,0)</f>
        <v>2</v>
      </c>
      <c r="G871" s="1">
        <f>IF(OR(Table4[[#This Row],[INSTALLMENT]]=3),3,0)</f>
        <v>3</v>
      </c>
    </row>
    <row r="872" spans="1:7">
      <c r="A872" s="1">
        <v>931</v>
      </c>
      <c r="B872" s="1" t="s">
        <v>405</v>
      </c>
      <c r="C872" s="1" t="s">
        <v>397</v>
      </c>
      <c r="D872" s="1">
        <f>COUNTIFS('Raw Entries'!B:B,Table4[[#This Row],[Name]],'Raw Entries'!I:I,Table4[[#This Row],[BOOK No.]])</f>
        <v>3</v>
      </c>
      <c r="E872" s="1">
        <f t="array" ref="E872">IF(OR(Table4[[#This Row],[INSTALLMENT]]=1,Table4[[#This Row],[INSTALLMENT]]=2,Table4[[#This Row],[INSTALLMENT]]=3),1,0)</f>
        <v>1</v>
      </c>
      <c r="F872" s="1">
        <f>IF(OR(Table4[[#This Row],[INSTALLMENT]]=2,Table4[[#This Row],[INSTALLMENT]]=3),2,0)</f>
        <v>2</v>
      </c>
      <c r="G872" s="1">
        <f>IF(OR(Table4[[#This Row],[INSTALLMENT]]=3),3,0)</f>
        <v>3</v>
      </c>
    </row>
    <row r="873" spans="1:7">
      <c r="A873" s="1">
        <v>932</v>
      </c>
      <c r="B873" s="1" t="s">
        <v>602</v>
      </c>
      <c r="C873" s="1" t="s">
        <v>397</v>
      </c>
      <c r="D873" s="1">
        <f>COUNTIFS('Raw Entries'!B:B,Table4[[#This Row],[Name]],'Raw Entries'!I:I,Table4[[#This Row],[BOOK No.]])</f>
        <v>3</v>
      </c>
      <c r="E873" s="1">
        <f t="array" ref="E873">IF(OR(Table4[[#This Row],[INSTALLMENT]]=1,Table4[[#This Row],[INSTALLMENT]]=2,Table4[[#This Row],[INSTALLMENT]]=3),1,0)</f>
        <v>1</v>
      </c>
      <c r="F873" s="1">
        <f>IF(OR(Table4[[#This Row],[INSTALLMENT]]=2,Table4[[#This Row],[INSTALLMENT]]=3),2,0)</f>
        <v>2</v>
      </c>
      <c r="G873" s="1">
        <f>IF(OR(Table4[[#This Row],[INSTALLMENT]]=3),3,0)</f>
        <v>3</v>
      </c>
    </row>
    <row r="874" spans="1:7">
      <c r="A874" s="1">
        <v>933</v>
      </c>
      <c r="B874" s="1" t="s">
        <v>2604</v>
      </c>
      <c r="C874" s="1" t="s">
        <v>397</v>
      </c>
      <c r="D874" s="1">
        <f>COUNTIFS('Raw Entries'!B:B,Table4[[#This Row],[Name]],'Raw Entries'!I:I,Table4[[#This Row],[BOOK No.]])</f>
        <v>0</v>
      </c>
      <c r="E874" s="1">
        <f t="array" ref="E874">IF(OR(Table4[[#This Row],[INSTALLMENT]]=1,Table4[[#This Row],[INSTALLMENT]]=2,Table4[[#This Row],[INSTALLMENT]]=3),1,0)</f>
        <v>0</v>
      </c>
      <c r="F874" s="1">
        <f>IF(OR(Table4[[#This Row],[INSTALLMENT]]=2,Table4[[#This Row],[INSTALLMENT]]=3),2,0)</f>
        <v>0</v>
      </c>
      <c r="G874" s="1">
        <f>IF(OR(Table4[[#This Row],[INSTALLMENT]]=3),3,0)</f>
        <v>0</v>
      </c>
    </row>
    <row r="875" spans="1:7">
      <c r="A875" s="1">
        <v>934</v>
      </c>
      <c r="B875" s="1" t="s">
        <v>2605</v>
      </c>
      <c r="C875" s="1" t="s">
        <v>397</v>
      </c>
      <c r="D875" s="1">
        <f>COUNTIFS('Raw Entries'!B:B,Table4[[#This Row],[Name]],'Raw Entries'!I:I,Table4[[#This Row],[BOOK No.]])</f>
        <v>0</v>
      </c>
      <c r="E875" s="1">
        <f t="array" ref="E875">IF(OR(Table4[[#This Row],[INSTALLMENT]]=1,Table4[[#This Row],[INSTALLMENT]]=2,Table4[[#This Row],[INSTALLMENT]]=3),1,0)</f>
        <v>0</v>
      </c>
      <c r="F875" s="1">
        <f>IF(OR(Table4[[#This Row],[INSTALLMENT]]=2,Table4[[#This Row],[INSTALLMENT]]=3),2,0)</f>
        <v>0</v>
      </c>
      <c r="G875" s="1">
        <f>IF(OR(Table4[[#This Row],[INSTALLMENT]]=3),3,0)</f>
        <v>0</v>
      </c>
    </row>
    <row r="876" spans="1:7">
      <c r="A876" s="1">
        <v>935</v>
      </c>
      <c r="B876" s="1" t="s">
        <v>2606</v>
      </c>
      <c r="C876" s="1" t="s">
        <v>397</v>
      </c>
      <c r="D876" s="1">
        <f>COUNTIFS('Raw Entries'!B:B,Table4[[#This Row],[Name]],'Raw Entries'!I:I,Table4[[#This Row],[BOOK No.]])</f>
        <v>0</v>
      </c>
      <c r="E876" s="1">
        <f t="array" ref="E876">IF(OR(Table4[[#This Row],[INSTALLMENT]]=1,Table4[[#This Row],[INSTALLMENT]]=2,Table4[[#This Row],[INSTALLMENT]]=3),1,0)</f>
        <v>0</v>
      </c>
      <c r="F876" s="1">
        <f>IF(OR(Table4[[#This Row],[INSTALLMENT]]=2,Table4[[#This Row],[INSTALLMENT]]=3),2,0)</f>
        <v>0</v>
      </c>
      <c r="G876" s="1">
        <f>IF(OR(Table4[[#This Row],[INSTALLMENT]]=3),3,0)</f>
        <v>0</v>
      </c>
    </row>
    <row r="877" spans="1:7">
      <c r="A877" s="1">
        <v>936</v>
      </c>
      <c r="B877" s="1" t="s">
        <v>2607</v>
      </c>
      <c r="C877" s="1" t="s">
        <v>397</v>
      </c>
      <c r="D877" s="1">
        <f>COUNTIFS('Raw Entries'!B:B,Table4[[#This Row],[Name]],'Raw Entries'!I:I,Table4[[#This Row],[BOOK No.]])</f>
        <v>3</v>
      </c>
      <c r="E877" s="1">
        <f t="array" ref="E877">IF(OR(Table4[[#This Row],[INSTALLMENT]]=1,Table4[[#This Row],[INSTALLMENT]]=2,Table4[[#This Row],[INSTALLMENT]]=3),1,0)</f>
        <v>1</v>
      </c>
      <c r="F877" s="1">
        <f>IF(OR(Table4[[#This Row],[INSTALLMENT]]=2,Table4[[#This Row],[INSTALLMENT]]=3),2,0)</f>
        <v>2</v>
      </c>
      <c r="G877" s="1">
        <f>IF(OR(Table4[[#This Row],[INSTALLMENT]]=3),3,0)</f>
        <v>3</v>
      </c>
    </row>
    <row r="878" spans="1:7">
      <c r="A878" s="1">
        <v>937</v>
      </c>
      <c r="B878" s="1" t="s">
        <v>406</v>
      </c>
      <c r="C878" s="1" t="s">
        <v>397</v>
      </c>
      <c r="D878" s="1">
        <f>COUNTIFS('Raw Entries'!B:B,Table4[[#This Row],[Name]],'Raw Entries'!I:I,Table4[[#This Row],[BOOK No.]])</f>
        <v>1</v>
      </c>
      <c r="E878" s="1">
        <f t="array" ref="E878">IF(OR(Table4[[#This Row],[INSTALLMENT]]=1,Table4[[#This Row],[INSTALLMENT]]=2,Table4[[#This Row],[INSTALLMENT]]=3),1,0)</f>
        <v>1</v>
      </c>
      <c r="F878" s="1">
        <f>IF(OR(Table4[[#This Row],[INSTALLMENT]]=2,Table4[[#This Row],[INSTALLMENT]]=3),2,0)</f>
        <v>0</v>
      </c>
      <c r="G878" s="1">
        <f>IF(OR(Table4[[#This Row],[INSTALLMENT]]=3),3,0)</f>
        <v>0</v>
      </c>
    </row>
    <row r="879" spans="1:7">
      <c r="A879" s="1">
        <v>938</v>
      </c>
      <c r="B879" s="1" t="s">
        <v>398</v>
      </c>
      <c r="C879" s="1" t="s">
        <v>397</v>
      </c>
      <c r="D879" s="1">
        <f>COUNTIFS('Raw Entries'!B:B,Table4[[#This Row],[Name]],'Raw Entries'!I:I,Table4[[#This Row],[BOOK No.]])</f>
        <v>3</v>
      </c>
      <c r="E879" s="1">
        <f t="array" ref="E879">IF(OR(Table4[[#This Row],[INSTALLMENT]]=1,Table4[[#This Row],[INSTALLMENT]]=2,Table4[[#This Row],[INSTALLMENT]]=3),1,0)</f>
        <v>1</v>
      </c>
      <c r="F879" s="1">
        <f>IF(OR(Table4[[#This Row],[INSTALLMENT]]=2,Table4[[#This Row],[INSTALLMENT]]=3),2,0)</f>
        <v>2</v>
      </c>
      <c r="G879" s="1">
        <f>IF(OR(Table4[[#This Row],[INSTALLMENT]]=3),3,0)</f>
        <v>3</v>
      </c>
    </row>
    <row r="880" spans="1:7">
      <c r="A880" s="1">
        <v>939</v>
      </c>
      <c r="B880" s="1" t="s">
        <v>2608</v>
      </c>
      <c r="C880" s="1" t="s">
        <v>397</v>
      </c>
      <c r="D880" s="1">
        <f>COUNTIFS('Raw Entries'!B:B,Table4[[#This Row],[Name]],'Raw Entries'!I:I,Table4[[#This Row],[BOOK No.]])</f>
        <v>0</v>
      </c>
      <c r="E880" s="1">
        <f t="array" ref="E880">IF(OR(Table4[[#This Row],[INSTALLMENT]]=1,Table4[[#This Row],[INSTALLMENT]]=2,Table4[[#This Row],[INSTALLMENT]]=3),1,0)</f>
        <v>0</v>
      </c>
      <c r="F880" s="1">
        <f>IF(OR(Table4[[#This Row],[INSTALLMENT]]=2,Table4[[#This Row],[INSTALLMENT]]=3),2,0)</f>
        <v>0</v>
      </c>
      <c r="G880" s="1">
        <f>IF(OR(Table4[[#This Row],[INSTALLMENT]]=3),3,0)</f>
        <v>0</v>
      </c>
    </row>
    <row r="881" spans="1:7">
      <c r="A881" s="1">
        <v>940</v>
      </c>
      <c r="B881" s="1" t="s">
        <v>403</v>
      </c>
      <c r="C881" s="1" t="s">
        <v>397</v>
      </c>
      <c r="D881" s="1">
        <f>COUNTIFS('Raw Entries'!B:B,Table4[[#This Row],[Name]],'Raw Entries'!I:I,Table4[[#This Row],[BOOK No.]])</f>
        <v>2</v>
      </c>
      <c r="E881" s="1">
        <f t="array" ref="E881">IF(OR(Table4[[#This Row],[INSTALLMENT]]=1,Table4[[#This Row],[INSTALLMENT]]=2,Table4[[#This Row],[INSTALLMENT]]=3),1,0)</f>
        <v>1</v>
      </c>
      <c r="F881" s="1">
        <f>IF(OR(Table4[[#This Row],[INSTALLMENT]]=2,Table4[[#This Row],[INSTALLMENT]]=3),2,0)</f>
        <v>2</v>
      </c>
      <c r="G881" s="1">
        <f>IF(OR(Table4[[#This Row],[INSTALLMENT]]=3),3,0)</f>
        <v>0</v>
      </c>
    </row>
    <row r="882" spans="1:7">
      <c r="A882" s="1">
        <v>941</v>
      </c>
      <c r="B882" s="1" t="s">
        <v>635</v>
      </c>
      <c r="C882" s="1" t="s">
        <v>397</v>
      </c>
      <c r="D882" s="1">
        <f>COUNTIFS('Raw Entries'!B:B,Table4[[#This Row],[Name]],'Raw Entries'!I:I,Table4[[#This Row],[BOOK No.]])</f>
        <v>3</v>
      </c>
      <c r="E882" s="1">
        <f t="array" ref="E882">IF(OR(Table4[[#This Row],[INSTALLMENT]]=1,Table4[[#This Row],[INSTALLMENT]]=2,Table4[[#This Row],[INSTALLMENT]]=3),1,0)</f>
        <v>1</v>
      </c>
      <c r="F882" s="1">
        <f>IF(OR(Table4[[#This Row],[INSTALLMENT]]=2,Table4[[#This Row],[INSTALLMENT]]=3),2,0)</f>
        <v>2</v>
      </c>
      <c r="G882" s="1">
        <f>IF(OR(Table4[[#This Row],[INSTALLMENT]]=3),3,0)</f>
        <v>3</v>
      </c>
    </row>
    <row r="883" spans="1:7">
      <c r="A883" s="1">
        <v>942</v>
      </c>
      <c r="B883" s="1" t="s">
        <v>407</v>
      </c>
      <c r="C883" s="1" t="s">
        <v>397</v>
      </c>
      <c r="D883" s="1">
        <f>COUNTIFS('Raw Entries'!B:B,Table4[[#This Row],[Name]],'Raw Entries'!I:I,Table4[[#This Row],[BOOK No.]])</f>
        <v>2</v>
      </c>
      <c r="E883" s="1">
        <f t="array" ref="E883">IF(OR(Table4[[#This Row],[INSTALLMENT]]=1,Table4[[#This Row],[INSTALLMENT]]=2,Table4[[#This Row],[INSTALLMENT]]=3),1,0)</f>
        <v>1</v>
      </c>
      <c r="F883" s="1">
        <f>IF(OR(Table4[[#This Row],[INSTALLMENT]]=2,Table4[[#This Row],[INSTALLMENT]]=3),2,0)</f>
        <v>2</v>
      </c>
      <c r="G883" s="1">
        <f>IF(OR(Table4[[#This Row],[INSTALLMENT]]=3),3,0)</f>
        <v>0</v>
      </c>
    </row>
    <row r="884" spans="1:7">
      <c r="A884" s="1">
        <v>943</v>
      </c>
      <c r="B884" s="1" t="s">
        <v>644</v>
      </c>
      <c r="C884" s="1" t="s">
        <v>397</v>
      </c>
      <c r="D884" s="1">
        <f>COUNTIFS('Raw Entries'!B:B,Table4[[#This Row],[Name]],'Raw Entries'!I:I,Table4[[#This Row],[BOOK No.]])</f>
        <v>1</v>
      </c>
      <c r="E884" s="1">
        <f t="array" ref="E884">IF(OR(Table4[[#This Row],[INSTALLMENT]]=1,Table4[[#This Row],[INSTALLMENT]]=2,Table4[[#This Row],[INSTALLMENT]]=3),1,0)</f>
        <v>1</v>
      </c>
      <c r="F884" s="1">
        <f>IF(OR(Table4[[#This Row],[INSTALLMENT]]=2,Table4[[#This Row],[INSTALLMENT]]=3),2,0)</f>
        <v>0</v>
      </c>
      <c r="G884" s="1">
        <f>IF(OR(Table4[[#This Row],[INSTALLMENT]]=3),3,0)</f>
        <v>0</v>
      </c>
    </row>
    <row r="885" spans="1:7">
      <c r="A885" s="1">
        <v>944</v>
      </c>
      <c r="B885" s="1" t="s">
        <v>2609</v>
      </c>
      <c r="C885" s="1" t="s">
        <v>397</v>
      </c>
      <c r="D885" s="1">
        <f>COUNTIFS('Raw Entries'!B:B,Table4[[#This Row],[Name]],'Raw Entries'!I:I,Table4[[#This Row],[BOOK No.]])</f>
        <v>0</v>
      </c>
      <c r="E885" s="1">
        <f t="array" ref="E885">IF(OR(Table4[[#This Row],[INSTALLMENT]]=1,Table4[[#This Row],[INSTALLMENT]]=2,Table4[[#This Row],[INSTALLMENT]]=3),1,0)</f>
        <v>0</v>
      </c>
      <c r="F885" s="1">
        <f>IF(OR(Table4[[#This Row],[INSTALLMENT]]=2,Table4[[#This Row],[INSTALLMENT]]=3),2,0)</f>
        <v>0</v>
      </c>
      <c r="G885" s="1">
        <f>IF(OR(Table4[[#This Row],[INSTALLMENT]]=3),3,0)</f>
        <v>0</v>
      </c>
    </row>
    <row r="886" spans="1:7">
      <c r="A886" s="1">
        <v>945</v>
      </c>
      <c r="B886" s="1" t="s">
        <v>2610</v>
      </c>
      <c r="C886" s="1" t="s">
        <v>397</v>
      </c>
      <c r="D886" s="1">
        <f>COUNTIFS('Raw Entries'!B:B,Table4[[#This Row],[Name]],'Raw Entries'!I:I,Table4[[#This Row],[BOOK No.]])</f>
        <v>0</v>
      </c>
      <c r="E886" s="1">
        <f t="array" ref="E886">IF(OR(Table4[[#This Row],[INSTALLMENT]]=1,Table4[[#This Row],[INSTALLMENT]]=2,Table4[[#This Row],[INSTALLMENT]]=3),1,0)</f>
        <v>0</v>
      </c>
      <c r="F886" s="1">
        <f>IF(OR(Table4[[#This Row],[INSTALLMENT]]=2,Table4[[#This Row],[INSTALLMENT]]=3),2,0)</f>
        <v>0</v>
      </c>
      <c r="G886" s="1">
        <f>IF(OR(Table4[[#This Row],[INSTALLMENT]]=3),3,0)</f>
        <v>0</v>
      </c>
    </row>
    <row r="887" spans="1:7">
      <c r="A887" s="1">
        <v>946</v>
      </c>
      <c r="B887" s="1" t="s">
        <v>2611</v>
      </c>
      <c r="C887" s="1" t="s">
        <v>409</v>
      </c>
      <c r="D887" s="1">
        <f>COUNTIFS('Raw Entries'!B:B,Table4[[#This Row],[Name]],'Raw Entries'!I:I,Table4[[#This Row],[BOOK No.]])</f>
        <v>0</v>
      </c>
      <c r="E887" s="1">
        <f t="array" ref="E887">IF(OR(Table4[[#This Row],[INSTALLMENT]]=1,Table4[[#This Row],[INSTALLMENT]]=2,Table4[[#This Row],[INSTALLMENT]]=3),1,0)</f>
        <v>0</v>
      </c>
      <c r="F887" s="1">
        <f>IF(OR(Table4[[#This Row],[INSTALLMENT]]=2,Table4[[#This Row],[INSTALLMENT]]=3),2,0)</f>
        <v>0</v>
      </c>
      <c r="G887" s="1">
        <f>IF(OR(Table4[[#This Row],[INSTALLMENT]]=3),3,0)</f>
        <v>0</v>
      </c>
    </row>
    <row r="888" spans="1:7">
      <c r="A888" s="1">
        <v>947</v>
      </c>
      <c r="B888" s="1" t="s">
        <v>410</v>
      </c>
      <c r="C888" s="1" t="s">
        <v>409</v>
      </c>
      <c r="D888" s="1">
        <f>COUNTIFS('Raw Entries'!B:B,Table4[[#This Row],[Name]],'Raw Entries'!I:I,Table4[[#This Row],[BOOK No.]])</f>
        <v>1</v>
      </c>
      <c r="E888" s="1">
        <f t="array" ref="E888">IF(OR(Table4[[#This Row],[INSTALLMENT]]=1,Table4[[#This Row],[INSTALLMENT]]=2,Table4[[#This Row],[INSTALLMENT]]=3),1,0)</f>
        <v>1</v>
      </c>
      <c r="F888" s="1">
        <f>IF(OR(Table4[[#This Row],[INSTALLMENT]]=2,Table4[[#This Row],[INSTALLMENT]]=3),2,0)</f>
        <v>0</v>
      </c>
      <c r="G888" s="1">
        <f>IF(OR(Table4[[#This Row],[INSTALLMENT]]=3),3,0)</f>
        <v>0</v>
      </c>
    </row>
    <row r="889" spans="1:7">
      <c r="A889" s="1">
        <v>948</v>
      </c>
      <c r="B889" s="1" t="s">
        <v>2612</v>
      </c>
      <c r="C889" s="1" t="s">
        <v>409</v>
      </c>
      <c r="D889" s="1">
        <f>COUNTIFS('Raw Entries'!B:B,Table4[[#This Row],[Name]],'Raw Entries'!I:I,Table4[[#This Row],[BOOK No.]])</f>
        <v>0</v>
      </c>
      <c r="E889" s="1">
        <f t="array" ref="E889">IF(OR(Table4[[#This Row],[INSTALLMENT]]=1,Table4[[#This Row],[INSTALLMENT]]=2,Table4[[#This Row],[INSTALLMENT]]=3),1,0)</f>
        <v>0</v>
      </c>
      <c r="F889" s="1">
        <f>IF(OR(Table4[[#This Row],[INSTALLMENT]]=2,Table4[[#This Row],[INSTALLMENT]]=3),2,0)</f>
        <v>0</v>
      </c>
      <c r="G889" s="1">
        <f>IF(OR(Table4[[#This Row],[INSTALLMENT]]=3),3,0)</f>
        <v>0</v>
      </c>
    </row>
    <row r="890" spans="1:7">
      <c r="A890" s="1">
        <v>949</v>
      </c>
      <c r="B890" s="1" t="s">
        <v>2613</v>
      </c>
      <c r="C890" s="1" t="s">
        <v>409</v>
      </c>
      <c r="D890" s="1">
        <f>COUNTIFS('Raw Entries'!B:B,Table4[[#This Row],[Name]],'Raw Entries'!I:I,Table4[[#This Row],[BOOK No.]])</f>
        <v>0</v>
      </c>
      <c r="E890" s="1">
        <f t="array" ref="E890">IF(OR(Table4[[#This Row],[INSTALLMENT]]=1,Table4[[#This Row],[INSTALLMENT]]=2,Table4[[#This Row],[INSTALLMENT]]=3),1,0)</f>
        <v>0</v>
      </c>
      <c r="F890" s="1">
        <f>IF(OR(Table4[[#This Row],[INSTALLMENT]]=2,Table4[[#This Row],[INSTALLMENT]]=3),2,0)</f>
        <v>0</v>
      </c>
      <c r="G890" s="1">
        <f>IF(OR(Table4[[#This Row],[INSTALLMENT]]=3),3,0)</f>
        <v>0</v>
      </c>
    </row>
    <row r="891" spans="1:7">
      <c r="A891" s="1">
        <v>950</v>
      </c>
      <c r="B891" s="1" t="s">
        <v>413</v>
      </c>
      <c r="C891" s="1" t="s">
        <v>409</v>
      </c>
      <c r="D891" s="1">
        <f>COUNTIFS('Raw Entries'!B:B,Table4[[#This Row],[Name]],'Raw Entries'!I:I,Table4[[#This Row],[BOOK No.]])</f>
        <v>1</v>
      </c>
      <c r="E891" s="1">
        <f t="array" ref="E891">IF(OR(Table4[[#This Row],[INSTALLMENT]]=1,Table4[[#This Row],[INSTALLMENT]]=2,Table4[[#This Row],[INSTALLMENT]]=3),1,0)</f>
        <v>1</v>
      </c>
      <c r="F891" s="1">
        <f>IF(OR(Table4[[#This Row],[INSTALLMENT]]=2,Table4[[#This Row],[INSTALLMENT]]=3),2,0)</f>
        <v>0</v>
      </c>
      <c r="G891" s="1">
        <f>IF(OR(Table4[[#This Row],[INSTALLMENT]]=3),3,0)</f>
        <v>0</v>
      </c>
    </row>
    <row r="892" spans="1:7">
      <c r="A892" s="1">
        <v>951</v>
      </c>
      <c r="B892" s="1" t="s">
        <v>2614</v>
      </c>
      <c r="C892" s="1" t="s">
        <v>409</v>
      </c>
      <c r="D892" s="1">
        <f>COUNTIFS('Raw Entries'!B:B,Table4[[#This Row],[Name]],'Raw Entries'!I:I,Table4[[#This Row],[BOOK No.]])</f>
        <v>0</v>
      </c>
      <c r="E892" s="1">
        <f t="array" ref="E892">IF(OR(Table4[[#This Row],[INSTALLMENT]]=1,Table4[[#This Row],[INSTALLMENT]]=2,Table4[[#This Row],[INSTALLMENT]]=3),1,0)</f>
        <v>0</v>
      </c>
      <c r="F892" s="1">
        <f>IF(OR(Table4[[#This Row],[INSTALLMENT]]=2,Table4[[#This Row],[INSTALLMENT]]=3),2,0)</f>
        <v>0</v>
      </c>
      <c r="G892" s="1">
        <f>IF(OR(Table4[[#This Row],[INSTALLMENT]]=3),3,0)</f>
        <v>0</v>
      </c>
    </row>
    <row r="893" spans="1:7">
      <c r="A893" s="1">
        <v>952</v>
      </c>
      <c r="B893" s="1" t="s">
        <v>2615</v>
      </c>
      <c r="C893" s="1" t="s">
        <v>409</v>
      </c>
      <c r="D893" s="1">
        <f>COUNTIFS('Raw Entries'!B:B,Table4[[#This Row],[Name]],'Raw Entries'!I:I,Table4[[#This Row],[BOOK No.]])</f>
        <v>0</v>
      </c>
      <c r="E893" s="1">
        <f t="array" ref="E893">IF(OR(Table4[[#This Row],[INSTALLMENT]]=1,Table4[[#This Row],[INSTALLMENT]]=2,Table4[[#This Row],[INSTALLMENT]]=3),1,0)</f>
        <v>0</v>
      </c>
      <c r="F893" s="1">
        <f>IF(OR(Table4[[#This Row],[INSTALLMENT]]=2,Table4[[#This Row],[INSTALLMENT]]=3),2,0)</f>
        <v>0</v>
      </c>
      <c r="G893" s="1">
        <f>IF(OR(Table4[[#This Row],[INSTALLMENT]]=3),3,0)</f>
        <v>0</v>
      </c>
    </row>
    <row r="894" spans="1:7">
      <c r="A894" s="1">
        <v>953</v>
      </c>
      <c r="B894" s="1" t="s">
        <v>663</v>
      </c>
      <c r="C894" s="1" t="s">
        <v>409</v>
      </c>
      <c r="D894" s="1">
        <f>COUNTIFS('Raw Entries'!B:B,Table4[[#This Row],[Name]],'Raw Entries'!I:I,Table4[[#This Row],[BOOK No.]])</f>
        <v>3</v>
      </c>
      <c r="E894" s="1">
        <f t="array" ref="E894">IF(OR(Table4[[#This Row],[INSTALLMENT]]=1,Table4[[#This Row],[INSTALLMENT]]=2,Table4[[#This Row],[INSTALLMENT]]=3),1,0)</f>
        <v>1</v>
      </c>
      <c r="F894" s="1">
        <f>IF(OR(Table4[[#This Row],[INSTALLMENT]]=2,Table4[[#This Row],[INSTALLMENT]]=3),2,0)</f>
        <v>2</v>
      </c>
      <c r="G894" s="1">
        <f>IF(OR(Table4[[#This Row],[INSTALLMENT]]=3),3,0)</f>
        <v>3</v>
      </c>
    </row>
    <row r="895" spans="1:7">
      <c r="A895" s="1">
        <v>954</v>
      </c>
      <c r="B895" s="1" t="s">
        <v>2616</v>
      </c>
      <c r="C895" s="1" t="s">
        <v>409</v>
      </c>
      <c r="D895" s="1">
        <f>COUNTIFS('Raw Entries'!B:B,Table4[[#This Row],[Name]],'Raw Entries'!I:I,Table4[[#This Row],[BOOK No.]])</f>
        <v>0</v>
      </c>
      <c r="E895" s="1">
        <f t="array" ref="E895">IF(OR(Table4[[#This Row],[INSTALLMENT]]=1,Table4[[#This Row],[INSTALLMENT]]=2,Table4[[#This Row],[INSTALLMENT]]=3),1,0)</f>
        <v>0</v>
      </c>
      <c r="F895" s="1">
        <f>IF(OR(Table4[[#This Row],[INSTALLMENT]]=2,Table4[[#This Row],[INSTALLMENT]]=3),2,0)</f>
        <v>0</v>
      </c>
      <c r="G895" s="1">
        <f>IF(OR(Table4[[#This Row],[INSTALLMENT]]=3),3,0)</f>
        <v>0</v>
      </c>
    </row>
    <row r="896" spans="1:7">
      <c r="A896" s="1">
        <v>955</v>
      </c>
      <c r="B896" s="1" t="s">
        <v>414</v>
      </c>
      <c r="C896" s="1" t="s">
        <v>409</v>
      </c>
      <c r="D896" s="1">
        <f>COUNTIFS('Raw Entries'!B:B,Table4[[#This Row],[Name]],'Raw Entries'!I:I,Table4[[#This Row],[BOOK No.]])</f>
        <v>3</v>
      </c>
      <c r="E896" s="1">
        <f t="array" ref="E896">IF(OR(Table4[[#This Row],[INSTALLMENT]]=1,Table4[[#This Row],[INSTALLMENT]]=2,Table4[[#This Row],[INSTALLMENT]]=3),1,0)</f>
        <v>1</v>
      </c>
      <c r="F896" s="1">
        <f>IF(OR(Table4[[#This Row],[INSTALLMENT]]=2,Table4[[#This Row],[INSTALLMENT]]=3),2,0)</f>
        <v>2</v>
      </c>
      <c r="G896" s="1">
        <f>IF(OR(Table4[[#This Row],[INSTALLMENT]]=3),3,0)</f>
        <v>3</v>
      </c>
    </row>
    <row r="897" spans="1:7">
      <c r="A897" s="1">
        <v>956</v>
      </c>
      <c r="B897" s="1" t="s">
        <v>2617</v>
      </c>
      <c r="C897" s="1" t="s">
        <v>409</v>
      </c>
      <c r="D897" s="1">
        <f>COUNTIFS('Raw Entries'!B:B,Table4[[#This Row],[Name]],'Raw Entries'!I:I,Table4[[#This Row],[BOOK No.]])</f>
        <v>0</v>
      </c>
      <c r="E897" s="1">
        <f t="array" ref="E897">IF(OR(Table4[[#This Row],[INSTALLMENT]]=1,Table4[[#This Row],[INSTALLMENT]]=2,Table4[[#This Row],[INSTALLMENT]]=3),1,0)</f>
        <v>0</v>
      </c>
      <c r="F897" s="1">
        <f>IF(OR(Table4[[#This Row],[INSTALLMENT]]=2,Table4[[#This Row],[INSTALLMENT]]=3),2,0)</f>
        <v>0</v>
      </c>
      <c r="G897" s="1">
        <f>IF(OR(Table4[[#This Row],[INSTALLMENT]]=3),3,0)</f>
        <v>0</v>
      </c>
    </row>
    <row r="898" spans="1:7">
      <c r="A898" s="1">
        <v>957</v>
      </c>
      <c r="B898" s="1" t="s">
        <v>603</v>
      </c>
      <c r="C898" s="1" t="s">
        <v>409</v>
      </c>
      <c r="D898" s="1">
        <f>COUNTIFS('Raw Entries'!B:B,Table4[[#This Row],[Name]],'Raw Entries'!I:I,Table4[[#This Row],[BOOK No.]])</f>
        <v>3</v>
      </c>
      <c r="E898" s="1">
        <f t="array" ref="E898">IF(OR(Table4[[#This Row],[INSTALLMENT]]=1,Table4[[#This Row],[INSTALLMENT]]=2,Table4[[#This Row],[INSTALLMENT]]=3),1,0)</f>
        <v>1</v>
      </c>
      <c r="F898" s="1">
        <f>IF(OR(Table4[[#This Row],[INSTALLMENT]]=2,Table4[[#This Row],[INSTALLMENT]]=3),2,0)</f>
        <v>2</v>
      </c>
      <c r="G898" s="1">
        <f>IF(OR(Table4[[#This Row],[INSTALLMENT]]=3),3,0)</f>
        <v>3</v>
      </c>
    </row>
    <row r="899" spans="1:7">
      <c r="A899" s="1">
        <v>958</v>
      </c>
      <c r="B899" s="1" t="s">
        <v>2618</v>
      </c>
      <c r="C899" s="1" t="s">
        <v>409</v>
      </c>
      <c r="D899" s="1">
        <f>COUNTIFS('Raw Entries'!B:B,Table4[[#This Row],[Name]],'Raw Entries'!I:I,Table4[[#This Row],[BOOK No.]])</f>
        <v>0</v>
      </c>
      <c r="E899" s="1">
        <f t="array" ref="E899">IF(OR(Table4[[#This Row],[INSTALLMENT]]=1,Table4[[#This Row],[INSTALLMENT]]=2,Table4[[#This Row],[INSTALLMENT]]=3),1,0)</f>
        <v>0</v>
      </c>
      <c r="F899" s="1">
        <f>IF(OR(Table4[[#This Row],[INSTALLMENT]]=2,Table4[[#This Row],[INSTALLMENT]]=3),2,0)</f>
        <v>0</v>
      </c>
      <c r="G899" s="1">
        <f>IF(OR(Table4[[#This Row],[INSTALLMENT]]=3),3,0)</f>
        <v>0</v>
      </c>
    </row>
    <row r="900" spans="1:7">
      <c r="A900" s="1">
        <v>959</v>
      </c>
      <c r="B900" s="1" t="s">
        <v>2619</v>
      </c>
      <c r="C900" s="1" t="s">
        <v>409</v>
      </c>
      <c r="D900" s="1">
        <f>COUNTIFS('Raw Entries'!B:B,Table4[[#This Row],[Name]],'Raw Entries'!I:I,Table4[[#This Row],[BOOK No.]])</f>
        <v>0</v>
      </c>
      <c r="E900" s="1">
        <f t="array" ref="E900">IF(OR(Table4[[#This Row],[INSTALLMENT]]=1,Table4[[#This Row],[INSTALLMENT]]=2,Table4[[#This Row],[INSTALLMENT]]=3),1,0)</f>
        <v>0</v>
      </c>
      <c r="F900" s="1">
        <f>IF(OR(Table4[[#This Row],[INSTALLMENT]]=2,Table4[[#This Row],[INSTALLMENT]]=3),2,0)</f>
        <v>0</v>
      </c>
      <c r="G900" s="1">
        <f>IF(OR(Table4[[#This Row],[INSTALLMENT]]=3),3,0)</f>
        <v>0</v>
      </c>
    </row>
    <row r="901" spans="1:7">
      <c r="A901" s="1">
        <v>960</v>
      </c>
      <c r="B901" s="1" t="s">
        <v>2620</v>
      </c>
      <c r="C901" s="1" t="s">
        <v>409</v>
      </c>
      <c r="D901" s="1">
        <f>COUNTIFS('Raw Entries'!B:B,Table4[[#This Row],[Name]],'Raw Entries'!I:I,Table4[[#This Row],[BOOK No.]])</f>
        <v>0</v>
      </c>
      <c r="E901" s="1">
        <f t="array" ref="E901">IF(OR(Table4[[#This Row],[INSTALLMENT]]=1,Table4[[#This Row],[INSTALLMENT]]=2,Table4[[#This Row],[INSTALLMENT]]=3),1,0)</f>
        <v>0</v>
      </c>
      <c r="F901" s="1">
        <f>IF(OR(Table4[[#This Row],[INSTALLMENT]]=2,Table4[[#This Row],[INSTALLMENT]]=3),2,0)</f>
        <v>0</v>
      </c>
      <c r="G901" s="1">
        <f>IF(OR(Table4[[#This Row],[INSTALLMENT]]=3),3,0)</f>
        <v>0</v>
      </c>
    </row>
    <row r="902" spans="1:7">
      <c r="A902" s="1">
        <v>961</v>
      </c>
      <c r="B902" s="1" t="s">
        <v>2621</v>
      </c>
      <c r="C902" s="1" t="s">
        <v>409</v>
      </c>
      <c r="D902" s="1">
        <f>COUNTIFS('Raw Entries'!B:B,Table4[[#This Row],[Name]],'Raw Entries'!I:I,Table4[[#This Row],[BOOK No.]])</f>
        <v>0</v>
      </c>
      <c r="E902" s="1">
        <f t="array" ref="E902">IF(OR(Table4[[#This Row],[INSTALLMENT]]=1,Table4[[#This Row],[INSTALLMENT]]=2,Table4[[#This Row],[INSTALLMENT]]=3),1,0)</f>
        <v>0</v>
      </c>
      <c r="F902" s="1">
        <f>IF(OR(Table4[[#This Row],[INSTALLMENT]]=2,Table4[[#This Row],[INSTALLMENT]]=3),2,0)</f>
        <v>0</v>
      </c>
      <c r="G902" s="1">
        <f>IF(OR(Table4[[#This Row],[INSTALLMENT]]=3),3,0)</f>
        <v>0</v>
      </c>
    </row>
    <row r="903" spans="1:7">
      <c r="A903" s="1">
        <v>962</v>
      </c>
      <c r="B903" s="1" t="s">
        <v>2622</v>
      </c>
      <c r="C903" s="1" t="s">
        <v>409</v>
      </c>
      <c r="D903" s="1">
        <f>COUNTIFS('Raw Entries'!B:B,Table4[[#This Row],[Name]],'Raw Entries'!I:I,Table4[[#This Row],[BOOK No.]])</f>
        <v>3</v>
      </c>
      <c r="E903" s="1">
        <f t="array" ref="E903">IF(OR(Table4[[#This Row],[INSTALLMENT]]=1,Table4[[#This Row],[INSTALLMENT]]=2,Table4[[#This Row],[INSTALLMENT]]=3),1,0)</f>
        <v>1</v>
      </c>
      <c r="F903" s="1">
        <f>IF(OR(Table4[[#This Row],[INSTALLMENT]]=2,Table4[[#This Row],[INSTALLMENT]]=3),2,0)</f>
        <v>2</v>
      </c>
      <c r="G903" s="1">
        <f>IF(OR(Table4[[#This Row],[INSTALLMENT]]=3),3,0)</f>
        <v>3</v>
      </c>
    </row>
    <row r="904" spans="1:7">
      <c r="A904" s="1">
        <v>963</v>
      </c>
      <c r="B904" s="1" t="s">
        <v>412</v>
      </c>
      <c r="C904" s="1" t="s">
        <v>409</v>
      </c>
      <c r="D904" s="1">
        <f>COUNTIFS('Raw Entries'!B:B,Table4[[#This Row],[Name]],'Raw Entries'!I:I,Table4[[#This Row],[BOOK No.]])</f>
        <v>2</v>
      </c>
      <c r="E904" s="1">
        <f t="array" ref="E904">IF(OR(Table4[[#This Row],[INSTALLMENT]]=1,Table4[[#This Row],[INSTALLMENT]]=2,Table4[[#This Row],[INSTALLMENT]]=3),1,0)</f>
        <v>1</v>
      </c>
      <c r="F904" s="1">
        <f>IF(OR(Table4[[#This Row],[INSTALLMENT]]=2,Table4[[#This Row],[INSTALLMENT]]=3),2,0)</f>
        <v>2</v>
      </c>
      <c r="G904" s="1">
        <f>IF(OR(Table4[[#This Row],[INSTALLMENT]]=3),3,0)</f>
        <v>0</v>
      </c>
    </row>
    <row r="905" spans="1:7">
      <c r="A905" s="1">
        <v>964</v>
      </c>
      <c r="B905" s="1" t="s">
        <v>664</v>
      </c>
      <c r="C905" s="1" t="s">
        <v>409</v>
      </c>
      <c r="D905" s="1">
        <f>COUNTIFS('Raw Entries'!B:B,Table4[[#This Row],[Name]],'Raw Entries'!I:I,Table4[[#This Row],[BOOK No.]])</f>
        <v>3</v>
      </c>
      <c r="E905" s="1">
        <f t="array" ref="E905">IF(OR(Table4[[#This Row],[INSTALLMENT]]=1,Table4[[#This Row],[INSTALLMENT]]=2,Table4[[#This Row],[INSTALLMENT]]=3),1,0)</f>
        <v>1</v>
      </c>
      <c r="F905" s="1">
        <f>IF(OR(Table4[[#This Row],[INSTALLMENT]]=2,Table4[[#This Row],[INSTALLMENT]]=3),2,0)</f>
        <v>2</v>
      </c>
      <c r="G905" s="1">
        <f>IF(OR(Table4[[#This Row],[INSTALLMENT]]=3),3,0)</f>
        <v>3</v>
      </c>
    </row>
    <row r="906" spans="1:7">
      <c r="A906" s="1">
        <v>965</v>
      </c>
      <c r="B906" s="1" t="s">
        <v>640</v>
      </c>
      <c r="C906" s="1" t="s">
        <v>409</v>
      </c>
      <c r="D906" s="1">
        <f>COUNTIFS('Raw Entries'!B:B,Table4[[#This Row],[Name]],'Raw Entries'!I:I,Table4[[#This Row],[BOOK No.]])</f>
        <v>3</v>
      </c>
      <c r="E906" s="1">
        <f t="array" ref="E906">IF(OR(Table4[[#This Row],[INSTALLMENT]]=1,Table4[[#This Row],[INSTALLMENT]]=2,Table4[[#This Row],[INSTALLMENT]]=3),1,0)</f>
        <v>1</v>
      </c>
      <c r="F906" s="1">
        <f>IF(OR(Table4[[#This Row],[INSTALLMENT]]=2,Table4[[#This Row],[INSTALLMENT]]=3),2,0)</f>
        <v>2</v>
      </c>
      <c r="G906" s="1">
        <f>IF(OR(Table4[[#This Row],[INSTALLMENT]]=3),3,0)</f>
        <v>3</v>
      </c>
    </row>
    <row r="907" spans="1:7">
      <c r="A907" s="1">
        <v>966</v>
      </c>
      <c r="B907" s="1" t="s">
        <v>2623</v>
      </c>
      <c r="C907" s="1" t="s">
        <v>409</v>
      </c>
      <c r="D907" s="1">
        <f>COUNTIFS('Raw Entries'!B:B,Table4[[#This Row],[Name]],'Raw Entries'!I:I,Table4[[#This Row],[BOOK No.]])</f>
        <v>0</v>
      </c>
      <c r="E907" s="1">
        <f t="array" ref="E907">IF(OR(Table4[[#This Row],[INSTALLMENT]]=1,Table4[[#This Row],[INSTALLMENT]]=2,Table4[[#This Row],[INSTALLMENT]]=3),1,0)</f>
        <v>0</v>
      </c>
      <c r="F907" s="1">
        <f>IF(OR(Table4[[#This Row],[INSTALLMENT]]=2,Table4[[#This Row],[INSTALLMENT]]=3),2,0)</f>
        <v>0</v>
      </c>
      <c r="G907" s="1">
        <f>IF(OR(Table4[[#This Row],[INSTALLMENT]]=3),3,0)</f>
        <v>0</v>
      </c>
    </row>
    <row r="908" spans="1:7">
      <c r="A908" s="1">
        <v>967</v>
      </c>
      <c r="B908" s="1" t="s">
        <v>2624</v>
      </c>
      <c r="C908" s="1" t="s">
        <v>409</v>
      </c>
      <c r="D908" s="1">
        <f>COUNTIFS('Raw Entries'!B:B,Table4[[#This Row],[Name]],'Raw Entries'!I:I,Table4[[#This Row],[BOOK No.]])</f>
        <v>0</v>
      </c>
      <c r="E908" s="1">
        <f t="array" ref="E908">IF(OR(Table4[[#This Row],[INSTALLMENT]]=1,Table4[[#This Row],[INSTALLMENT]]=2,Table4[[#This Row],[INSTALLMENT]]=3),1,0)</f>
        <v>0</v>
      </c>
      <c r="F908" s="1">
        <f>IF(OR(Table4[[#This Row],[INSTALLMENT]]=2,Table4[[#This Row],[INSTALLMENT]]=3),2,0)</f>
        <v>0</v>
      </c>
      <c r="G908" s="1">
        <f>IF(OR(Table4[[#This Row],[INSTALLMENT]]=3),3,0)</f>
        <v>0</v>
      </c>
    </row>
    <row r="909" spans="1:7">
      <c r="A909" s="1">
        <v>968</v>
      </c>
      <c r="B909" s="1" t="s">
        <v>2625</v>
      </c>
      <c r="C909" s="1" t="s">
        <v>409</v>
      </c>
      <c r="D909" s="1">
        <f>COUNTIFS('Raw Entries'!B:B,Table4[[#This Row],[Name]],'Raw Entries'!I:I,Table4[[#This Row],[BOOK No.]])</f>
        <v>0</v>
      </c>
      <c r="E909" s="1">
        <f t="array" ref="E909">IF(OR(Table4[[#This Row],[INSTALLMENT]]=1,Table4[[#This Row],[INSTALLMENT]]=2,Table4[[#This Row],[INSTALLMENT]]=3),1,0)</f>
        <v>0</v>
      </c>
      <c r="F909" s="1">
        <f>IF(OR(Table4[[#This Row],[INSTALLMENT]]=2,Table4[[#This Row],[INSTALLMENT]]=3),2,0)</f>
        <v>0</v>
      </c>
      <c r="G909" s="1">
        <f>IF(OR(Table4[[#This Row],[INSTALLMENT]]=3),3,0)</f>
        <v>0</v>
      </c>
    </row>
    <row r="910" spans="1:7">
      <c r="A910" s="1">
        <v>969</v>
      </c>
      <c r="B910" s="1" t="s">
        <v>2626</v>
      </c>
      <c r="C910" s="1" t="s">
        <v>409</v>
      </c>
      <c r="D910" s="1">
        <f>COUNTIFS('Raw Entries'!B:B,Table4[[#This Row],[Name]],'Raw Entries'!I:I,Table4[[#This Row],[BOOK No.]])</f>
        <v>0</v>
      </c>
      <c r="E910" s="1">
        <f t="array" ref="E910">IF(OR(Table4[[#This Row],[INSTALLMENT]]=1,Table4[[#This Row],[INSTALLMENT]]=2,Table4[[#This Row],[INSTALLMENT]]=3),1,0)</f>
        <v>0</v>
      </c>
      <c r="F910" s="1">
        <f>IF(OR(Table4[[#This Row],[INSTALLMENT]]=2,Table4[[#This Row],[INSTALLMENT]]=3),2,0)</f>
        <v>0</v>
      </c>
      <c r="G910" s="1">
        <f>IF(OR(Table4[[#This Row],[INSTALLMENT]]=3),3,0)</f>
        <v>0</v>
      </c>
    </row>
    <row r="911" spans="1:7">
      <c r="A911" s="1">
        <v>970</v>
      </c>
      <c r="B911" s="1" t="s">
        <v>411</v>
      </c>
      <c r="C911" s="1" t="s">
        <v>409</v>
      </c>
      <c r="D911" s="1">
        <f>COUNTIFS('Raw Entries'!B:B,Table4[[#This Row],[Name]],'Raw Entries'!I:I,Table4[[#This Row],[BOOK No.]])</f>
        <v>3</v>
      </c>
      <c r="E911" s="1">
        <f t="array" ref="E911">IF(OR(Table4[[#This Row],[INSTALLMENT]]=1,Table4[[#This Row],[INSTALLMENT]]=2,Table4[[#This Row],[INSTALLMENT]]=3),1,0)</f>
        <v>1</v>
      </c>
      <c r="F911" s="1">
        <f>IF(OR(Table4[[#This Row],[INSTALLMENT]]=2,Table4[[#This Row],[INSTALLMENT]]=3),2,0)</f>
        <v>2</v>
      </c>
      <c r="G911" s="1">
        <f>IF(OR(Table4[[#This Row],[INSTALLMENT]]=3),3,0)</f>
        <v>3</v>
      </c>
    </row>
    <row r="912" spans="1:7">
      <c r="A912" s="1">
        <v>971</v>
      </c>
      <c r="B912" s="1" t="s">
        <v>2627</v>
      </c>
      <c r="C912" s="1" t="s">
        <v>409</v>
      </c>
      <c r="D912" s="1">
        <f>COUNTIFS('Raw Entries'!B:B,Table4[[#This Row],[Name]],'Raw Entries'!I:I,Table4[[#This Row],[BOOK No.]])</f>
        <v>0</v>
      </c>
      <c r="E912" s="1">
        <f t="array" ref="E912">IF(OR(Table4[[#This Row],[INSTALLMENT]]=1,Table4[[#This Row],[INSTALLMENT]]=2,Table4[[#This Row],[INSTALLMENT]]=3),1,0)</f>
        <v>0</v>
      </c>
      <c r="F912" s="1">
        <f>IF(OR(Table4[[#This Row],[INSTALLMENT]]=2,Table4[[#This Row],[INSTALLMENT]]=3),2,0)</f>
        <v>0</v>
      </c>
      <c r="G912" s="1">
        <f>IF(OR(Table4[[#This Row],[INSTALLMENT]]=3),3,0)</f>
        <v>0</v>
      </c>
    </row>
    <row r="913" spans="1:7">
      <c r="A913" s="1">
        <v>972</v>
      </c>
      <c r="B913" s="1" t="s">
        <v>2628</v>
      </c>
      <c r="C913" s="1" t="s">
        <v>409</v>
      </c>
      <c r="D913" s="1">
        <f>COUNTIFS('Raw Entries'!B:B,Table4[[#This Row],[Name]],'Raw Entries'!I:I,Table4[[#This Row],[BOOK No.]])</f>
        <v>0</v>
      </c>
      <c r="E913" s="1">
        <f t="array" ref="E913">IF(OR(Table4[[#This Row],[INSTALLMENT]]=1,Table4[[#This Row],[INSTALLMENT]]=2,Table4[[#This Row],[INSTALLMENT]]=3),1,0)</f>
        <v>0</v>
      </c>
      <c r="F913" s="1">
        <f>IF(OR(Table4[[#This Row],[INSTALLMENT]]=2,Table4[[#This Row],[INSTALLMENT]]=3),2,0)</f>
        <v>0</v>
      </c>
      <c r="G913" s="1">
        <f>IF(OR(Table4[[#This Row],[INSTALLMENT]]=3),3,0)</f>
        <v>0</v>
      </c>
    </row>
    <row r="914" spans="1:7">
      <c r="A914" s="1">
        <v>973</v>
      </c>
      <c r="B914" s="1" t="s">
        <v>2629</v>
      </c>
      <c r="C914" s="1" t="s">
        <v>409</v>
      </c>
      <c r="D914" s="1">
        <f>COUNTIFS('Raw Entries'!B:B,Table4[[#This Row],[Name]],'Raw Entries'!I:I,Table4[[#This Row],[BOOK No.]])</f>
        <v>1</v>
      </c>
      <c r="E914" s="1">
        <f t="array" ref="E914">IF(OR(Table4[[#This Row],[INSTALLMENT]]=1,Table4[[#This Row],[INSTALLMENT]]=2,Table4[[#This Row],[INSTALLMENT]]=3),1,0)</f>
        <v>1</v>
      </c>
      <c r="F914" s="1">
        <f>IF(OR(Table4[[#This Row],[INSTALLMENT]]=2,Table4[[#This Row],[INSTALLMENT]]=3),2,0)</f>
        <v>0</v>
      </c>
      <c r="G914" s="1">
        <f>IF(OR(Table4[[#This Row],[INSTALLMENT]]=3),3,0)</f>
        <v>0</v>
      </c>
    </row>
    <row r="915" spans="1:7">
      <c r="A915" s="1">
        <v>974</v>
      </c>
      <c r="B915" s="1" t="s">
        <v>2630</v>
      </c>
      <c r="C915" s="1" t="s">
        <v>409</v>
      </c>
      <c r="D915" s="1">
        <f>COUNTIFS('Raw Entries'!B:B,Table4[[#This Row],[Name]],'Raw Entries'!I:I,Table4[[#This Row],[BOOK No.]])</f>
        <v>0</v>
      </c>
      <c r="E915" s="1">
        <f t="array" ref="E915">IF(OR(Table4[[#This Row],[INSTALLMENT]]=1,Table4[[#This Row],[INSTALLMENT]]=2,Table4[[#This Row],[INSTALLMENT]]=3),1,0)</f>
        <v>0</v>
      </c>
      <c r="F915" s="1">
        <f>IF(OR(Table4[[#This Row],[INSTALLMENT]]=2,Table4[[#This Row],[INSTALLMENT]]=3),2,0)</f>
        <v>0</v>
      </c>
      <c r="G915" s="1">
        <f>IF(OR(Table4[[#This Row],[INSTALLMENT]]=3),3,0)</f>
        <v>0</v>
      </c>
    </row>
    <row r="916" spans="1:7">
      <c r="A916" s="1">
        <v>975</v>
      </c>
      <c r="B916" s="1" t="s">
        <v>2631</v>
      </c>
      <c r="C916" s="1" t="s">
        <v>409</v>
      </c>
      <c r="D916" s="1">
        <f>COUNTIFS('Raw Entries'!B:B,Table4[[#This Row],[Name]],'Raw Entries'!I:I,Table4[[#This Row],[BOOK No.]])</f>
        <v>0</v>
      </c>
      <c r="E916" s="1">
        <f t="array" ref="E916">IF(OR(Table4[[#This Row],[INSTALLMENT]]=1,Table4[[#This Row],[INSTALLMENT]]=2,Table4[[#This Row],[INSTALLMENT]]=3),1,0)</f>
        <v>0</v>
      </c>
      <c r="F916" s="1">
        <f>IF(OR(Table4[[#This Row],[INSTALLMENT]]=2,Table4[[#This Row],[INSTALLMENT]]=3),2,0)</f>
        <v>0</v>
      </c>
      <c r="G916" s="1">
        <f>IF(OR(Table4[[#This Row],[INSTALLMENT]]=3),3,0)</f>
        <v>0</v>
      </c>
    </row>
    <row r="917" spans="1:7">
      <c r="A917" s="1">
        <v>976</v>
      </c>
      <c r="B917" s="1" t="s">
        <v>2632</v>
      </c>
      <c r="C917" s="1" t="s">
        <v>409</v>
      </c>
      <c r="D917" s="1">
        <f>COUNTIFS('Raw Entries'!B:B,Table4[[#This Row],[Name]],'Raw Entries'!I:I,Table4[[#This Row],[BOOK No.]])</f>
        <v>3</v>
      </c>
      <c r="E917" s="1">
        <f t="array" ref="E917">IF(OR(Table4[[#This Row],[INSTALLMENT]]=1,Table4[[#This Row],[INSTALLMENT]]=2,Table4[[#This Row],[INSTALLMENT]]=3),1,0)</f>
        <v>1</v>
      </c>
      <c r="F917" s="1">
        <f>IF(OR(Table4[[#This Row],[INSTALLMENT]]=2,Table4[[#This Row],[INSTALLMENT]]=3),2,0)</f>
        <v>2</v>
      </c>
      <c r="G917" s="1">
        <f>IF(OR(Table4[[#This Row],[INSTALLMENT]]=3),3,0)</f>
        <v>3</v>
      </c>
    </row>
    <row r="918" spans="1:7">
      <c r="A918" s="1">
        <v>977</v>
      </c>
      <c r="B918" s="1" t="s">
        <v>419</v>
      </c>
      <c r="C918" s="1" t="s">
        <v>415</v>
      </c>
      <c r="D918" s="1">
        <f>COUNTIFS('Raw Entries'!B:B,Table4[[#This Row],[Name]],'Raw Entries'!I:I,Table4[[#This Row],[BOOK No.]])</f>
        <v>1</v>
      </c>
      <c r="E918" s="1">
        <f t="array" ref="E918">IF(OR(Table4[[#This Row],[INSTALLMENT]]=1,Table4[[#This Row],[INSTALLMENT]]=2,Table4[[#This Row],[INSTALLMENT]]=3),1,0)</f>
        <v>1</v>
      </c>
      <c r="F918" s="1">
        <f>IF(OR(Table4[[#This Row],[INSTALLMENT]]=2,Table4[[#This Row],[INSTALLMENT]]=3),2,0)</f>
        <v>0</v>
      </c>
      <c r="G918" s="1">
        <f>IF(OR(Table4[[#This Row],[INSTALLMENT]]=3),3,0)</f>
        <v>0</v>
      </c>
    </row>
    <row r="919" spans="1:7">
      <c r="A919" s="1">
        <v>978</v>
      </c>
      <c r="B919" s="1" t="s">
        <v>2633</v>
      </c>
      <c r="C919" s="1" t="s">
        <v>415</v>
      </c>
      <c r="D919" s="1">
        <f>COUNTIFS('Raw Entries'!B:B,Table4[[#This Row],[Name]],'Raw Entries'!I:I,Table4[[#This Row],[BOOK No.]])</f>
        <v>0</v>
      </c>
      <c r="E919" s="1">
        <f t="array" ref="E919">IF(OR(Table4[[#This Row],[INSTALLMENT]]=1,Table4[[#This Row],[INSTALLMENT]]=2,Table4[[#This Row],[INSTALLMENT]]=3),1,0)</f>
        <v>0</v>
      </c>
      <c r="F919" s="1">
        <f>IF(OR(Table4[[#This Row],[INSTALLMENT]]=2,Table4[[#This Row],[INSTALLMENT]]=3),2,0)</f>
        <v>0</v>
      </c>
      <c r="G919" s="1">
        <f>IF(OR(Table4[[#This Row],[INSTALLMENT]]=3),3,0)</f>
        <v>0</v>
      </c>
    </row>
    <row r="920" spans="1:7">
      <c r="A920" s="1">
        <v>979</v>
      </c>
      <c r="B920" s="1" t="s">
        <v>400</v>
      </c>
      <c r="C920" s="1" t="s">
        <v>415</v>
      </c>
      <c r="D920" s="1">
        <f>COUNTIFS('Raw Entries'!B:B,Table4[[#This Row],[Name]],'Raw Entries'!I:I,Table4[[#This Row],[BOOK No.]])</f>
        <v>2</v>
      </c>
      <c r="E920" s="1">
        <f t="array" ref="E920">IF(OR(Table4[[#This Row],[INSTALLMENT]]=1,Table4[[#This Row],[INSTALLMENT]]=2,Table4[[#This Row],[INSTALLMENT]]=3),1,0)</f>
        <v>1</v>
      </c>
      <c r="F920" s="1">
        <f>IF(OR(Table4[[#This Row],[INSTALLMENT]]=2,Table4[[#This Row],[INSTALLMENT]]=3),2,0)</f>
        <v>2</v>
      </c>
      <c r="G920" s="1">
        <f>IF(OR(Table4[[#This Row],[INSTALLMENT]]=3),3,0)</f>
        <v>0</v>
      </c>
    </row>
    <row r="921" spans="1:7">
      <c r="A921" s="1">
        <v>980</v>
      </c>
      <c r="B921" s="1" t="s">
        <v>2634</v>
      </c>
      <c r="C921" s="1" t="s">
        <v>415</v>
      </c>
      <c r="D921" s="1">
        <f>COUNTIFS('Raw Entries'!B:B,Table4[[#This Row],[Name]],'Raw Entries'!I:I,Table4[[#This Row],[BOOK No.]])</f>
        <v>0</v>
      </c>
      <c r="E921" s="1">
        <f t="array" ref="E921">IF(OR(Table4[[#This Row],[INSTALLMENT]]=1,Table4[[#This Row],[INSTALLMENT]]=2,Table4[[#This Row],[INSTALLMENT]]=3),1,0)</f>
        <v>0</v>
      </c>
      <c r="F921" s="1">
        <f>IF(OR(Table4[[#This Row],[INSTALLMENT]]=2,Table4[[#This Row],[INSTALLMENT]]=3),2,0)</f>
        <v>0</v>
      </c>
      <c r="G921" s="1">
        <f>IF(OR(Table4[[#This Row],[INSTALLMENT]]=3),3,0)</f>
        <v>0</v>
      </c>
    </row>
    <row r="922" spans="1:7">
      <c r="A922" s="1">
        <v>981</v>
      </c>
      <c r="B922" s="1" t="s">
        <v>2635</v>
      </c>
      <c r="C922" s="1" t="s">
        <v>415</v>
      </c>
      <c r="D922" s="1">
        <f>COUNTIFS('Raw Entries'!B:B,Table4[[#This Row],[Name]],'Raw Entries'!I:I,Table4[[#This Row],[BOOK No.]])</f>
        <v>0</v>
      </c>
      <c r="E922" s="1">
        <f t="array" ref="E922">IF(OR(Table4[[#This Row],[INSTALLMENT]]=1,Table4[[#This Row],[INSTALLMENT]]=2,Table4[[#This Row],[INSTALLMENT]]=3),1,0)</f>
        <v>0</v>
      </c>
      <c r="F922" s="1">
        <f>IF(OR(Table4[[#This Row],[INSTALLMENT]]=2,Table4[[#This Row],[INSTALLMENT]]=3),2,0)</f>
        <v>0</v>
      </c>
      <c r="G922" s="1">
        <f>IF(OR(Table4[[#This Row],[INSTALLMENT]]=3),3,0)</f>
        <v>0</v>
      </c>
    </row>
    <row r="923" spans="1:7">
      <c r="A923" s="1">
        <v>982</v>
      </c>
      <c r="B923" s="1" t="s">
        <v>2636</v>
      </c>
      <c r="C923" s="1" t="s">
        <v>415</v>
      </c>
      <c r="D923" s="1">
        <f>COUNTIFS('Raw Entries'!B:B,Table4[[#This Row],[Name]],'Raw Entries'!I:I,Table4[[#This Row],[BOOK No.]])</f>
        <v>0</v>
      </c>
      <c r="E923" s="1">
        <f t="array" ref="E923">IF(OR(Table4[[#This Row],[INSTALLMENT]]=1,Table4[[#This Row],[INSTALLMENT]]=2,Table4[[#This Row],[INSTALLMENT]]=3),1,0)</f>
        <v>0</v>
      </c>
      <c r="F923" s="1">
        <f>IF(OR(Table4[[#This Row],[INSTALLMENT]]=2,Table4[[#This Row],[INSTALLMENT]]=3),2,0)</f>
        <v>0</v>
      </c>
      <c r="G923" s="1">
        <f>IF(OR(Table4[[#This Row],[INSTALLMENT]]=3),3,0)</f>
        <v>0</v>
      </c>
    </row>
    <row r="924" spans="1:7">
      <c r="A924" s="1">
        <v>983</v>
      </c>
      <c r="B924" s="1" t="s">
        <v>532</v>
      </c>
      <c r="C924" s="1" t="s">
        <v>415</v>
      </c>
      <c r="D924" s="1">
        <f>COUNTIFS('Raw Entries'!B:B,Table4[[#This Row],[Name]],'Raw Entries'!I:I,Table4[[#This Row],[BOOK No.]])</f>
        <v>0</v>
      </c>
      <c r="E924" s="1">
        <f t="array" ref="E924">IF(OR(Table4[[#This Row],[INSTALLMENT]]=1,Table4[[#This Row],[INSTALLMENT]]=2,Table4[[#This Row],[INSTALLMENT]]=3),1,0)</f>
        <v>0</v>
      </c>
      <c r="F924" s="1">
        <f>IF(OR(Table4[[#This Row],[INSTALLMENT]]=2,Table4[[#This Row],[INSTALLMENT]]=3),2,0)</f>
        <v>0</v>
      </c>
      <c r="G924" s="1">
        <f>IF(OR(Table4[[#This Row],[INSTALLMENT]]=3),3,0)</f>
        <v>0</v>
      </c>
    </row>
    <row r="925" spans="1:7">
      <c r="A925" s="1">
        <v>984</v>
      </c>
      <c r="B925" s="1" t="s">
        <v>418</v>
      </c>
      <c r="C925" s="1" t="s">
        <v>415</v>
      </c>
      <c r="D925" s="1">
        <f>COUNTIFS('Raw Entries'!B:B,Table4[[#This Row],[Name]],'Raw Entries'!I:I,Table4[[#This Row],[BOOK No.]])</f>
        <v>3</v>
      </c>
      <c r="E925" s="1">
        <f t="array" ref="E925">IF(OR(Table4[[#This Row],[INSTALLMENT]]=1,Table4[[#This Row],[INSTALLMENT]]=2,Table4[[#This Row],[INSTALLMENT]]=3),1,0)</f>
        <v>1</v>
      </c>
      <c r="F925" s="1">
        <f>IF(OR(Table4[[#This Row],[INSTALLMENT]]=2,Table4[[#This Row],[INSTALLMENT]]=3),2,0)</f>
        <v>2</v>
      </c>
      <c r="G925" s="1">
        <f>IF(OR(Table4[[#This Row],[INSTALLMENT]]=3),3,0)</f>
        <v>3</v>
      </c>
    </row>
    <row r="926" spans="1:7">
      <c r="A926" s="1">
        <v>985</v>
      </c>
      <c r="B926" s="1" t="s">
        <v>2637</v>
      </c>
      <c r="C926" s="1" t="s">
        <v>415</v>
      </c>
      <c r="D926" s="1">
        <f>COUNTIFS('Raw Entries'!B:B,Table4[[#This Row],[Name]],'Raw Entries'!I:I,Table4[[#This Row],[BOOK No.]])</f>
        <v>0</v>
      </c>
      <c r="E926" s="1">
        <f t="array" ref="E926">IF(OR(Table4[[#This Row],[INSTALLMENT]]=1,Table4[[#This Row],[INSTALLMENT]]=2,Table4[[#This Row],[INSTALLMENT]]=3),1,0)</f>
        <v>0</v>
      </c>
      <c r="F926" s="1">
        <f>IF(OR(Table4[[#This Row],[INSTALLMENT]]=2,Table4[[#This Row],[INSTALLMENT]]=3),2,0)</f>
        <v>0</v>
      </c>
      <c r="G926" s="1">
        <f>IF(OR(Table4[[#This Row],[INSTALLMENT]]=3),3,0)</f>
        <v>0</v>
      </c>
    </row>
    <row r="927" spans="1:7">
      <c r="A927" s="1">
        <v>986</v>
      </c>
      <c r="B927" s="1" t="s">
        <v>2638</v>
      </c>
      <c r="C927" s="1" t="s">
        <v>415</v>
      </c>
      <c r="D927" s="1">
        <f>COUNTIFS('Raw Entries'!B:B,Table4[[#This Row],[Name]],'Raw Entries'!I:I,Table4[[#This Row],[BOOK No.]])</f>
        <v>0</v>
      </c>
      <c r="E927" s="1">
        <f t="array" ref="E927">IF(OR(Table4[[#This Row],[INSTALLMENT]]=1,Table4[[#This Row],[INSTALLMENT]]=2,Table4[[#This Row],[INSTALLMENT]]=3),1,0)</f>
        <v>0</v>
      </c>
      <c r="F927" s="1">
        <f>IF(OR(Table4[[#This Row],[INSTALLMENT]]=2,Table4[[#This Row],[INSTALLMENT]]=3),2,0)</f>
        <v>0</v>
      </c>
      <c r="G927" s="1">
        <f>IF(OR(Table4[[#This Row],[INSTALLMENT]]=3),3,0)</f>
        <v>0</v>
      </c>
    </row>
    <row r="928" spans="1:7">
      <c r="A928" s="1">
        <v>987</v>
      </c>
      <c r="B928" s="1" t="s">
        <v>1854</v>
      </c>
      <c r="C928" s="1" t="s">
        <v>415</v>
      </c>
      <c r="D928" s="1">
        <f>COUNTIFS('Raw Entries'!B:B,Table4[[#This Row],[Name]],'Raw Entries'!I:I,Table4[[#This Row],[BOOK No.]])</f>
        <v>3</v>
      </c>
      <c r="E928" s="1">
        <f t="array" ref="E928">IF(OR(Table4[[#This Row],[INSTALLMENT]]=1,Table4[[#This Row],[INSTALLMENT]]=2,Table4[[#This Row],[INSTALLMENT]]=3),1,0)</f>
        <v>1</v>
      </c>
      <c r="F928" s="1">
        <f>IF(OR(Table4[[#This Row],[INSTALLMENT]]=2,Table4[[#This Row],[INSTALLMENT]]=3),2,0)</f>
        <v>2</v>
      </c>
      <c r="G928" s="1">
        <f>IF(OR(Table4[[#This Row],[INSTALLMENT]]=3),3,0)</f>
        <v>3</v>
      </c>
    </row>
    <row r="929" spans="1:7">
      <c r="A929" s="1">
        <v>988</v>
      </c>
      <c r="B929" s="1" t="s">
        <v>2639</v>
      </c>
      <c r="C929" s="1" t="s">
        <v>415</v>
      </c>
      <c r="D929" s="1">
        <f>COUNTIFS('Raw Entries'!B:B,Table4[[#This Row],[Name]],'Raw Entries'!I:I,Table4[[#This Row],[BOOK No.]])</f>
        <v>0</v>
      </c>
      <c r="E929" s="1">
        <f t="array" ref="E929">IF(OR(Table4[[#This Row],[INSTALLMENT]]=1,Table4[[#This Row],[INSTALLMENT]]=2,Table4[[#This Row],[INSTALLMENT]]=3),1,0)</f>
        <v>0</v>
      </c>
      <c r="F929" s="1">
        <f>IF(OR(Table4[[#This Row],[INSTALLMENT]]=2,Table4[[#This Row],[INSTALLMENT]]=3),2,0)</f>
        <v>0</v>
      </c>
      <c r="G929" s="1">
        <f>IF(OR(Table4[[#This Row],[INSTALLMENT]]=3),3,0)</f>
        <v>0</v>
      </c>
    </row>
    <row r="930" spans="1:7">
      <c r="A930" s="1">
        <v>989</v>
      </c>
      <c r="B930" s="1" t="s">
        <v>641</v>
      </c>
      <c r="C930" s="1" t="s">
        <v>415</v>
      </c>
      <c r="D930" s="1">
        <f>COUNTIFS('Raw Entries'!B:B,Table4[[#This Row],[Name]],'Raw Entries'!I:I,Table4[[#This Row],[BOOK No.]])</f>
        <v>3</v>
      </c>
      <c r="E930" s="1">
        <f t="array" ref="E930">IF(OR(Table4[[#This Row],[INSTALLMENT]]=1,Table4[[#This Row],[INSTALLMENT]]=2,Table4[[#This Row],[INSTALLMENT]]=3),1,0)</f>
        <v>1</v>
      </c>
      <c r="F930" s="1">
        <f>IF(OR(Table4[[#This Row],[INSTALLMENT]]=2,Table4[[#This Row],[INSTALLMENT]]=3),2,0)</f>
        <v>2</v>
      </c>
      <c r="G930" s="1">
        <f>IF(OR(Table4[[#This Row],[INSTALLMENT]]=3),3,0)</f>
        <v>3</v>
      </c>
    </row>
    <row r="931" spans="1:7">
      <c r="A931" s="1">
        <v>990</v>
      </c>
      <c r="B931" s="1" t="s">
        <v>2640</v>
      </c>
      <c r="C931" s="1" t="s">
        <v>415</v>
      </c>
      <c r="D931" s="1">
        <f>COUNTIFS('Raw Entries'!B:B,Table4[[#This Row],[Name]],'Raw Entries'!I:I,Table4[[#This Row],[BOOK No.]])</f>
        <v>0</v>
      </c>
      <c r="E931" s="1">
        <f t="array" ref="E931">IF(OR(Table4[[#This Row],[INSTALLMENT]]=1,Table4[[#This Row],[INSTALLMENT]]=2,Table4[[#This Row],[INSTALLMENT]]=3),1,0)</f>
        <v>0</v>
      </c>
      <c r="F931" s="1">
        <f>IF(OR(Table4[[#This Row],[INSTALLMENT]]=2,Table4[[#This Row],[INSTALLMENT]]=3),2,0)</f>
        <v>0</v>
      </c>
      <c r="G931" s="1">
        <f>IF(OR(Table4[[#This Row],[INSTALLMENT]]=3),3,0)</f>
        <v>0</v>
      </c>
    </row>
    <row r="932" spans="1:7">
      <c r="A932" s="1">
        <v>991</v>
      </c>
      <c r="B932" s="1" t="s">
        <v>2641</v>
      </c>
      <c r="C932" s="1" t="s">
        <v>415</v>
      </c>
      <c r="D932" s="1">
        <f>COUNTIFS('Raw Entries'!B:B,Table4[[#This Row],[Name]],'Raw Entries'!I:I,Table4[[#This Row],[BOOK No.]])</f>
        <v>0</v>
      </c>
      <c r="E932" s="1">
        <f t="array" ref="E932">IF(OR(Table4[[#This Row],[INSTALLMENT]]=1,Table4[[#This Row],[INSTALLMENT]]=2,Table4[[#This Row],[INSTALLMENT]]=3),1,0)</f>
        <v>0</v>
      </c>
      <c r="F932" s="1">
        <f>IF(OR(Table4[[#This Row],[INSTALLMENT]]=2,Table4[[#This Row],[INSTALLMENT]]=3),2,0)</f>
        <v>0</v>
      </c>
      <c r="G932" s="1">
        <f>IF(OR(Table4[[#This Row],[INSTALLMENT]]=3),3,0)</f>
        <v>0</v>
      </c>
    </row>
    <row r="933" spans="1:7">
      <c r="A933" s="1">
        <v>992</v>
      </c>
      <c r="B933" s="1" t="s">
        <v>2642</v>
      </c>
      <c r="C933" s="1" t="s">
        <v>415</v>
      </c>
      <c r="D933" s="1">
        <f>COUNTIFS('Raw Entries'!B:B,Table4[[#This Row],[Name]],'Raw Entries'!I:I,Table4[[#This Row],[BOOK No.]])</f>
        <v>1</v>
      </c>
      <c r="E933" s="1">
        <f t="array" ref="E933">IF(OR(Table4[[#This Row],[INSTALLMENT]]=1,Table4[[#This Row],[INSTALLMENT]]=2,Table4[[#This Row],[INSTALLMENT]]=3),1,0)</f>
        <v>1</v>
      </c>
      <c r="F933" s="1">
        <f>IF(OR(Table4[[#This Row],[INSTALLMENT]]=2,Table4[[#This Row],[INSTALLMENT]]=3),2,0)</f>
        <v>0</v>
      </c>
      <c r="G933" s="1">
        <f>IF(OR(Table4[[#This Row],[INSTALLMENT]]=3),3,0)</f>
        <v>0</v>
      </c>
    </row>
    <row r="934" spans="1:7">
      <c r="A934" s="1">
        <v>993</v>
      </c>
      <c r="B934" s="1" t="s">
        <v>2643</v>
      </c>
      <c r="C934" s="1" t="s">
        <v>415</v>
      </c>
      <c r="D934" s="1">
        <f>COUNTIFS('Raw Entries'!B:B,Table4[[#This Row],[Name]],'Raw Entries'!I:I,Table4[[#This Row],[BOOK No.]])</f>
        <v>0</v>
      </c>
      <c r="E934" s="1">
        <f t="array" ref="E934">IF(OR(Table4[[#This Row],[INSTALLMENT]]=1,Table4[[#This Row],[INSTALLMENT]]=2,Table4[[#This Row],[INSTALLMENT]]=3),1,0)</f>
        <v>0</v>
      </c>
      <c r="F934" s="1">
        <f>IF(OR(Table4[[#This Row],[INSTALLMENT]]=2,Table4[[#This Row],[INSTALLMENT]]=3),2,0)</f>
        <v>0</v>
      </c>
      <c r="G934" s="1">
        <f>IF(OR(Table4[[#This Row],[INSTALLMENT]]=3),3,0)</f>
        <v>0</v>
      </c>
    </row>
    <row r="935" spans="1:7">
      <c r="A935" s="1">
        <v>994</v>
      </c>
      <c r="B935" s="1" t="s">
        <v>2644</v>
      </c>
      <c r="C935" s="1" t="s">
        <v>415</v>
      </c>
      <c r="D935" s="1">
        <f>COUNTIFS('Raw Entries'!B:B,Table4[[#This Row],[Name]],'Raw Entries'!I:I,Table4[[#This Row],[BOOK No.]])</f>
        <v>0</v>
      </c>
      <c r="E935" s="1">
        <f t="array" ref="E935">IF(OR(Table4[[#This Row],[INSTALLMENT]]=1,Table4[[#This Row],[INSTALLMENT]]=2,Table4[[#This Row],[INSTALLMENT]]=3),1,0)</f>
        <v>0</v>
      </c>
      <c r="F935" s="1">
        <f>IF(OR(Table4[[#This Row],[INSTALLMENT]]=2,Table4[[#This Row],[INSTALLMENT]]=3),2,0)</f>
        <v>0</v>
      </c>
      <c r="G935" s="1">
        <f>IF(OR(Table4[[#This Row],[INSTALLMENT]]=3),3,0)</f>
        <v>0</v>
      </c>
    </row>
    <row r="936" spans="1:7">
      <c r="A936" s="1">
        <v>995</v>
      </c>
      <c r="B936" s="1" t="s">
        <v>2645</v>
      </c>
      <c r="C936" s="1" t="s">
        <v>415</v>
      </c>
      <c r="D936" s="1">
        <f>COUNTIFS('Raw Entries'!B:B,Table4[[#This Row],[Name]],'Raw Entries'!I:I,Table4[[#This Row],[BOOK No.]])</f>
        <v>0</v>
      </c>
      <c r="E936" s="1">
        <f t="array" ref="E936">IF(OR(Table4[[#This Row],[INSTALLMENT]]=1,Table4[[#This Row],[INSTALLMENT]]=2,Table4[[#This Row],[INSTALLMENT]]=3),1,0)</f>
        <v>0</v>
      </c>
      <c r="F936" s="1">
        <f>IF(OR(Table4[[#This Row],[INSTALLMENT]]=2,Table4[[#This Row],[INSTALLMENT]]=3),2,0)</f>
        <v>0</v>
      </c>
      <c r="G936" s="1">
        <f>IF(OR(Table4[[#This Row],[INSTALLMENT]]=3),3,0)</f>
        <v>0</v>
      </c>
    </row>
    <row r="937" spans="1:7">
      <c r="A937" s="1">
        <v>996</v>
      </c>
      <c r="B937" s="1" t="s">
        <v>2646</v>
      </c>
      <c r="C937" s="1" t="s">
        <v>415</v>
      </c>
      <c r="D937" s="1">
        <f>COUNTIFS('Raw Entries'!B:B,Table4[[#This Row],[Name]],'Raw Entries'!I:I,Table4[[#This Row],[BOOK No.]])</f>
        <v>0</v>
      </c>
      <c r="E937" s="1">
        <f t="array" ref="E937">IF(OR(Table4[[#This Row],[INSTALLMENT]]=1,Table4[[#This Row],[INSTALLMENT]]=2,Table4[[#This Row],[INSTALLMENT]]=3),1,0)</f>
        <v>0</v>
      </c>
      <c r="F937" s="1">
        <f>IF(OR(Table4[[#This Row],[INSTALLMENT]]=2,Table4[[#This Row],[INSTALLMENT]]=3),2,0)</f>
        <v>0</v>
      </c>
      <c r="G937" s="1">
        <f>IF(OR(Table4[[#This Row],[INSTALLMENT]]=3),3,0)</f>
        <v>0</v>
      </c>
    </row>
    <row r="938" spans="1:7">
      <c r="A938" s="1">
        <v>997</v>
      </c>
      <c r="B938" s="1" t="s">
        <v>2647</v>
      </c>
      <c r="C938" s="1" t="s">
        <v>415</v>
      </c>
      <c r="D938" s="1">
        <f>COUNTIFS('Raw Entries'!B:B,Table4[[#This Row],[Name]],'Raw Entries'!I:I,Table4[[#This Row],[BOOK No.]])</f>
        <v>0</v>
      </c>
      <c r="E938" s="1">
        <f t="array" ref="E938">IF(OR(Table4[[#This Row],[INSTALLMENT]]=1,Table4[[#This Row],[INSTALLMENT]]=2,Table4[[#This Row],[INSTALLMENT]]=3),1,0)</f>
        <v>0</v>
      </c>
      <c r="F938" s="1">
        <f>IF(OR(Table4[[#This Row],[INSTALLMENT]]=2,Table4[[#This Row],[INSTALLMENT]]=3),2,0)</f>
        <v>0</v>
      </c>
      <c r="G938" s="1">
        <f>IF(OR(Table4[[#This Row],[INSTALLMENT]]=3),3,0)</f>
        <v>0</v>
      </c>
    </row>
    <row r="939" spans="1:7">
      <c r="A939" s="1">
        <v>998</v>
      </c>
      <c r="B939" s="1" t="s">
        <v>420</v>
      </c>
      <c r="C939" s="1" t="s">
        <v>415</v>
      </c>
      <c r="D939" s="1">
        <f>COUNTIFS('Raw Entries'!B:B,Table4[[#This Row],[Name]],'Raw Entries'!I:I,Table4[[#This Row],[BOOK No.]])</f>
        <v>1</v>
      </c>
      <c r="E939" s="1">
        <f t="array" ref="E939">IF(OR(Table4[[#This Row],[INSTALLMENT]]=1,Table4[[#This Row],[INSTALLMENT]]=2,Table4[[#This Row],[INSTALLMENT]]=3),1,0)</f>
        <v>1</v>
      </c>
      <c r="F939" s="1">
        <f>IF(OR(Table4[[#This Row],[INSTALLMENT]]=2,Table4[[#This Row],[INSTALLMENT]]=3),2,0)</f>
        <v>0</v>
      </c>
      <c r="G939" s="1">
        <f>IF(OR(Table4[[#This Row],[INSTALLMENT]]=3),3,0)</f>
        <v>0</v>
      </c>
    </row>
    <row r="940" spans="1:7">
      <c r="A940" s="1">
        <v>999</v>
      </c>
      <c r="B940" s="1" t="s">
        <v>2648</v>
      </c>
      <c r="C940" s="1" t="s">
        <v>415</v>
      </c>
      <c r="D940" s="1">
        <f>COUNTIFS('Raw Entries'!B:B,Table4[[#This Row],[Name]],'Raw Entries'!I:I,Table4[[#This Row],[BOOK No.]])</f>
        <v>0</v>
      </c>
      <c r="E940" s="1">
        <f t="array" ref="E940">IF(OR(Table4[[#This Row],[INSTALLMENT]]=1,Table4[[#This Row],[INSTALLMENT]]=2,Table4[[#This Row],[INSTALLMENT]]=3),1,0)</f>
        <v>0</v>
      </c>
      <c r="F940" s="1">
        <f>IF(OR(Table4[[#This Row],[INSTALLMENT]]=2,Table4[[#This Row],[INSTALLMENT]]=3),2,0)</f>
        <v>0</v>
      </c>
      <c r="G940" s="1">
        <f>IF(OR(Table4[[#This Row],[INSTALLMENT]]=3),3,0)</f>
        <v>0</v>
      </c>
    </row>
    <row r="941" spans="1:7">
      <c r="A941" s="1">
        <v>1000</v>
      </c>
      <c r="B941" s="1" t="s">
        <v>2649</v>
      </c>
      <c r="C941" s="1" t="s">
        <v>415</v>
      </c>
      <c r="D941" s="1">
        <f>COUNTIFS('Raw Entries'!B:B,Table4[[#This Row],[Name]],'Raw Entries'!I:I,Table4[[#This Row],[BOOK No.]])</f>
        <v>0</v>
      </c>
      <c r="E941" s="1">
        <f t="array" ref="E941">IF(OR(Table4[[#This Row],[INSTALLMENT]]=1,Table4[[#This Row],[INSTALLMENT]]=2,Table4[[#This Row],[INSTALLMENT]]=3),1,0)</f>
        <v>0</v>
      </c>
      <c r="F941" s="1">
        <f>IF(OR(Table4[[#This Row],[INSTALLMENT]]=2,Table4[[#This Row],[INSTALLMENT]]=3),2,0)</f>
        <v>0</v>
      </c>
      <c r="G941" s="1">
        <f>IF(OR(Table4[[#This Row],[INSTALLMENT]]=3),3,0)</f>
        <v>0</v>
      </c>
    </row>
    <row r="942" spans="1:7">
      <c r="A942" s="1">
        <v>1001</v>
      </c>
      <c r="B942" s="1" t="s">
        <v>2650</v>
      </c>
      <c r="C942" s="1" t="s">
        <v>415</v>
      </c>
      <c r="D942" s="1">
        <f>COUNTIFS('Raw Entries'!B:B,Table4[[#This Row],[Name]],'Raw Entries'!I:I,Table4[[#This Row],[BOOK No.]])</f>
        <v>0</v>
      </c>
      <c r="E942" s="1">
        <f t="array" ref="E942">IF(OR(Table4[[#This Row],[INSTALLMENT]]=1,Table4[[#This Row],[INSTALLMENT]]=2,Table4[[#This Row],[INSTALLMENT]]=3),1,0)</f>
        <v>0</v>
      </c>
      <c r="F942" s="1">
        <f>IF(OR(Table4[[#This Row],[INSTALLMENT]]=2,Table4[[#This Row],[INSTALLMENT]]=3),2,0)</f>
        <v>0</v>
      </c>
      <c r="G942" s="1">
        <f>IF(OR(Table4[[#This Row],[INSTALLMENT]]=3),3,0)</f>
        <v>0</v>
      </c>
    </row>
    <row r="943" spans="1:7">
      <c r="A943" s="1">
        <v>1002</v>
      </c>
      <c r="B943" s="1" t="s">
        <v>2651</v>
      </c>
      <c r="C943" s="1" t="s">
        <v>415</v>
      </c>
      <c r="D943" s="1">
        <f>COUNTIFS('Raw Entries'!B:B,Table4[[#This Row],[Name]],'Raw Entries'!I:I,Table4[[#This Row],[BOOK No.]])</f>
        <v>0</v>
      </c>
      <c r="E943" s="1">
        <f t="array" ref="E943">IF(OR(Table4[[#This Row],[INSTALLMENT]]=1,Table4[[#This Row],[INSTALLMENT]]=2,Table4[[#This Row],[INSTALLMENT]]=3),1,0)</f>
        <v>0</v>
      </c>
      <c r="F943" s="1">
        <f>IF(OR(Table4[[#This Row],[INSTALLMENT]]=2,Table4[[#This Row],[INSTALLMENT]]=3),2,0)</f>
        <v>0</v>
      </c>
      <c r="G943" s="1">
        <f>IF(OR(Table4[[#This Row],[INSTALLMENT]]=3),3,0)</f>
        <v>0</v>
      </c>
    </row>
    <row r="944" spans="1:7">
      <c r="A944" s="1">
        <v>1003</v>
      </c>
      <c r="B944" s="1" t="s">
        <v>2652</v>
      </c>
      <c r="C944" s="1" t="s">
        <v>415</v>
      </c>
      <c r="D944" s="1">
        <f>COUNTIFS('Raw Entries'!B:B,Table4[[#This Row],[Name]],'Raw Entries'!I:I,Table4[[#This Row],[BOOK No.]])</f>
        <v>0</v>
      </c>
      <c r="E944" s="1">
        <f t="array" ref="E944">IF(OR(Table4[[#This Row],[INSTALLMENT]]=1,Table4[[#This Row],[INSTALLMENT]]=2,Table4[[#This Row],[INSTALLMENT]]=3),1,0)</f>
        <v>0</v>
      </c>
      <c r="F944" s="1">
        <f>IF(OR(Table4[[#This Row],[INSTALLMENT]]=2,Table4[[#This Row],[INSTALLMENT]]=3),2,0)</f>
        <v>0</v>
      </c>
      <c r="G944" s="1">
        <f>IF(OR(Table4[[#This Row],[INSTALLMENT]]=3),3,0)</f>
        <v>0</v>
      </c>
    </row>
    <row r="945" spans="1:7">
      <c r="A945" s="1">
        <v>1004</v>
      </c>
      <c r="B945" s="1" t="s">
        <v>1847</v>
      </c>
      <c r="C945" s="1" t="s">
        <v>415</v>
      </c>
      <c r="D945" s="1">
        <f>COUNTIFS('Raw Entries'!B:B,Table4[[#This Row],[Name]],'Raw Entries'!I:I,Table4[[#This Row],[BOOK No.]])</f>
        <v>1</v>
      </c>
      <c r="E945" s="1">
        <f t="array" ref="E945">IF(OR(Table4[[#This Row],[INSTALLMENT]]=1,Table4[[#This Row],[INSTALLMENT]]=2,Table4[[#This Row],[INSTALLMENT]]=3),1,0)</f>
        <v>1</v>
      </c>
      <c r="F945" s="1">
        <f>IF(OR(Table4[[#This Row],[INSTALLMENT]]=2,Table4[[#This Row],[INSTALLMENT]]=3),2,0)</f>
        <v>0</v>
      </c>
      <c r="G945" s="1">
        <f>IF(OR(Table4[[#This Row],[INSTALLMENT]]=3),3,0)</f>
        <v>0</v>
      </c>
    </row>
    <row r="946" spans="1:7">
      <c r="A946" s="1">
        <v>1005</v>
      </c>
      <c r="B946" s="1" t="s">
        <v>2653</v>
      </c>
      <c r="C946" s="1" t="s">
        <v>415</v>
      </c>
      <c r="D946" s="1">
        <f>COUNTIFS('Raw Entries'!B:B,Table4[[#This Row],[Name]],'Raw Entries'!I:I,Table4[[#This Row],[BOOK No.]])</f>
        <v>0</v>
      </c>
      <c r="E946" s="1">
        <f t="array" ref="E946">IF(OR(Table4[[#This Row],[INSTALLMENT]]=1,Table4[[#This Row],[INSTALLMENT]]=2,Table4[[#This Row],[INSTALLMENT]]=3),1,0)</f>
        <v>0</v>
      </c>
      <c r="F946" s="1">
        <f>IF(OR(Table4[[#This Row],[INSTALLMENT]]=2,Table4[[#This Row],[INSTALLMENT]]=3),2,0)</f>
        <v>0</v>
      </c>
      <c r="G946" s="1">
        <f>IF(OR(Table4[[#This Row],[INSTALLMENT]]=3),3,0)</f>
        <v>0</v>
      </c>
    </row>
    <row r="947" spans="1:7">
      <c r="A947" s="1">
        <v>1006</v>
      </c>
      <c r="B947" s="1" t="s">
        <v>2654</v>
      </c>
      <c r="C947" s="1" t="s">
        <v>415</v>
      </c>
      <c r="D947" s="1">
        <f>COUNTIFS('Raw Entries'!B:B,Table4[[#This Row],[Name]],'Raw Entries'!I:I,Table4[[#This Row],[BOOK No.]])</f>
        <v>0</v>
      </c>
      <c r="E947" s="1">
        <f t="array" ref="E947">IF(OR(Table4[[#This Row],[INSTALLMENT]]=1,Table4[[#This Row],[INSTALLMENT]]=2,Table4[[#This Row],[INSTALLMENT]]=3),1,0)</f>
        <v>0</v>
      </c>
      <c r="F947" s="1">
        <f>IF(OR(Table4[[#This Row],[INSTALLMENT]]=2,Table4[[#This Row],[INSTALLMENT]]=3),2,0)</f>
        <v>0</v>
      </c>
      <c r="G947" s="1">
        <f>IF(OR(Table4[[#This Row],[INSTALLMENT]]=3),3,0)</f>
        <v>0</v>
      </c>
    </row>
    <row r="948" spans="1:7">
      <c r="A948" s="1">
        <v>1007</v>
      </c>
      <c r="B948" s="1" t="s">
        <v>2655</v>
      </c>
      <c r="C948" s="1" t="s">
        <v>415</v>
      </c>
      <c r="D948" s="1">
        <f>COUNTIFS('Raw Entries'!B:B,Table4[[#This Row],[Name]],'Raw Entries'!I:I,Table4[[#This Row],[BOOK No.]])</f>
        <v>0</v>
      </c>
      <c r="E948" s="1">
        <f t="array" ref="E948">IF(OR(Table4[[#This Row],[INSTALLMENT]]=1,Table4[[#This Row],[INSTALLMENT]]=2,Table4[[#This Row],[INSTALLMENT]]=3),1,0)</f>
        <v>0</v>
      </c>
      <c r="F948" s="1">
        <f>IF(OR(Table4[[#This Row],[INSTALLMENT]]=2,Table4[[#This Row],[INSTALLMENT]]=3),2,0)</f>
        <v>0</v>
      </c>
      <c r="G948" s="1">
        <f>IF(OR(Table4[[#This Row],[INSTALLMENT]]=3),3,0)</f>
        <v>0</v>
      </c>
    </row>
    <row r="949" spans="1:7">
      <c r="A949" s="1">
        <v>1008</v>
      </c>
      <c r="B949" s="1" t="s">
        <v>2656</v>
      </c>
      <c r="C949" s="1" t="s">
        <v>415</v>
      </c>
      <c r="D949" s="1">
        <f>COUNTIFS('Raw Entries'!B:B,Table4[[#This Row],[Name]],'Raw Entries'!I:I,Table4[[#This Row],[BOOK No.]])</f>
        <v>0</v>
      </c>
      <c r="E949" s="1">
        <f t="array" ref="E949">IF(OR(Table4[[#This Row],[INSTALLMENT]]=1,Table4[[#This Row],[INSTALLMENT]]=2,Table4[[#This Row],[INSTALLMENT]]=3),1,0)</f>
        <v>0</v>
      </c>
      <c r="F949" s="1">
        <f>IF(OR(Table4[[#This Row],[INSTALLMENT]]=2,Table4[[#This Row],[INSTALLMENT]]=3),2,0)</f>
        <v>0</v>
      </c>
      <c r="G949" s="1">
        <f>IF(OR(Table4[[#This Row],[INSTALLMENT]]=3),3,0)</f>
        <v>0</v>
      </c>
    </row>
    <row r="950" spans="1:7">
      <c r="A950" s="1">
        <v>1009</v>
      </c>
      <c r="B950" s="1" t="s">
        <v>2657</v>
      </c>
      <c r="C950" s="1" t="s">
        <v>415</v>
      </c>
      <c r="D950" s="1">
        <f>COUNTIFS('Raw Entries'!B:B,Table4[[#This Row],[Name]],'Raw Entries'!I:I,Table4[[#This Row],[BOOK No.]])</f>
        <v>0</v>
      </c>
      <c r="E950" s="1">
        <f t="array" ref="E950">IF(OR(Table4[[#This Row],[INSTALLMENT]]=1,Table4[[#This Row],[INSTALLMENT]]=2,Table4[[#This Row],[INSTALLMENT]]=3),1,0)</f>
        <v>0</v>
      </c>
      <c r="F950" s="1">
        <f>IF(OR(Table4[[#This Row],[INSTALLMENT]]=2,Table4[[#This Row],[INSTALLMENT]]=3),2,0)</f>
        <v>0</v>
      </c>
      <c r="G950" s="1">
        <f>IF(OR(Table4[[#This Row],[INSTALLMENT]]=3),3,0)</f>
        <v>0</v>
      </c>
    </row>
    <row r="951" spans="1:7">
      <c r="A951" s="1">
        <v>1010</v>
      </c>
      <c r="B951" s="1" t="s">
        <v>416</v>
      </c>
      <c r="C951" s="1" t="s">
        <v>415</v>
      </c>
      <c r="D951" s="1">
        <f>COUNTIFS('Raw Entries'!B:B,Table4[[#This Row],[Name]],'Raw Entries'!I:I,Table4[[#This Row],[BOOK No.]])</f>
        <v>1</v>
      </c>
      <c r="E951" s="1">
        <f t="array" ref="E951">IF(OR(Table4[[#This Row],[INSTALLMENT]]=1,Table4[[#This Row],[INSTALLMENT]]=2,Table4[[#This Row],[INSTALLMENT]]=3),1,0)</f>
        <v>1</v>
      </c>
      <c r="F951" s="1">
        <f>IF(OR(Table4[[#This Row],[INSTALLMENT]]=2,Table4[[#This Row],[INSTALLMENT]]=3),2,0)</f>
        <v>0</v>
      </c>
      <c r="G951" s="1">
        <f>IF(OR(Table4[[#This Row],[INSTALLMENT]]=3),3,0)</f>
        <v>0</v>
      </c>
    </row>
    <row r="952" spans="1:7">
      <c r="A952" s="1">
        <v>1011</v>
      </c>
      <c r="B952" s="1" t="s">
        <v>2658</v>
      </c>
      <c r="C952" s="1" t="s">
        <v>415</v>
      </c>
      <c r="D952" s="1">
        <f>COUNTIFS('Raw Entries'!B:B,Table4[[#This Row],[Name]],'Raw Entries'!I:I,Table4[[#This Row],[BOOK No.]])</f>
        <v>0</v>
      </c>
      <c r="E952" s="1">
        <f t="array" ref="E952">IF(OR(Table4[[#This Row],[INSTALLMENT]]=1,Table4[[#This Row],[INSTALLMENT]]=2,Table4[[#This Row],[INSTALLMENT]]=3),1,0)</f>
        <v>0</v>
      </c>
      <c r="F952" s="1">
        <f>IF(OR(Table4[[#This Row],[INSTALLMENT]]=2,Table4[[#This Row],[INSTALLMENT]]=3),2,0)</f>
        <v>0</v>
      </c>
      <c r="G952" s="1">
        <f>IF(OR(Table4[[#This Row],[INSTALLMENT]]=3),3,0)</f>
        <v>0</v>
      </c>
    </row>
    <row r="953" spans="1:7">
      <c r="A953" s="1">
        <v>1012</v>
      </c>
      <c r="B953" s="1" t="s">
        <v>417</v>
      </c>
      <c r="C953" s="1" t="s">
        <v>415</v>
      </c>
      <c r="D953" s="1">
        <f>COUNTIFS('Raw Entries'!B:B,Table4[[#This Row],[Name]],'Raw Entries'!I:I,Table4[[#This Row],[BOOK No.]])</f>
        <v>2</v>
      </c>
      <c r="E953" s="1">
        <f t="array" ref="E953">IF(OR(Table4[[#This Row],[INSTALLMENT]]=1,Table4[[#This Row],[INSTALLMENT]]=2,Table4[[#This Row],[INSTALLMENT]]=3),1,0)</f>
        <v>1</v>
      </c>
      <c r="F953" s="1">
        <f>IF(OR(Table4[[#This Row],[INSTALLMENT]]=2,Table4[[#This Row],[INSTALLMENT]]=3),2,0)</f>
        <v>2</v>
      </c>
      <c r="G953" s="1">
        <f>IF(OR(Table4[[#This Row],[INSTALLMENT]]=3),3,0)</f>
        <v>0</v>
      </c>
    </row>
    <row r="954" spans="1:7">
      <c r="A954" s="1">
        <v>1013</v>
      </c>
      <c r="B954" s="1" t="s">
        <v>2659</v>
      </c>
      <c r="C954" s="1" t="s">
        <v>415</v>
      </c>
      <c r="D954" s="1">
        <f>COUNTIFS('Raw Entries'!B:B,Table4[[#This Row],[Name]],'Raw Entries'!I:I,Table4[[#This Row],[BOOK No.]])</f>
        <v>0</v>
      </c>
      <c r="E954" s="1">
        <f t="array" ref="E954">IF(OR(Table4[[#This Row],[INSTALLMENT]]=1,Table4[[#This Row],[INSTALLMENT]]=2,Table4[[#This Row],[INSTALLMENT]]=3),1,0)</f>
        <v>0</v>
      </c>
      <c r="F954" s="1">
        <f>IF(OR(Table4[[#This Row],[INSTALLMENT]]=2,Table4[[#This Row],[INSTALLMENT]]=3),2,0)</f>
        <v>0</v>
      </c>
      <c r="G954" s="1">
        <f>IF(OR(Table4[[#This Row],[INSTALLMENT]]=3),3,0)</f>
        <v>0</v>
      </c>
    </row>
    <row r="955" spans="1:7">
      <c r="A955" s="1">
        <v>1014</v>
      </c>
      <c r="B955" s="1" t="s">
        <v>2660</v>
      </c>
      <c r="C955" s="1" t="s">
        <v>415</v>
      </c>
      <c r="D955" s="1">
        <f>COUNTIFS('Raw Entries'!B:B,Table4[[#This Row],[Name]],'Raw Entries'!I:I,Table4[[#This Row],[BOOK No.]])</f>
        <v>0</v>
      </c>
      <c r="E955" s="1">
        <f t="array" ref="E955">IF(OR(Table4[[#This Row],[INSTALLMENT]]=1,Table4[[#This Row],[INSTALLMENT]]=2,Table4[[#This Row],[INSTALLMENT]]=3),1,0)</f>
        <v>0</v>
      </c>
      <c r="F955" s="1">
        <f>IF(OR(Table4[[#This Row],[INSTALLMENT]]=2,Table4[[#This Row],[INSTALLMENT]]=3),2,0)</f>
        <v>0</v>
      </c>
      <c r="G955" s="1">
        <f>IF(OR(Table4[[#This Row],[INSTALLMENT]]=3),3,0)</f>
        <v>0</v>
      </c>
    </row>
    <row r="956" spans="1:7">
      <c r="A956" s="1">
        <v>1015</v>
      </c>
      <c r="B956" s="1" t="s">
        <v>2661</v>
      </c>
      <c r="C956" s="1" t="s">
        <v>415</v>
      </c>
      <c r="D956" s="1">
        <f>COUNTIFS('Raw Entries'!B:B,Table4[[#This Row],[Name]],'Raw Entries'!I:I,Table4[[#This Row],[BOOK No.]])</f>
        <v>0</v>
      </c>
      <c r="E956" s="1">
        <f t="array" ref="E956">IF(OR(Table4[[#This Row],[INSTALLMENT]]=1,Table4[[#This Row],[INSTALLMENT]]=2,Table4[[#This Row],[INSTALLMENT]]=3),1,0)</f>
        <v>0</v>
      </c>
      <c r="F956" s="1">
        <f>IF(OR(Table4[[#This Row],[INSTALLMENT]]=2,Table4[[#This Row],[INSTALLMENT]]=3),2,0)</f>
        <v>0</v>
      </c>
      <c r="G956" s="1">
        <f>IF(OR(Table4[[#This Row],[INSTALLMENT]]=3),3,0)</f>
        <v>0</v>
      </c>
    </row>
    <row r="957" spans="1:7">
      <c r="A957" s="1">
        <v>1016</v>
      </c>
      <c r="B957" s="1" t="s">
        <v>2662</v>
      </c>
      <c r="C957" s="1" t="s">
        <v>415</v>
      </c>
      <c r="D957" s="1">
        <f>COUNTIFS('Raw Entries'!B:B,Table4[[#This Row],[Name]],'Raw Entries'!I:I,Table4[[#This Row],[BOOK No.]])</f>
        <v>0</v>
      </c>
      <c r="E957" s="1">
        <f t="array" ref="E957">IF(OR(Table4[[#This Row],[INSTALLMENT]]=1,Table4[[#This Row],[INSTALLMENT]]=2,Table4[[#This Row],[INSTALLMENT]]=3),1,0)</f>
        <v>0</v>
      </c>
      <c r="F957" s="1">
        <f>IF(OR(Table4[[#This Row],[INSTALLMENT]]=2,Table4[[#This Row],[INSTALLMENT]]=3),2,0)</f>
        <v>0</v>
      </c>
      <c r="G957" s="1">
        <f>IF(OR(Table4[[#This Row],[INSTALLMENT]]=3),3,0)</f>
        <v>0</v>
      </c>
    </row>
    <row r="958" spans="1:7">
      <c r="A958" s="1">
        <v>1017</v>
      </c>
      <c r="B958" s="1" t="s">
        <v>2663</v>
      </c>
      <c r="C958" s="1" t="s">
        <v>415</v>
      </c>
      <c r="D958" s="1">
        <f>COUNTIFS('Raw Entries'!B:B,Table4[[#This Row],[Name]],'Raw Entries'!I:I,Table4[[#This Row],[BOOK No.]])</f>
        <v>0</v>
      </c>
      <c r="E958" s="1">
        <f t="array" ref="E958">IF(OR(Table4[[#This Row],[INSTALLMENT]]=1,Table4[[#This Row],[INSTALLMENT]]=2,Table4[[#This Row],[INSTALLMENT]]=3),1,0)</f>
        <v>0</v>
      </c>
      <c r="F958" s="1">
        <f>IF(OR(Table4[[#This Row],[INSTALLMENT]]=2,Table4[[#This Row],[INSTALLMENT]]=3),2,0)</f>
        <v>0</v>
      </c>
      <c r="G958" s="1">
        <f>IF(OR(Table4[[#This Row],[INSTALLMENT]]=3),3,0)</f>
        <v>0</v>
      </c>
    </row>
    <row r="959" spans="1:7">
      <c r="A959" s="1">
        <v>1018</v>
      </c>
      <c r="B959" s="1" t="s">
        <v>378</v>
      </c>
      <c r="C959" s="1" t="s">
        <v>374</v>
      </c>
      <c r="D959" s="1">
        <f>COUNTIFS('Raw Entries'!B:B,Table4[[#This Row],[Name]],'Raw Entries'!I:I,Table4[[#This Row],[BOOK No.]])</f>
        <v>1</v>
      </c>
      <c r="E959" s="1">
        <f t="array" ref="E959">IF(OR(Table4[[#This Row],[INSTALLMENT]]=1,Table4[[#This Row],[INSTALLMENT]]=2,Table4[[#This Row],[INSTALLMENT]]=3),1,0)</f>
        <v>1</v>
      </c>
      <c r="F959" s="1">
        <f>IF(OR(Table4[[#This Row],[INSTALLMENT]]=2,Table4[[#This Row],[INSTALLMENT]]=3),2,0)</f>
        <v>0</v>
      </c>
      <c r="G959" s="1">
        <f>IF(OR(Table4[[#This Row],[INSTALLMENT]]=3),3,0)</f>
        <v>0</v>
      </c>
    </row>
    <row r="960" spans="1:7">
      <c r="A960" s="1">
        <v>1019</v>
      </c>
      <c r="B960" s="1" t="s">
        <v>2664</v>
      </c>
      <c r="C960" s="1" t="s">
        <v>374</v>
      </c>
      <c r="D960" s="1">
        <f>COUNTIFS('Raw Entries'!B:B,Table4[[#This Row],[Name]],'Raw Entries'!I:I,Table4[[#This Row],[BOOK No.]])</f>
        <v>0</v>
      </c>
      <c r="E960" s="1">
        <f t="array" ref="E960">IF(OR(Table4[[#This Row],[INSTALLMENT]]=1,Table4[[#This Row],[INSTALLMENT]]=2,Table4[[#This Row],[INSTALLMENT]]=3),1,0)</f>
        <v>0</v>
      </c>
      <c r="F960" s="1">
        <f>IF(OR(Table4[[#This Row],[INSTALLMENT]]=2,Table4[[#This Row],[INSTALLMENT]]=3),2,0)</f>
        <v>0</v>
      </c>
      <c r="G960" s="1">
        <f>IF(OR(Table4[[#This Row],[INSTALLMENT]]=3),3,0)</f>
        <v>0</v>
      </c>
    </row>
    <row r="961" spans="1:7">
      <c r="A961" s="1">
        <v>1020</v>
      </c>
      <c r="B961" s="1" t="s">
        <v>2665</v>
      </c>
      <c r="C961" s="1" t="s">
        <v>397</v>
      </c>
      <c r="D961" s="1">
        <f>COUNTIFS('Raw Entries'!B:B,Table4[[#This Row],[Name]],'Raw Entries'!I:I,Table4[[#This Row],[BOOK No.]])</f>
        <v>0</v>
      </c>
      <c r="E961" s="1">
        <f t="array" ref="E961">IF(OR(Table4[[#This Row],[INSTALLMENT]]=1,Table4[[#This Row],[INSTALLMENT]]=2,Table4[[#This Row],[INSTALLMENT]]=3),1,0)</f>
        <v>0</v>
      </c>
      <c r="F961" s="1">
        <f>IF(OR(Table4[[#This Row],[INSTALLMENT]]=2,Table4[[#This Row],[INSTALLMENT]]=3),2,0)</f>
        <v>0</v>
      </c>
      <c r="G961" s="1">
        <f>IF(OR(Table4[[#This Row],[INSTALLMENT]]=3),3,0)</f>
        <v>0</v>
      </c>
    </row>
    <row r="962" spans="1:7">
      <c r="A962" s="1">
        <v>1021</v>
      </c>
      <c r="B962" s="1" t="s">
        <v>2666</v>
      </c>
      <c r="C962" s="1" t="s">
        <v>397</v>
      </c>
      <c r="D962" s="1">
        <f>COUNTIFS('Raw Entries'!B:B,Table4[[#This Row],[Name]],'Raw Entries'!I:I,Table4[[#This Row],[BOOK No.]])</f>
        <v>0</v>
      </c>
      <c r="E962" s="1">
        <f t="array" ref="E962">IF(OR(Table4[[#This Row],[INSTALLMENT]]=1,Table4[[#This Row],[INSTALLMENT]]=2,Table4[[#This Row],[INSTALLMENT]]=3),1,0)</f>
        <v>0</v>
      </c>
      <c r="F962" s="1">
        <f>IF(OR(Table4[[#This Row],[INSTALLMENT]]=2,Table4[[#This Row],[INSTALLMENT]]=3),2,0)</f>
        <v>0</v>
      </c>
      <c r="G962" s="1">
        <f>IF(OR(Table4[[#This Row],[INSTALLMENT]]=3),3,0)</f>
        <v>0</v>
      </c>
    </row>
    <row r="963" spans="1:7">
      <c r="A963" s="1">
        <v>1022</v>
      </c>
      <c r="B963" s="1" t="s">
        <v>408</v>
      </c>
      <c r="C963" s="1" t="s">
        <v>397</v>
      </c>
      <c r="D963" s="1">
        <f>COUNTIFS('Raw Entries'!B:B,Table4[[#This Row],[Name]],'Raw Entries'!I:I,Table4[[#This Row],[BOOK No.]])</f>
        <v>1</v>
      </c>
      <c r="E963" s="1">
        <f t="array" ref="E963">IF(OR(Table4[[#This Row],[INSTALLMENT]]=1,Table4[[#This Row],[INSTALLMENT]]=2,Table4[[#This Row],[INSTALLMENT]]=3),1,0)</f>
        <v>1</v>
      </c>
      <c r="F963" s="1">
        <f>IF(OR(Table4[[#This Row],[INSTALLMENT]]=2,Table4[[#This Row],[INSTALLMENT]]=3),2,0)</f>
        <v>0</v>
      </c>
      <c r="G963" s="1">
        <f>IF(OR(Table4[[#This Row],[INSTALLMENT]]=3),3,0)</f>
        <v>0</v>
      </c>
    </row>
    <row r="964" spans="1:7">
      <c r="A964" s="1">
        <v>1023</v>
      </c>
      <c r="B964" s="1" t="s">
        <v>2667</v>
      </c>
      <c r="C964" s="1" t="s">
        <v>440</v>
      </c>
      <c r="D964" s="1">
        <f>COUNTIFS('Raw Entries'!B:B,Table4[[#This Row],[Name]],'Raw Entries'!I:I,Table4[[#This Row],[BOOK No.]])</f>
        <v>0</v>
      </c>
      <c r="E964" s="1">
        <f t="array" ref="E964">IF(OR(Table4[[#This Row],[INSTALLMENT]]=1,Table4[[#This Row],[INSTALLMENT]]=2,Table4[[#This Row],[INSTALLMENT]]=3),1,0)</f>
        <v>0</v>
      </c>
      <c r="F964" s="1">
        <f>IF(OR(Table4[[#This Row],[INSTALLMENT]]=2,Table4[[#This Row],[INSTALLMENT]]=3),2,0)</f>
        <v>0</v>
      </c>
      <c r="G964" s="1">
        <f>IF(OR(Table4[[#This Row],[INSTALLMENT]]=3),3,0)</f>
        <v>0</v>
      </c>
    </row>
    <row r="965" spans="1:7">
      <c r="A965" s="1">
        <v>1024</v>
      </c>
      <c r="B965" s="1" t="s">
        <v>2668</v>
      </c>
      <c r="C965" s="1" t="s">
        <v>440</v>
      </c>
      <c r="D965" s="1">
        <f>COUNTIFS('Raw Entries'!B:B,Table4[[#This Row],[Name]],'Raw Entries'!I:I,Table4[[#This Row],[BOOK No.]])</f>
        <v>0</v>
      </c>
      <c r="E965" s="1">
        <f t="array" ref="E965">IF(OR(Table4[[#This Row],[INSTALLMENT]]=1,Table4[[#This Row],[INSTALLMENT]]=2,Table4[[#This Row],[INSTALLMENT]]=3),1,0)</f>
        <v>0</v>
      </c>
      <c r="F965" s="1">
        <f>IF(OR(Table4[[#This Row],[INSTALLMENT]]=2,Table4[[#This Row],[INSTALLMENT]]=3),2,0)</f>
        <v>0</v>
      </c>
      <c r="G965" s="1">
        <f>IF(OR(Table4[[#This Row],[INSTALLMENT]]=3),3,0)</f>
        <v>0</v>
      </c>
    </row>
    <row r="966" spans="1:7">
      <c r="A966" s="1">
        <v>1025</v>
      </c>
      <c r="B966" s="1" t="s">
        <v>2610</v>
      </c>
      <c r="C966" s="1" t="s">
        <v>440</v>
      </c>
      <c r="D966" s="1">
        <f>COUNTIFS('Raw Entries'!B:B,Table4[[#This Row],[Name]],'Raw Entries'!I:I,Table4[[#This Row],[BOOK No.]])</f>
        <v>0</v>
      </c>
      <c r="E966" s="1">
        <f t="array" ref="E966">IF(OR(Table4[[#This Row],[INSTALLMENT]]=1,Table4[[#This Row],[INSTALLMENT]]=2,Table4[[#This Row],[INSTALLMENT]]=3),1,0)</f>
        <v>0</v>
      </c>
      <c r="F966" s="1">
        <f>IF(OR(Table4[[#This Row],[INSTALLMENT]]=2,Table4[[#This Row],[INSTALLMENT]]=3),2,0)</f>
        <v>0</v>
      </c>
      <c r="G966" s="1">
        <f>IF(OR(Table4[[#This Row],[INSTALLMENT]]=3),3,0)</f>
        <v>0</v>
      </c>
    </row>
    <row r="967" spans="1:7">
      <c r="A967" s="1">
        <v>1026</v>
      </c>
      <c r="B967" s="1" t="s">
        <v>2669</v>
      </c>
      <c r="C967" s="1" t="s">
        <v>436</v>
      </c>
      <c r="D967" s="1">
        <f>COUNTIFS('Raw Entries'!B:B,Table4[[#This Row],[Name]],'Raw Entries'!I:I,Table4[[#This Row],[BOOK No.]])</f>
        <v>0</v>
      </c>
      <c r="E967" s="1">
        <f t="array" ref="E967">IF(OR(Table4[[#This Row],[INSTALLMENT]]=1,Table4[[#This Row],[INSTALLMENT]]=2,Table4[[#This Row],[INSTALLMENT]]=3),1,0)</f>
        <v>0</v>
      </c>
      <c r="F967" s="1">
        <f>IF(OR(Table4[[#This Row],[INSTALLMENT]]=2,Table4[[#This Row],[INSTALLMENT]]=3),2,0)</f>
        <v>0</v>
      </c>
      <c r="G967" s="1">
        <f>IF(OR(Table4[[#This Row],[INSTALLMENT]]=3),3,0)</f>
        <v>0</v>
      </c>
    </row>
    <row r="968" spans="1:7">
      <c r="A968" s="1">
        <v>1027</v>
      </c>
      <c r="B968" s="1" t="s">
        <v>438</v>
      </c>
      <c r="C968" s="1" t="s">
        <v>436</v>
      </c>
      <c r="D968" s="1">
        <f>COUNTIFS('Raw Entries'!B:B,Table4[[#This Row],[Name]],'Raw Entries'!I:I,Table4[[#This Row],[BOOK No.]])</f>
        <v>1</v>
      </c>
      <c r="E968" s="1">
        <f t="array" ref="E968">IF(OR(Table4[[#This Row],[INSTALLMENT]]=1,Table4[[#This Row],[INSTALLMENT]]=2,Table4[[#This Row],[INSTALLMENT]]=3),1,0)</f>
        <v>1</v>
      </c>
      <c r="F968" s="1">
        <f>IF(OR(Table4[[#This Row],[INSTALLMENT]]=2,Table4[[#This Row],[INSTALLMENT]]=3),2,0)</f>
        <v>0</v>
      </c>
      <c r="G968" s="1">
        <f>IF(OR(Table4[[#This Row],[INSTALLMENT]]=3),3,0)</f>
        <v>0</v>
      </c>
    </row>
    <row r="969" spans="1:7">
      <c r="A969" s="1">
        <v>1028</v>
      </c>
      <c r="B969" s="1" t="s">
        <v>2670</v>
      </c>
      <c r="C969" s="1" t="s">
        <v>440</v>
      </c>
      <c r="D969" s="1">
        <f>COUNTIFS('Raw Entries'!B:B,Table4[[#This Row],[Name]],'Raw Entries'!I:I,Table4[[#This Row],[BOOK No.]])</f>
        <v>0</v>
      </c>
      <c r="E969" s="1">
        <f t="array" ref="E969">IF(OR(Table4[[#This Row],[INSTALLMENT]]=1,Table4[[#This Row],[INSTALLMENT]]=2,Table4[[#This Row],[INSTALLMENT]]=3),1,0)</f>
        <v>0</v>
      </c>
      <c r="F969" s="1">
        <f>IF(OR(Table4[[#This Row],[INSTALLMENT]]=2,Table4[[#This Row],[INSTALLMENT]]=3),2,0)</f>
        <v>0</v>
      </c>
      <c r="G969" s="1">
        <f>IF(OR(Table4[[#This Row],[INSTALLMENT]]=3),3,0)</f>
        <v>0</v>
      </c>
    </row>
    <row r="970" spans="1:7">
      <c r="A970" s="1">
        <v>1029</v>
      </c>
      <c r="B970" s="1" t="s">
        <v>2671</v>
      </c>
      <c r="C970" s="1" t="s">
        <v>440</v>
      </c>
      <c r="D970" s="1">
        <f>COUNTIFS('Raw Entries'!B:B,Table4[[#This Row],[Name]],'Raw Entries'!I:I,Table4[[#This Row],[BOOK No.]])</f>
        <v>0</v>
      </c>
      <c r="E970" s="1">
        <f t="array" ref="E970">IF(OR(Table4[[#This Row],[INSTALLMENT]]=1,Table4[[#This Row],[INSTALLMENT]]=2,Table4[[#This Row],[INSTALLMENT]]=3),1,0)</f>
        <v>0</v>
      </c>
      <c r="F970" s="1">
        <f>IF(OR(Table4[[#This Row],[INSTALLMENT]]=2,Table4[[#This Row],[INSTALLMENT]]=3),2,0)</f>
        <v>0</v>
      </c>
      <c r="G970" s="1">
        <f>IF(OR(Table4[[#This Row],[INSTALLMENT]]=3),3,0)</f>
        <v>0</v>
      </c>
    </row>
    <row r="971" spans="1:7">
      <c r="A971" s="1">
        <v>1262</v>
      </c>
      <c r="B971" s="1" t="s">
        <v>2672</v>
      </c>
      <c r="C971" s="1" t="s">
        <v>440</v>
      </c>
      <c r="D971" s="1">
        <f>COUNTIFS('Raw Entries'!B:B,Table4[[#This Row],[Name]],'Raw Entries'!I:I,Table4[[#This Row],[BOOK No.]])</f>
        <v>0</v>
      </c>
      <c r="E971" s="1">
        <f t="array" ref="E971">IF(OR(Table4[[#This Row],[INSTALLMENT]]=1,Table4[[#This Row],[INSTALLMENT]]=2,Table4[[#This Row],[INSTALLMENT]]=3),1,0)</f>
        <v>0</v>
      </c>
      <c r="F971" s="1">
        <f>IF(OR(Table4[[#This Row],[INSTALLMENT]]=2,Table4[[#This Row],[INSTALLMENT]]=3),2,0)</f>
        <v>0</v>
      </c>
      <c r="G971" s="1">
        <f>IF(OR(Table4[[#This Row],[INSTALLMENT]]=3),3,0)</f>
        <v>0</v>
      </c>
    </row>
    <row r="972" spans="1:7">
      <c r="A972" s="1">
        <v>1263</v>
      </c>
      <c r="B972" s="1" t="s">
        <v>2673</v>
      </c>
      <c r="C972" s="1" t="s">
        <v>440</v>
      </c>
      <c r="D972" s="1">
        <f>COUNTIFS('Raw Entries'!B:B,Table4[[#This Row],[Name]],'Raw Entries'!I:I,Table4[[#This Row],[BOOK No.]])</f>
        <v>0</v>
      </c>
      <c r="E972" s="1">
        <f t="array" ref="E972">IF(OR(Table4[[#This Row],[INSTALLMENT]]=1,Table4[[#This Row],[INSTALLMENT]]=2,Table4[[#This Row],[INSTALLMENT]]=3),1,0)</f>
        <v>0</v>
      </c>
      <c r="F972" s="1">
        <f>IF(OR(Table4[[#This Row],[INSTALLMENT]]=2,Table4[[#This Row],[INSTALLMENT]]=3),2,0)</f>
        <v>0</v>
      </c>
      <c r="G972" s="1">
        <f>IF(OR(Table4[[#This Row],[INSTALLMENT]]=3),3,0)</f>
        <v>0</v>
      </c>
    </row>
    <row r="973" spans="1:7">
      <c r="A973" s="1">
        <v>1030</v>
      </c>
      <c r="B973" s="1" t="s">
        <v>2674</v>
      </c>
      <c r="C973" s="1" t="s">
        <v>421</v>
      </c>
      <c r="D973" s="1">
        <f>COUNTIFS('Raw Entries'!B:B,Table4[[#This Row],[Name]],'Raw Entries'!I:I,Table4[[#This Row],[BOOK No.]])</f>
        <v>0</v>
      </c>
      <c r="E973" s="1">
        <f t="array" ref="E973">IF(OR(Table4[[#This Row],[INSTALLMENT]]=1,Table4[[#This Row],[INSTALLMENT]]=2,Table4[[#This Row],[INSTALLMENT]]=3),1,0)</f>
        <v>0</v>
      </c>
      <c r="F973" s="1">
        <f>IF(OR(Table4[[#This Row],[INSTALLMENT]]=2,Table4[[#This Row],[INSTALLMENT]]=3),2,0)</f>
        <v>0</v>
      </c>
      <c r="G973" s="1">
        <f>IF(OR(Table4[[#This Row],[INSTALLMENT]]=3),3,0)</f>
        <v>0</v>
      </c>
    </row>
    <row r="974" spans="1:7">
      <c r="A974" s="1">
        <v>1283</v>
      </c>
      <c r="B974" s="1" t="s">
        <v>2675</v>
      </c>
      <c r="C974" s="1" t="s">
        <v>565</v>
      </c>
      <c r="D974" s="1">
        <f>COUNTIFS('Raw Entries'!B:B,Table4[[#This Row],[Name]],'Raw Entries'!I:I,Table4[[#This Row],[BOOK No.]])</f>
        <v>0</v>
      </c>
      <c r="E974" s="1">
        <f t="array" ref="E974">IF(OR(Table4[[#This Row],[INSTALLMENT]]=1,Table4[[#This Row],[INSTALLMENT]]=2,Table4[[#This Row],[INSTALLMENT]]=3),1,0)</f>
        <v>0</v>
      </c>
      <c r="F974" s="1">
        <f>IF(OR(Table4[[#This Row],[INSTALLMENT]]=2,Table4[[#This Row],[INSTALLMENT]]=3),2,0)</f>
        <v>0</v>
      </c>
      <c r="G974" s="1">
        <f>IF(OR(Table4[[#This Row],[INSTALLMENT]]=3),3,0)</f>
        <v>0</v>
      </c>
    </row>
    <row r="975" spans="1:7">
      <c r="A975" s="1">
        <v>1284</v>
      </c>
      <c r="B975" s="1" t="s">
        <v>2676</v>
      </c>
      <c r="C975" s="1" t="s">
        <v>565</v>
      </c>
      <c r="D975" s="1">
        <f>COUNTIFS('Raw Entries'!B:B,Table4[[#This Row],[Name]],'Raw Entries'!I:I,Table4[[#This Row],[BOOK No.]])</f>
        <v>0</v>
      </c>
      <c r="E975" s="1">
        <f t="array" ref="E975">IF(OR(Table4[[#This Row],[INSTALLMENT]]=1,Table4[[#This Row],[INSTALLMENT]]=2,Table4[[#This Row],[INSTALLMENT]]=3),1,0)</f>
        <v>0</v>
      </c>
      <c r="F975" s="1">
        <f>IF(OR(Table4[[#This Row],[INSTALLMENT]]=2,Table4[[#This Row],[INSTALLMENT]]=3),2,0)</f>
        <v>0</v>
      </c>
      <c r="G975" s="1">
        <f>IF(OR(Table4[[#This Row],[INSTALLMENT]]=3),3,0)</f>
        <v>0</v>
      </c>
    </row>
    <row r="976" spans="1:7">
      <c r="A976" s="1">
        <v>1286</v>
      </c>
      <c r="B976" s="1" t="s">
        <v>2677</v>
      </c>
      <c r="C976" s="1" t="s">
        <v>565</v>
      </c>
      <c r="D976" s="1">
        <f>COUNTIFS('Raw Entries'!B:B,Table4[[#This Row],[Name]],'Raw Entries'!I:I,Table4[[#This Row],[BOOK No.]])</f>
        <v>0</v>
      </c>
      <c r="E976" s="1">
        <f t="array" ref="E976">IF(OR(Table4[[#This Row],[INSTALLMENT]]=1,Table4[[#This Row],[INSTALLMENT]]=2,Table4[[#This Row],[INSTALLMENT]]=3),1,0)</f>
        <v>0</v>
      </c>
      <c r="F976" s="1">
        <f>IF(OR(Table4[[#This Row],[INSTALLMENT]]=2,Table4[[#This Row],[INSTALLMENT]]=3),2,0)</f>
        <v>0</v>
      </c>
      <c r="G976" s="1">
        <f>IF(OR(Table4[[#This Row],[INSTALLMENT]]=3),3,0)</f>
        <v>0</v>
      </c>
    </row>
    <row r="977" spans="1:7">
      <c r="A977" s="1">
        <v>1287</v>
      </c>
      <c r="B977" s="1" t="s">
        <v>2678</v>
      </c>
      <c r="C977" s="1" t="s">
        <v>569</v>
      </c>
      <c r="D977" s="1">
        <f>COUNTIFS('Raw Entries'!B:B,Table4[[#This Row],[Name]],'Raw Entries'!I:I,Table4[[#This Row],[BOOK No.]])</f>
        <v>0</v>
      </c>
      <c r="E977" s="1">
        <f t="array" ref="E977">IF(OR(Table4[[#This Row],[INSTALLMENT]]=1,Table4[[#This Row],[INSTALLMENT]]=2,Table4[[#This Row],[INSTALLMENT]]=3),1,0)</f>
        <v>0</v>
      </c>
      <c r="F977" s="1">
        <f>IF(OR(Table4[[#This Row],[INSTALLMENT]]=2,Table4[[#This Row],[INSTALLMENT]]=3),2,0)</f>
        <v>0</v>
      </c>
      <c r="G977" s="1">
        <f>IF(OR(Table4[[#This Row],[INSTALLMENT]]=3),3,0)</f>
        <v>0</v>
      </c>
    </row>
    <row r="978" spans="1:7">
      <c r="A978" s="1">
        <v>1289</v>
      </c>
      <c r="B978" s="1" t="s">
        <v>2679</v>
      </c>
      <c r="C978" s="1" t="s">
        <v>569</v>
      </c>
      <c r="D978" s="1">
        <f>COUNTIFS('Raw Entries'!B:B,Table4[[#This Row],[Name]],'Raw Entries'!I:I,Table4[[#This Row],[BOOK No.]])</f>
        <v>0</v>
      </c>
      <c r="E978" s="1">
        <f t="array" ref="E978">IF(OR(Table4[[#This Row],[INSTALLMENT]]=1,Table4[[#This Row],[INSTALLMENT]]=2,Table4[[#This Row],[INSTALLMENT]]=3),1,0)</f>
        <v>0</v>
      </c>
      <c r="F978" s="1">
        <f>IF(OR(Table4[[#This Row],[INSTALLMENT]]=2,Table4[[#This Row],[INSTALLMENT]]=3),2,0)</f>
        <v>0</v>
      </c>
      <c r="G978" s="1">
        <f>IF(OR(Table4[[#This Row],[INSTALLMENT]]=3),3,0)</f>
        <v>0</v>
      </c>
    </row>
    <row r="979" spans="1:7">
      <c r="A979" s="1">
        <v>1290</v>
      </c>
      <c r="B979" s="1" t="s">
        <v>2680</v>
      </c>
      <c r="C979" s="1" t="s">
        <v>569</v>
      </c>
      <c r="D979" s="1">
        <f>COUNTIFS('Raw Entries'!B:B,Table4[[#This Row],[Name]],'Raw Entries'!I:I,Table4[[#This Row],[BOOK No.]])</f>
        <v>0</v>
      </c>
      <c r="E979" s="1">
        <f t="array" ref="E979">IF(OR(Table4[[#This Row],[INSTALLMENT]]=1,Table4[[#This Row],[INSTALLMENT]]=2,Table4[[#This Row],[INSTALLMENT]]=3),1,0)</f>
        <v>0</v>
      </c>
      <c r="F979" s="1">
        <f>IF(OR(Table4[[#This Row],[INSTALLMENT]]=2,Table4[[#This Row],[INSTALLMENT]]=3),2,0)</f>
        <v>0</v>
      </c>
      <c r="G979" s="1">
        <f>IF(OR(Table4[[#This Row],[INSTALLMENT]]=3),3,0)</f>
        <v>0</v>
      </c>
    </row>
    <row r="980" spans="1:7">
      <c r="A980" s="1">
        <v>1292</v>
      </c>
      <c r="B980" s="1" t="s">
        <v>571</v>
      </c>
      <c r="C980" s="1" t="s">
        <v>569</v>
      </c>
      <c r="D980" s="1">
        <f>COUNTIFS('Raw Entries'!B:B,Table4[[#This Row],[Name]],'Raw Entries'!I:I,Table4[[#This Row],[BOOK No.]])</f>
        <v>1</v>
      </c>
      <c r="E980" s="1">
        <f t="array" ref="E980">IF(OR(Table4[[#This Row],[INSTALLMENT]]=1,Table4[[#This Row],[INSTALLMENT]]=2,Table4[[#This Row],[INSTALLMENT]]=3),1,0)</f>
        <v>1</v>
      </c>
      <c r="F980" s="1">
        <f>IF(OR(Table4[[#This Row],[INSTALLMENT]]=2,Table4[[#This Row],[INSTALLMENT]]=3),2,0)</f>
        <v>0</v>
      </c>
      <c r="G980" s="1">
        <f>IF(OR(Table4[[#This Row],[INSTALLMENT]]=3),3,0)</f>
        <v>0</v>
      </c>
    </row>
    <row r="981" spans="1:7">
      <c r="A981" s="1">
        <v>1293</v>
      </c>
      <c r="B981" s="1" t="s">
        <v>2681</v>
      </c>
      <c r="C981" s="1" t="s">
        <v>569</v>
      </c>
      <c r="D981" s="1">
        <f>COUNTIFS('Raw Entries'!B:B,Table4[[#This Row],[Name]],'Raw Entries'!I:I,Table4[[#This Row],[BOOK No.]])</f>
        <v>0</v>
      </c>
      <c r="E981" s="1">
        <f t="array" ref="E981">IF(OR(Table4[[#This Row],[INSTALLMENT]]=1,Table4[[#This Row],[INSTALLMENT]]=2,Table4[[#This Row],[INSTALLMENT]]=3),1,0)</f>
        <v>0</v>
      </c>
      <c r="F981" s="1">
        <f>IF(OR(Table4[[#This Row],[INSTALLMENT]]=2,Table4[[#This Row],[INSTALLMENT]]=3),2,0)</f>
        <v>0</v>
      </c>
      <c r="G981" s="1">
        <f>IF(OR(Table4[[#This Row],[INSTALLMENT]]=3),3,0)</f>
        <v>0</v>
      </c>
    </row>
    <row r="982" spans="1:7">
      <c r="A982" s="1">
        <v>1294</v>
      </c>
      <c r="B982" s="1" t="s">
        <v>2682</v>
      </c>
      <c r="C982" s="1" t="s">
        <v>569</v>
      </c>
      <c r="D982" s="1">
        <f>COUNTIFS('Raw Entries'!B:B,Table4[[#This Row],[Name]],'Raw Entries'!I:I,Table4[[#This Row],[BOOK No.]])</f>
        <v>0</v>
      </c>
      <c r="E982" s="1">
        <f t="array" ref="E982">IF(OR(Table4[[#This Row],[INSTALLMENT]]=1,Table4[[#This Row],[INSTALLMENT]]=2,Table4[[#This Row],[INSTALLMENT]]=3),1,0)</f>
        <v>0</v>
      </c>
      <c r="F982" s="1">
        <f>IF(OR(Table4[[#This Row],[INSTALLMENT]]=2,Table4[[#This Row],[INSTALLMENT]]=3),2,0)</f>
        <v>0</v>
      </c>
      <c r="G982" s="1">
        <f>IF(OR(Table4[[#This Row],[INSTALLMENT]]=3),3,0)</f>
        <v>0</v>
      </c>
    </row>
    <row r="983" spans="1:7">
      <c r="A983" s="1">
        <v>1298</v>
      </c>
      <c r="B983" s="1" t="s">
        <v>301</v>
      </c>
      <c r="C983" s="1" t="s">
        <v>569</v>
      </c>
      <c r="D983" s="1">
        <f>COUNTIFS('Raw Entries'!B:B,Table4[[#This Row],[Name]],'Raw Entries'!I:I,Table4[[#This Row],[BOOK No.]])</f>
        <v>0</v>
      </c>
      <c r="E983" s="1">
        <f t="array" ref="E983">IF(OR(Table4[[#This Row],[INSTALLMENT]]=1,Table4[[#This Row],[INSTALLMENT]]=2,Table4[[#This Row],[INSTALLMENT]]=3),1,0)</f>
        <v>0</v>
      </c>
      <c r="F983" s="1">
        <f>IF(OR(Table4[[#This Row],[INSTALLMENT]]=2,Table4[[#This Row],[INSTALLMENT]]=3),2,0)</f>
        <v>0</v>
      </c>
      <c r="G983" s="1">
        <f>IF(OR(Table4[[#This Row],[INSTALLMENT]]=3),3,0)</f>
        <v>0</v>
      </c>
    </row>
    <row r="984" spans="1:7">
      <c r="A984" s="1">
        <v>1301</v>
      </c>
      <c r="B984" s="1" t="s">
        <v>2683</v>
      </c>
      <c r="C984" s="1" t="s">
        <v>572</v>
      </c>
      <c r="D984" s="1">
        <f>COUNTIFS('Raw Entries'!B:B,Table4[[#This Row],[Name]],'Raw Entries'!I:I,Table4[[#This Row],[BOOK No.]])</f>
        <v>0</v>
      </c>
      <c r="E984" s="1">
        <f t="array" ref="E984">IF(OR(Table4[[#This Row],[INSTALLMENT]]=1,Table4[[#This Row],[INSTALLMENT]]=2,Table4[[#This Row],[INSTALLMENT]]=3),1,0)</f>
        <v>0</v>
      </c>
      <c r="F984" s="1">
        <f>IF(OR(Table4[[#This Row],[INSTALLMENT]]=2,Table4[[#This Row],[INSTALLMENT]]=3),2,0)</f>
        <v>0</v>
      </c>
      <c r="G984" s="1">
        <f>IF(OR(Table4[[#This Row],[INSTALLMENT]]=3),3,0)</f>
        <v>0</v>
      </c>
    </row>
    <row r="985" spans="1:7">
      <c r="A985" s="1">
        <v>1302</v>
      </c>
      <c r="B985" s="1" t="s">
        <v>2684</v>
      </c>
      <c r="C985" s="1" t="s">
        <v>572</v>
      </c>
      <c r="D985" s="1">
        <f>COUNTIFS('Raw Entries'!B:B,Table4[[#This Row],[Name]],'Raw Entries'!I:I,Table4[[#This Row],[BOOK No.]])</f>
        <v>2</v>
      </c>
      <c r="E985" s="1">
        <f t="array" ref="E985">IF(OR(Table4[[#This Row],[INSTALLMENT]]=1,Table4[[#This Row],[INSTALLMENT]]=2,Table4[[#This Row],[INSTALLMENT]]=3),1,0)</f>
        <v>1</v>
      </c>
      <c r="F985" s="1">
        <f>IF(OR(Table4[[#This Row],[INSTALLMENT]]=2,Table4[[#This Row],[INSTALLMENT]]=3),2,0)</f>
        <v>2</v>
      </c>
      <c r="G985" s="1">
        <f>IF(OR(Table4[[#This Row],[INSTALLMENT]]=3),3,0)</f>
        <v>0</v>
      </c>
    </row>
    <row r="986" spans="1:7">
      <c r="A986" s="1">
        <v>1304</v>
      </c>
      <c r="B986" s="1" t="s">
        <v>97</v>
      </c>
      <c r="C986" s="1" t="s">
        <v>1884</v>
      </c>
      <c r="D986" s="1">
        <f>COUNTIFS('Raw Entries'!B:B,Table4[[#This Row],[Name]],'Raw Entries'!I:I,Table4[[#This Row],[BOOK No.]])</f>
        <v>0</v>
      </c>
      <c r="E986" s="1">
        <f t="array" ref="E986">IF(OR(Table4[[#This Row],[INSTALLMENT]]=1,Table4[[#This Row],[INSTALLMENT]]=2,Table4[[#This Row],[INSTALLMENT]]=3),1,0)</f>
        <v>0</v>
      </c>
      <c r="F986" s="1">
        <f>IF(OR(Table4[[#This Row],[INSTALLMENT]]=2,Table4[[#This Row],[INSTALLMENT]]=3),2,0)</f>
        <v>0</v>
      </c>
      <c r="G986" s="1">
        <f>IF(OR(Table4[[#This Row],[INSTALLMENT]]=3),3,0)</f>
        <v>0</v>
      </c>
    </row>
    <row r="987" spans="1:7">
      <c r="A987" s="1">
        <v>1305</v>
      </c>
      <c r="B987" s="1" t="s">
        <v>2685</v>
      </c>
      <c r="C987" s="1" t="s">
        <v>1884</v>
      </c>
      <c r="D987" s="1">
        <f>COUNTIFS('Raw Entries'!B:B,Table4[[#This Row],[Name]],'Raw Entries'!I:I,Table4[[#This Row],[BOOK No.]])</f>
        <v>0</v>
      </c>
      <c r="E987" s="1">
        <f t="array" ref="E987">IF(OR(Table4[[#This Row],[INSTALLMENT]]=1,Table4[[#This Row],[INSTALLMENT]]=2,Table4[[#This Row],[INSTALLMENT]]=3),1,0)</f>
        <v>0</v>
      </c>
      <c r="F987" s="1">
        <f>IF(OR(Table4[[#This Row],[INSTALLMENT]]=2,Table4[[#This Row],[INSTALLMENT]]=3),2,0)</f>
        <v>0</v>
      </c>
      <c r="G987" s="1">
        <f>IF(OR(Table4[[#This Row],[INSTALLMENT]]=3),3,0)</f>
        <v>0</v>
      </c>
    </row>
    <row r="988" spans="1:7">
      <c r="A988" s="1">
        <v>1306</v>
      </c>
      <c r="B988" s="1" t="s">
        <v>2686</v>
      </c>
      <c r="C988" s="1" t="s">
        <v>1884</v>
      </c>
      <c r="D988" s="1">
        <f>COUNTIFS('Raw Entries'!B:B,Table4[[#This Row],[Name]],'Raw Entries'!I:I,Table4[[#This Row],[BOOK No.]])</f>
        <v>0</v>
      </c>
      <c r="E988" s="1">
        <f t="array" ref="E988">IF(OR(Table4[[#This Row],[INSTALLMENT]]=1,Table4[[#This Row],[INSTALLMENT]]=2,Table4[[#This Row],[INSTALLMENT]]=3),1,0)</f>
        <v>0</v>
      </c>
      <c r="F988" s="1">
        <f>IF(OR(Table4[[#This Row],[INSTALLMENT]]=2,Table4[[#This Row],[INSTALLMENT]]=3),2,0)</f>
        <v>0</v>
      </c>
      <c r="G988" s="1">
        <f>IF(OR(Table4[[#This Row],[INSTALLMENT]]=3),3,0)</f>
        <v>0</v>
      </c>
    </row>
    <row r="989" spans="1:7">
      <c r="A989" s="1">
        <v>1307</v>
      </c>
      <c r="B989" s="1" t="s">
        <v>3945</v>
      </c>
      <c r="C989" s="1" t="s">
        <v>1884</v>
      </c>
      <c r="D989" s="1">
        <f>COUNTIFS('Raw Entries'!B:B,Table4[[#This Row],[Name]],'Raw Entries'!I:I,Table4[[#This Row],[BOOK No.]])</f>
        <v>0</v>
      </c>
      <c r="E989" s="1">
        <f t="array" ref="E989">IF(OR(Table4[[#This Row],[INSTALLMENT]]=1,Table4[[#This Row],[INSTALLMENT]]=2,Table4[[#This Row],[INSTALLMENT]]=3),1,0)</f>
        <v>0</v>
      </c>
      <c r="F989" s="1">
        <f>IF(OR(Table4[[#This Row],[INSTALLMENT]]=2,Table4[[#This Row],[INSTALLMENT]]=3),2,0)</f>
        <v>0</v>
      </c>
      <c r="G989" s="1">
        <f>IF(OR(Table4[[#This Row],[INSTALLMENT]]=3),3,0)</f>
        <v>0</v>
      </c>
    </row>
    <row r="990" spans="1:7">
      <c r="A990" s="1">
        <v>1308</v>
      </c>
      <c r="B990" s="1" t="s">
        <v>2687</v>
      </c>
      <c r="C990" s="1" t="s">
        <v>574</v>
      </c>
      <c r="D990" s="1">
        <f>COUNTIFS('Raw Entries'!B:B,Table4[[#This Row],[Name]],'Raw Entries'!I:I,Table4[[#This Row],[BOOK No.]])</f>
        <v>0</v>
      </c>
      <c r="E990" s="1">
        <f t="array" ref="E990">IF(OR(Table4[[#This Row],[INSTALLMENT]]=1,Table4[[#This Row],[INSTALLMENT]]=2,Table4[[#This Row],[INSTALLMENT]]=3),1,0)</f>
        <v>0</v>
      </c>
      <c r="F990" s="1">
        <f>IF(OR(Table4[[#This Row],[INSTALLMENT]]=2,Table4[[#This Row],[INSTALLMENT]]=3),2,0)</f>
        <v>0</v>
      </c>
      <c r="G990" s="1">
        <f>IF(OR(Table4[[#This Row],[INSTALLMENT]]=3),3,0)</f>
        <v>0</v>
      </c>
    </row>
    <row r="991" spans="1:7">
      <c r="A991" s="1">
        <v>1309</v>
      </c>
      <c r="B991" s="1" t="s">
        <v>575</v>
      </c>
      <c r="C991" s="1" t="s">
        <v>574</v>
      </c>
      <c r="D991" s="1">
        <f>COUNTIFS('Raw Entries'!B:B,Table4[[#This Row],[Name]],'Raw Entries'!I:I,Table4[[#This Row],[BOOK No.]])</f>
        <v>3</v>
      </c>
      <c r="E991" s="1">
        <f t="array" ref="E991">IF(OR(Table4[[#This Row],[INSTALLMENT]]=1,Table4[[#This Row],[INSTALLMENT]]=2,Table4[[#This Row],[INSTALLMENT]]=3),1,0)</f>
        <v>1</v>
      </c>
      <c r="F991" s="1">
        <f>IF(OR(Table4[[#This Row],[INSTALLMENT]]=2,Table4[[#This Row],[INSTALLMENT]]=3),2,0)</f>
        <v>2</v>
      </c>
      <c r="G991" s="1">
        <f>IF(OR(Table4[[#This Row],[INSTALLMENT]]=3),3,0)</f>
        <v>3</v>
      </c>
    </row>
    <row r="992" spans="1:7">
      <c r="A992" s="1">
        <v>1310</v>
      </c>
      <c r="B992" s="1" t="s">
        <v>2688</v>
      </c>
      <c r="C992" s="1" t="s">
        <v>574</v>
      </c>
      <c r="D992" s="1">
        <f>COUNTIFS('Raw Entries'!B:B,Table4[[#This Row],[Name]],'Raw Entries'!I:I,Table4[[#This Row],[BOOK No.]])</f>
        <v>0</v>
      </c>
      <c r="E992" s="1">
        <f t="array" ref="E992">IF(OR(Table4[[#This Row],[INSTALLMENT]]=1,Table4[[#This Row],[INSTALLMENT]]=2,Table4[[#This Row],[INSTALLMENT]]=3),1,0)</f>
        <v>0</v>
      </c>
      <c r="F992" s="1">
        <f>IF(OR(Table4[[#This Row],[INSTALLMENT]]=2,Table4[[#This Row],[INSTALLMENT]]=3),2,0)</f>
        <v>0</v>
      </c>
      <c r="G992" s="1">
        <f>IF(OR(Table4[[#This Row],[INSTALLMENT]]=3),3,0)</f>
        <v>0</v>
      </c>
    </row>
    <row r="993" spans="1:7">
      <c r="A993" s="1">
        <v>1311</v>
      </c>
      <c r="B993" s="1" t="s">
        <v>2689</v>
      </c>
      <c r="C993" s="1" t="s">
        <v>574</v>
      </c>
      <c r="D993" s="1">
        <f>COUNTIFS('Raw Entries'!B:B,Table4[[#This Row],[Name]],'Raw Entries'!I:I,Table4[[#This Row],[BOOK No.]])</f>
        <v>1</v>
      </c>
      <c r="E993" s="1">
        <f t="array" ref="E993">IF(OR(Table4[[#This Row],[INSTALLMENT]]=1,Table4[[#This Row],[INSTALLMENT]]=2,Table4[[#This Row],[INSTALLMENT]]=3),1,0)</f>
        <v>1</v>
      </c>
      <c r="F993" s="1">
        <f>IF(OR(Table4[[#This Row],[INSTALLMENT]]=2,Table4[[#This Row],[INSTALLMENT]]=3),2,0)</f>
        <v>0</v>
      </c>
      <c r="G993" s="1">
        <f>IF(OR(Table4[[#This Row],[INSTALLMENT]]=3),3,0)</f>
        <v>0</v>
      </c>
    </row>
    <row r="994" spans="1:7">
      <c r="A994" s="1">
        <v>1312</v>
      </c>
      <c r="B994" s="1" t="s">
        <v>2690</v>
      </c>
      <c r="C994" s="1" t="s">
        <v>574</v>
      </c>
      <c r="D994" s="1">
        <f>COUNTIFS('Raw Entries'!B:B,Table4[[#This Row],[Name]],'Raw Entries'!I:I,Table4[[#This Row],[BOOK No.]])</f>
        <v>0</v>
      </c>
      <c r="E994" s="1">
        <f t="array" ref="E994">IF(OR(Table4[[#This Row],[INSTALLMENT]]=1,Table4[[#This Row],[INSTALLMENT]]=2,Table4[[#This Row],[INSTALLMENT]]=3),1,0)</f>
        <v>0</v>
      </c>
      <c r="F994" s="1">
        <f>IF(OR(Table4[[#This Row],[INSTALLMENT]]=2,Table4[[#This Row],[INSTALLMENT]]=3),2,0)</f>
        <v>0</v>
      </c>
      <c r="G994" s="1">
        <f>IF(OR(Table4[[#This Row],[INSTALLMENT]]=3),3,0)</f>
        <v>0</v>
      </c>
    </row>
    <row r="995" spans="1:7">
      <c r="A995" s="1">
        <v>1313</v>
      </c>
      <c r="B995" s="1" t="s">
        <v>2691</v>
      </c>
      <c r="C995" s="1" t="s">
        <v>1884</v>
      </c>
      <c r="D995" s="1">
        <f>COUNTIFS('Raw Entries'!B:B,Table4[[#This Row],[Name]],'Raw Entries'!I:I,Table4[[#This Row],[BOOK No.]])</f>
        <v>0</v>
      </c>
      <c r="E995" s="1">
        <f t="array" ref="E995">IF(OR(Table4[[#This Row],[INSTALLMENT]]=1,Table4[[#This Row],[INSTALLMENT]]=2,Table4[[#This Row],[INSTALLMENT]]=3),1,0)</f>
        <v>0</v>
      </c>
      <c r="F995" s="1">
        <f>IF(OR(Table4[[#This Row],[INSTALLMENT]]=2,Table4[[#This Row],[INSTALLMENT]]=3),2,0)</f>
        <v>0</v>
      </c>
      <c r="G995" s="1">
        <f>IF(OR(Table4[[#This Row],[INSTALLMENT]]=3),3,0)</f>
        <v>0</v>
      </c>
    </row>
    <row r="996" spans="1:7">
      <c r="A996" s="1">
        <v>1314</v>
      </c>
      <c r="B996" s="1" t="s">
        <v>2692</v>
      </c>
      <c r="C996" s="1" t="s">
        <v>572</v>
      </c>
      <c r="D996" s="1">
        <f>COUNTIFS('Raw Entries'!B:B,Table4[[#This Row],[Name]],'Raw Entries'!I:I,Table4[[#This Row],[BOOK No.]])</f>
        <v>0</v>
      </c>
      <c r="E996" s="1">
        <f t="array" ref="E996">IF(OR(Table4[[#This Row],[INSTALLMENT]]=1,Table4[[#This Row],[INSTALLMENT]]=2,Table4[[#This Row],[INSTALLMENT]]=3),1,0)</f>
        <v>0</v>
      </c>
      <c r="F996" s="1">
        <f>IF(OR(Table4[[#This Row],[INSTALLMENT]]=2,Table4[[#This Row],[INSTALLMENT]]=3),2,0)</f>
        <v>0</v>
      </c>
      <c r="G996" s="1">
        <f>IF(OR(Table4[[#This Row],[INSTALLMENT]]=3),3,0)</f>
        <v>0</v>
      </c>
    </row>
    <row r="997" spans="1:7">
      <c r="A997" s="1">
        <v>1315</v>
      </c>
      <c r="B997" s="1" t="s">
        <v>2693</v>
      </c>
      <c r="C997" s="1" t="s">
        <v>572</v>
      </c>
      <c r="D997" s="1">
        <f>COUNTIFS('Raw Entries'!B:B,Table4[[#This Row],[Name]],'Raw Entries'!I:I,Table4[[#This Row],[BOOK No.]])</f>
        <v>0</v>
      </c>
      <c r="E997" s="1">
        <f t="array" ref="E997">IF(OR(Table4[[#This Row],[INSTALLMENT]]=1,Table4[[#This Row],[INSTALLMENT]]=2,Table4[[#This Row],[INSTALLMENT]]=3),1,0)</f>
        <v>0</v>
      </c>
      <c r="F997" s="1">
        <f>IF(OR(Table4[[#This Row],[INSTALLMENT]]=2,Table4[[#This Row],[INSTALLMENT]]=3),2,0)</f>
        <v>0</v>
      </c>
      <c r="G997" s="1">
        <f>IF(OR(Table4[[#This Row],[INSTALLMENT]]=3),3,0)</f>
        <v>0</v>
      </c>
    </row>
    <row r="998" spans="1:7">
      <c r="A998" s="1">
        <v>1316</v>
      </c>
      <c r="B998" s="1" t="s">
        <v>2694</v>
      </c>
      <c r="C998" s="1" t="s">
        <v>1851</v>
      </c>
      <c r="D998" s="1">
        <f>COUNTIFS('Raw Entries'!B:B,Table4[[#This Row],[Name]],'Raw Entries'!I:I,Table4[[#This Row],[BOOK No.]])</f>
        <v>0</v>
      </c>
      <c r="E998" s="1">
        <f t="array" ref="E998">IF(OR(Table4[[#This Row],[INSTALLMENT]]=1,Table4[[#This Row],[INSTALLMENT]]=2,Table4[[#This Row],[INSTALLMENT]]=3),1,0)</f>
        <v>0</v>
      </c>
      <c r="F998" s="1">
        <f>IF(OR(Table4[[#This Row],[INSTALLMENT]]=2,Table4[[#This Row],[INSTALLMENT]]=3),2,0)</f>
        <v>0</v>
      </c>
      <c r="G998" s="1">
        <f>IF(OR(Table4[[#This Row],[INSTALLMENT]]=3),3,0)</f>
        <v>0</v>
      </c>
    </row>
    <row r="999" spans="1:7">
      <c r="A999" s="1">
        <v>1317</v>
      </c>
      <c r="B999" s="1" t="s">
        <v>1852</v>
      </c>
      <c r="C999" s="1" t="s">
        <v>1851</v>
      </c>
      <c r="D999" s="1">
        <f>COUNTIFS('Raw Entries'!B:B,Table4[[#This Row],[Name]],'Raw Entries'!I:I,Table4[[#This Row],[BOOK No.]])</f>
        <v>3</v>
      </c>
      <c r="E999" s="1">
        <f t="array" ref="E999">IF(OR(Table4[[#This Row],[INSTALLMENT]]=1,Table4[[#This Row],[INSTALLMENT]]=2,Table4[[#This Row],[INSTALLMENT]]=3),1,0)</f>
        <v>1</v>
      </c>
      <c r="F999" s="1">
        <f>IF(OR(Table4[[#This Row],[INSTALLMENT]]=2,Table4[[#This Row],[INSTALLMENT]]=3),2,0)</f>
        <v>2</v>
      </c>
      <c r="G999" s="1">
        <f>IF(OR(Table4[[#This Row],[INSTALLMENT]]=3),3,0)</f>
        <v>3</v>
      </c>
    </row>
    <row r="1000" spans="1:7">
      <c r="A1000" s="1">
        <v>1318</v>
      </c>
      <c r="B1000" s="1" t="s">
        <v>2695</v>
      </c>
      <c r="C1000" s="1" t="s">
        <v>1851</v>
      </c>
      <c r="D1000" s="1">
        <f>COUNTIFS('Raw Entries'!B:B,Table4[[#This Row],[Name]],'Raw Entries'!I:I,Table4[[#This Row],[BOOK No.]])</f>
        <v>0</v>
      </c>
      <c r="E1000" s="1">
        <f t="array" ref="E1000">IF(OR(Table4[[#This Row],[INSTALLMENT]]=1,Table4[[#This Row],[INSTALLMENT]]=2,Table4[[#This Row],[INSTALLMENT]]=3),1,0)</f>
        <v>0</v>
      </c>
      <c r="F1000" s="1">
        <f>IF(OR(Table4[[#This Row],[INSTALLMENT]]=2,Table4[[#This Row],[INSTALLMENT]]=3),2,0)</f>
        <v>0</v>
      </c>
      <c r="G1000" s="1">
        <f>IF(OR(Table4[[#This Row],[INSTALLMENT]]=3),3,0)</f>
        <v>0</v>
      </c>
    </row>
    <row r="1001" spans="1:7">
      <c r="A1001" s="1">
        <v>1319</v>
      </c>
      <c r="B1001" s="1" t="s">
        <v>2696</v>
      </c>
      <c r="C1001" s="1" t="s">
        <v>1884</v>
      </c>
      <c r="D1001" s="1">
        <f>COUNTIFS('Raw Entries'!B:B,Table4[[#This Row],[Name]],'Raw Entries'!I:I,Table4[[#This Row],[BOOK No.]])</f>
        <v>0</v>
      </c>
      <c r="E1001" s="1">
        <f t="array" ref="E1001">IF(OR(Table4[[#This Row],[INSTALLMENT]]=1,Table4[[#This Row],[INSTALLMENT]]=2,Table4[[#This Row],[INSTALLMENT]]=3),1,0)</f>
        <v>0</v>
      </c>
      <c r="F1001" s="1">
        <f>IF(OR(Table4[[#This Row],[INSTALLMENT]]=2,Table4[[#This Row],[INSTALLMENT]]=3),2,0)</f>
        <v>0</v>
      </c>
      <c r="G1001" s="1">
        <f>IF(OR(Table4[[#This Row],[INSTALLMENT]]=3),3,0)</f>
        <v>0</v>
      </c>
    </row>
    <row r="1002" spans="1:7">
      <c r="A1002" s="1">
        <v>1320</v>
      </c>
      <c r="B1002" s="1" t="s">
        <v>2697</v>
      </c>
      <c r="C1002" s="1" t="s">
        <v>572</v>
      </c>
      <c r="D1002" s="1">
        <f>COUNTIFS('Raw Entries'!B:B,Table4[[#This Row],[Name]],'Raw Entries'!I:I,Table4[[#This Row],[BOOK No.]])</f>
        <v>0</v>
      </c>
      <c r="E1002" s="1">
        <f t="array" ref="E1002">IF(OR(Table4[[#This Row],[INSTALLMENT]]=1,Table4[[#This Row],[INSTALLMENT]]=2,Table4[[#This Row],[INSTALLMENT]]=3),1,0)</f>
        <v>0</v>
      </c>
      <c r="F1002" s="1">
        <f>IF(OR(Table4[[#This Row],[INSTALLMENT]]=2,Table4[[#This Row],[INSTALLMENT]]=3),2,0)</f>
        <v>0</v>
      </c>
      <c r="G1002" s="1">
        <f>IF(OR(Table4[[#This Row],[INSTALLMENT]]=3),3,0)</f>
        <v>0</v>
      </c>
    </row>
    <row r="1003" spans="1:7">
      <c r="A1003" s="1">
        <v>1321</v>
      </c>
      <c r="B1003" s="1" t="s">
        <v>2698</v>
      </c>
      <c r="C1003" s="1" t="s">
        <v>1884</v>
      </c>
      <c r="D1003" s="1">
        <f>COUNTIFS('Raw Entries'!B:B,Table4[[#This Row],[Name]],'Raw Entries'!I:I,Table4[[#This Row],[BOOK No.]])</f>
        <v>0</v>
      </c>
      <c r="E1003" s="1">
        <f t="array" ref="E1003">IF(OR(Table4[[#This Row],[INSTALLMENT]]=1,Table4[[#This Row],[INSTALLMENT]]=2,Table4[[#This Row],[INSTALLMENT]]=3),1,0)</f>
        <v>0</v>
      </c>
      <c r="F1003" s="1">
        <f>IF(OR(Table4[[#This Row],[INSTALLMENT]]=2,Table4[[#This Row],[INSTALLMENT]]=3),2,0)</f>
        <v>0</v>
      </c>
      <c r="G1003" s="1">
        <f>IF(OR(Table4[[#This Row],[INSTALLMENT]]=3),3,0)</f>
        <v>0</v>
      </c>
    </row>
    <row r="1004" spans="1:7">
      <c r="A1004" s="1">
        <v>1322</v>
      </c>
      <c r="B1004" s="1" t="s">
        <v>2699</v>
      </c>
      <c r="C1004" s="1" t="s">
        <v>574</v>
      </c>
      <c r="D1004" s="1">
        <f>COUNTIFS('Raw Entries'!B:B,Table4[[#This Row],[Name]],'Raw Entries'!I:I,Table4[[#This Row],[BOOK No.]])</f>
        <v>0</v>
      </c>
      <c r="E1004" s="1">
        <f t="array" ref="E1004">IF(OR(Table4[[#This Row],[INSTALLMENT]]=1,Table4[[#This Row],[INSTALLMENT]]=2,Table4[[#This Row],[INSTALLMENT]]=3),1,0)</f>
        <v>0</v>
      </c>
      <c r="F1004" s="1">
        <f>IF(OR(Table4[[#This Row],[INSTALLMENT]]=2,Table4[[#This Row],[INSTALLMENT]]=3),2,0)</f>
        <v>0</v>
      </c>
      <c r="G1004" s="1">
        <f>IF(OR(Table4[[#This Row],[INSTALLMENT]]=3),3,0)</f>
        <v>0</v>
      </c>
    </row>
    <row r="1005" spans="1:7">
      <c r="A1005" s="1">
        <v>1323</v>
      </c>
      <c r="B1005" s="1" t="s">
        <v>2700</v>
      </c>
      <c r="C1005" s="1" t="s">
        <v>574</v>
      </c>
      <c r="D1005" s="1">
        <f>COUNTIFS('Raw Entries'!B:B,Table4[[#This Row],[Name]],'Raw Entries'!I:I,Table4[[#This Row],[BOOK No.]])</f>
        <v>0</v>
      </c>
      <c r="E1005" s="1">
        <f t="array" ref="E1005">IF(OR(Table4[[#This Row],[INSTALLMENT]]=1,Table4[[#This Row],[INSTALLMENT]]=2,Table4[[#This Row],[INSTALLMENT]]=3),1,0)</f>
        <v>0</v>
      </c>
      <c r="F1005" s="1">
        <f>IF(OR(Table4[[#This Row],[INSTALLMENT]]=2,Table4[[#This Row],[INSTALLMENT]]=3),2,0)</f>
        <v>0</v>
      </c>
      <c r="G1005" s="1">
        <f>IF(OR(Table4[[#This Row],[INSTALLMENT]]=3),3,0)</f>
        <v>0</v>
      </c>
    </row>
    <row r="1006" spans="1:7">
      <c r="A1006" s="1">
        <v>1324</v>
      </c>
      <c r="B1006" s="1" t="s">
        <v>2701</v>
      </c>
      <c r="C1006" s="1" t="s">
        <v>572</v>
      </c>
      <c r="D1006" s="1">
        <f>COUNTIFS('Raw Entries'!B:B,Table4[[#This Row],[Name]],'Raw Entries'!I:I,Table4[[#This Row],[BOOK No.]])</f>
        <v>0</v>
      </c>
      <c r="E1006" s="1">
        <f t="array" ref="E1006">IF(OR(Table4[[#This Row],[INSTALLMENT]]=1,Table4[[#This Row],[INSTALLMENT]]=2,Table4[[#This Row],[INSTALLMENT]]=3),1,0)</f>
        <v>0</v>
      </c>
      <c r="F1006" s="1">
        <f>IF(OR(Table4[[#This Row],[INSTALLMENT]]=2,Table4[[#This Row],[INSTALLMENT]]=3),2,0)</f>
        <v>0</v>
      </c>
      <c r="G1006" s="1">
        <f>IF(OR(Table4[[#This Row],[INSTALLMENT]]=3),3,0)</f>
        <v>0</v>
      </c>
    </row>
    <row r="1007" spans="1:7">
      <c r="A1007" s="1">
        <v>1325</v>
      </c>
      <c r="B1007" s="1" t="s">
        <v>2702</v>
      </c>
      <c r="C1007" s="1" t="s">
        <v>1851</v>
      </c>
      <c r="D1007" s="1">
        <f>COUNTIFS('Raw Entries'!B:B,Table4[[#This Row],[Name]],'Raw Entries'!I:I,Table4[[#This Row],[BOOK No.]])</f>
        <v>0</v>
      </c>
      <c r="E1007" s="1">
        <f t="array" ref="E1007">IF(OR(Table4[[#This Row],[INSTALLMENT]]=1,Table4[[#This Row],[INSTALLMENT]]=2,Table4[[#This Row],[INSTALLMENT]]=3),1,0)</f>
        <v>0</v>
      </c>
      <c r="F1007" s="1">
        <f>IF(OR(Table4[[#This Row],[INSTALLMENT]]=2,Table4[[#This Row],[INSTALLMENT]]=3),2,0)</f>
        <v>0</v>
      </c>
      <c r="G1007" s="1">
        <f>IF(OR(Table4[[#This Row],[INSTALLMENT]]=3),3,0)</f>
        <v>0</v>
      </c>
    </row>
    <row r="1008" spans="1:7">
      <c r="A1008" s="1">
        <v>1330</v>
      </c>
      <c r="B1008" s="1" t="s">
        <v>570</v>
      </c>
      <c r="C1008" s="1" t="s">
        <v>569</v>
      </c>
      <c r="D1008" s="1">
        <f>COUNTIFS('Raw Entries'!B:B,Table4[[#This Row],[Name]],'Raw Entries'!I:I,Table4[[#This Row],[BOOK No.]])</f>
        <v>1</v>
      </c>
      <c r="E1008" s="1">
        <f t="array" ref="E1008">IF(OR(Table4[[#This Row],[INSTALLMENT]]=1,Table4[[#This Row],[INSTALLMENT]]=2,Table4[[#This Row],[INSTALLMENT]]=3),1,0)</f>
        <v>1</v>
      </c>
      <c r="F1008" s="1">
        <f>IF(OR(Table4[[#This Row],[INSTALLMENT]]=2,Table4[[#This Row],[INSTALLMENT]]=3),2,0)</f>
        <v>0</v>
      </c>
      <c r="G1008" s="1">
        <f>IF(OR(Table4[[#This Row],[INSTALLMENT]]=3),3,0)</f>
        <v>0</v>
      </c>
    </row>
    <row r="1009" spans="1:7">
      <c r="A1009" s="1">
        <v>1331</v>
      </c>
      <c r="B1009" s="1" t="s">
        <v>2703</v>
      </c>
      <c r="C1009" s="1" t="s">
        <v>569</v>
      </c>
      <c r="D1009" s="1">
        <f>COUNTIFS('Raw Entries'!B:B,Table4[[#This Row],[Name]],'Raw Entries'!I:I,Table4[[#This Row],[BOOK No.]])</f>
        <v>0</v>
      </c>
      <c r="E1009" s="1">
        <f t="array" ref="E1009">IF(OR(Table4[[#This Row],[INSTALLMENT]]=1,Table4[[#This Row],[INSTALLMENT]]=2,Table4[[#This Row],[INSTALLMENT]]=3),1,0)</f>
        <v>0</v>
      </c>
      <c r="F1009" s="1">
        <f>IF(OR(Table4[[#This Row],[INSTALLMENT]]=2,Table4[[#This Row],[INSTALLMENT]]=3),2,0)</f>
        <v>0</v>
      </c>
      <c r="G1009" s="1">
        <f>IF(OR(Table4[[#This Row],[INSTALLMENT]]=3),3,0)</f>
        <v>0</v>
      </c>
    </row>
    <row r="1010" spans="1:7">
      <c r="A1010" s="1">
        <v>1332</v>
      </c>
      <c r="B1010" s="1" t="s">
        <v>568</v>
      </c>
      <c r="C1010" s="1" t="s">
        <v>574</v>
      </c>
      <c r="D1010" s="1">
        <f>COUNTIFS('Raw Entries'!B:B,Table4[[#This Row],[Name]],'Raw Entries'!I:I,Table4[[#This Row],[BOOK No.]])</f>
        <v>0</v>
      </c>
      <c r="E1010" s="1">
        <f t="array" ref="E1010">IF(OR(Table4[[#This Row],[INSTALLMENT]]=1,Table4[[#This Row],[INSTALLMENT]]=2,Table4[[#This Row],[INSTALLMENT]]=3),1,0)</f>
        <v>0</v>
      </c>
      <c r="F1010" s="1">
        <f>IF(OR(Table4[[#This Row],[INSTALLMENT]]=2,Table4[[#This Row],[INSTALLMENT]]=3),2,0)</f>
        <v>0</v>
      </c>
      <c r="G1010" s="1">
        <f>IF(OR(Table4[[#This Row],[INSTALLMENT]]=3),3,0)</f>
        <v>0</v>
      </c>
    </row>
    <row r="1011" spans="1:7">
      <c r="A1011" s="1">
        <v>1333</v>
      </c>
      <c r="B1011" s="1" t="s">
        <v>576</v>
      </c>
      <c r="C1011" s="1" t="s">
        <v>574</v>
      </c>
      <c r="D1011" s="1">
        <f>COUNTIFS('Raw Entries'!B:B,Table4[[#This Row],[Name]],'Raw Entries'!I:I,Table4[[#This Row],[BOOK No.]])</f>
        <v>2</v>
      </c>
      <c r="E1011" s="1">
        <f t="array" ref="E1011">IF(OR(Table4[[#This Row],[INSTALLMENT]]=1,Table4[[#This Row],[INSTALLMENT]]=2,Table4[[#This Row],[INSTALLMENT]]=3),1,0)</f>
        <v>1</v>
      </c>
      <c r="F1011" s="1">
        <f>IF(OR(Table4[[#This Row],[INSTALLMENT]]=2,Table4[[#This Row],[INSTALLMENT]]=3),2,0)</f>
        <v>2</v>
      </c>
      <c r="G1011" s="1">
        <f>IF(OR(Table4[[#This Row],[INSTALLMENT]]=3),3,0)</f>
        <v>0</v>
      </c>
    </row>
    <row r="1012" spans="1:7">
      <c r="A1012" s="1">
        <v>1334</v>
      </c>
      <c r="B1012" s="1" t="s">
        <v>3946</v>
      </c>
      <c r="C1012" s="1" t="s">
        <v>1884</v>
      </c>
      <c r="D1012" s="1">
        <f>COUNTIFS('Raw Entries'!B:B,Table4[[#This Row],[Name]],'Raw Entries'!I:I,Table4[[#This Row],[BOOK No.]])</f>
        <v>2</v>
      </c>
      <c r="E1012" s="1">
        <f t="array" ref="E1012">IF(OR(Table4[[#This Row],[INSTALLMENT]]=1,Table4[[#This Row],[INSTALLMENT]]=2,Table4[[#This Row],[INSTALLMENT]]=3),1,0)</f>
        <v>1</v>
      </c>
      <c r="F1012" s="1">
        <f>IF(OR(Table4[[#This Row],[INSTALLMENT]]=2,Table4[[#This Row],[INSTALLMENT]]=3),2,0)</f>
        <v>2</v>
      </c>
      <c r="G1012" s="1">
        <f>IF(OR(Table4[[#This Row],[INSTALLMENT]]=3),3,0)</f>
        <v>0</v>
      </c>
    </row>
    <row r="1013" spans="1:7">
      <c r="A1013" s="1">
        <v>1335</v>
      </c>
      <c r="B1013" s="1" t="s">
        <v>2704</v>
      </c>
      <c r="C1013" s="1" t="s">
        <v>1851</v>
      </c>
      <c r="D1013" s="1">
        <f>COUNTIFS('Raw Entries'!B:B,Table4[[#This Row],[Name]],'Raw Entries'!I:I,Table4[[#This Row],[BOOK No.]])</f>
        <v>0</v>
      </c>
      <c r="E1013" s="1">
        <f t="array" ref="E1013">IF(OR(Table4[[#This Row],[INSTALLMENT]]=1,Table4[[#This Row],[INSTALLMENT]]=2,Table4[[#This Row],[INSTALLMENT]]=3),1,0)</f>
        <v>0</v>
      </c>
      <c r="F1013" s="1">
        <f>IF(OR(Table4[[#This Row],[INSTALLMENT]]=2,Table4[[#This Row],[INSTALLMENT]]=3),2,0)</f>
        <v>0</v>
      </c>
      <c r="G1013" s="1">
        <f>IF(OR(Table4[[#This Row],[INSTALLMENT]]=3),3,0)</f>
        <v>0</v>
      </c>
    </row>
    <row r="1014" spans="1:7">
      <c r="A1014" s="1">
        <v>1336</v>
      </c>
      <c r="B1014" s="1" t="s">
        <v>2705</v>
      </c>
      <c r="C1014" s="1" t="s">
        <v>1851</v>
      </c>
      <c r="D1014" s="1">
        <f>COUNTIFS('Raw Entries'!B:B,Table4[[#This Row],[Name]],'Raw Entries'!I:I,Table4[[#This Row],[BOOK No.]])</f>
        <v>0</v>
      </c>
      <c r="E1014" s="1">
        <f t="array" ref="E1014">IF(OR(Table4[[#This Row],[INSTALLMENT]]=1,Table4[[#This Row],[INSTALLMENT]]=2,Table4[[#This Row],[INSTALLMENT]]=3),1,0)</f>
        <v>0</v>
      </c>
      <c r="F1014" s="1">
        <f>IF(OR(Table4[[#This Row],[INSTALLMENT]]=2,Table4[[#This Row],[INSTALLMENT]]=3),2,0)</f>
        <v>0</v>
      </c>
      <c r="G1014" s="1">
        <f>IF(OR(Table4[[#This Row],[INSTALLMENT]]=3),3,0)</f>
        <v>0</v>
      </c>
    </row>
    <row r="1015" spans="1:7">
      <c r="A1015" s="1">
        <v>1337</v>
      </c>
      <c r="B1015" s="1" t="s">
        <v>2706</v>
      </c>
      <c r="C1015" s="1" t="s">
        <v>1851</v>
      </c>
      <c r="D1015" s="1">
        <f>COUNTIFS('Raw Entries'!B:B,Table4[[#This Row],[Name]],'Raw Entries'!I:I,Table4[[#This Row],[BOOK No.]])</f>
        <v>0</v>
      </c>
      <c r="E1015" s="1">
        <f t="array" ref="E1015">IF(OR(Table4[[#This Row],[INSTALLMENT]]=1,Table4[[#This Row],[INSTALLMENT]]=2,Table4[[#This Row],[INSTALLMENT]]=3),1,0)</f>
        <v>0</v>
      </c>
      <c r="F1015" s="1">
        <f>IF(OR(Table4[[#This Row],[INSTALLMENT]]=2,Table4[[#This Row],[INSTALLMENT]]=3),2,0)</f>
        <v>0</v>
      </c>
      <c r="G1015" s="1">
        <f>IF(OR(Table4[[#This Row],[INSTALLMENT]]=3),3,0)</f>
        <v>0</v>
      </c>
    </row>
    <row r="1016" spans="1:7">
      <c r="A1016" s="1">
        <v>1338</v>
      </c>
      <c r="B1016" s="1" t="s">
        <v>2707</v>
      </c>
      <c r="C1016" s="1" t="s">
        <v>572</v>
      </c>
      <c r="D1016" s="1">
        <f>COUNTIFS('Raw Entries'!B:B,Table4[[#This Row],[Name]],'Raw Entries'!I:I,Table4[[#This Row],[BOOK No.]])</f>
        <v>0</v>
      </c>
      <c r="E1016" s="1">
        <f t="array" ref="E1016">IF(OR(Table4[[#This Row],[INSTALLMENT]]=1,Table4[[#This Row],[INSTALLMENT]]=2,Table4[[#This Row],[INSTALLMENT]]=3),1,0)</f>
        <v>0</v>
      </c>
      <c r="F1016" s="1">
        <f>IF(OR(Table4[[#This Row],[INSTALLMENT]]=2,Table4[[#This Row],[INSTALLMENT]]=3),2,0)</f>
        <v>0</v>
      </c>
      <c r="G1016" s="1">
        <f>IF(OR(Table4[[#This Row],[INSTALLMENT]]=3),3,0)</f>
        <v>0</v>
      </c>
    </row>
    <row r="1017" spans="1:7">
      <c r="A1017" s="1">
        <v>1339</v>
      </c>
      <c r="B1017" s="1" t="s">
        <v>2708</v>
      </c>
      <c r="C1017" s="1" t="s">
        <v>1884</v>
      </c>
      <c r="D1017" s="1">
        <f>COUNTIFS('Raw Entries'!B:B,Table4[[#This Row],[Name]],'Raw Entries'!I:I,Table4[[#This Row],[BOOK No.]])</f>
        <v>3</v>
      </c>
      <c r="E1017" s="1">
        <f t="array" ref="E1017">IF(OR(Table4[[#This Row],[INSTALLMENT]]=1,Table4[[#This Row],[INSTALLMENT]]=2,Table4[[#This Row],[INSTALLMENT]]=3),1,0)</f>
        <v>1</v>
      </c>
      <c r="F1017" s="1">
        <f>IF(OR(Table4[[#This Row],[INSTALLMENT]]=2,Table4[[#This Row],[INSTALLMENT]]=3),2,0)</f>
        <v>2</v>
      </c>
      <c r="G1017" s="1">
        <f>IF(OR(Table4[[#This Row],[INSTALLMENT]]=3),3,0)</f>
        <v>3</v>
      </c>
    </row>
    <row r="1018" spans="1:7">
      <c r="A1018" s="1">
        <v>1340</v>
      </c>
      <c r="B1018" s="1" t="s">
        <v>3947</v>
      </c>
      <c r="C1018" s="1" t="s">
        <v>574</v>
      </c>
      <c r="D1018" s="1">
        <f>COUNTIFS('Raw Entries'!B:B,Table4[[#This Row],[Name]],'Raw Entries'!I:I,Table4[[#This Row],[BOOK No.]])</f>
        <v>0</v>
      </c>
      <c r="E1018" s="1">
        <f t="array" ref="E1018">IF(OR(Table4[[#This Row],[INSTALLMENT]]=1,Table4[[#This Row],[INSTALLMENT]]=2,Table4[[#This Row],[INSTALLMENT]]=3),1,0)</f>
        <v>0</v>
      </c>
      <c r="F1018" s="1">
        <f>IF(OR(Table4[[#This Row],[INSTALLMENT]]=2,Table4[[#This Row],[INSTALLMENT]]=3),2,0)</f>
        <v>0</v>
      </c>
      <c r="G1018" s="1">
        <f>IF(OR(Table4[[#This Row],[INSTALLMENT]]=3),3,0)</f>
        <v>0</v>
      </c>
    </row>
    <row r="1019" spans="1:7">
      <c r="A1019" s="1">
        <v>1341</v>
      </c>
      <c r="B1019" s="1" t="s">
        <v>2709</v>
      </c>
      <c r="C1019" s="1" t="s">
        <v>574</v>
      </c>
      <c r="D1019" s="1">
        <f>COUNTIFS('Raw Entries'!B:B,Table4[[#This Row],[Name]],'Raw Entries'!I:I,Table4[[#This Row],[BOOK No.]])</f>
        <v>0</v>
      </c>
      <c r="E1019" s="1">
        <f t="array" ref="E1019">IF(OR(Table4[[#This Row],[INSTALLMENT]]=1,Table4[[#This Row],[INSTALLMENT]]=2,Table4[[#This Row],[INSTALLMENT]]=3),1,0)</f>
        <v>0</v>
      </c>
      <c r="F1019" s="1">
        <f>IF(OR(Table4[[#This Row],[INSTALLMENT]]=2,Table4[[#This Row],[INSTALLMENT]]=3),2,0)</f>
        <v>0</v>
      </c>
      <c r="G1019" s="1">
        <f>IF(OR(Table4[[#This Row],[INSTALLMENT]]=3),3,0)</f>
        <v>0</v>
      </c>
    </row>
    <row r="1020" spans="1:7">
      <c r="A1020" s="1">
        <v>1342</v>
      </c>
      <c r="B1020" s="1" t="s">
        <v>618</v>
      </c>
      <c r="C1020" s="1" t="s">
        <v>574</v>
      </c>
      <c r="D1020" s="1">
        <f>COUNTIFS('Raw Entries'!B:B,Table4[[#This Row],[Name]],'Raw Entries'!I:I,Table4[[#This Row],[BOOK No.]])</f>
        <v>2</v>
      </c>
      <c r="E1020" s="1">
        <f t="array" ref="E1020">IF(OR(Table4[[#This Row],[INSTALLMENT]]=1,Table4[[#This Row],[INSTALLMENT]]=2,Table4[[#This Row],[INSTALLMENT]]=3),1,0)</f>
        <v>1</v>
      </c>
      <c r="F1020" s="1">
        <f>IF(OR(Table4[[#This Row],[INSTALLMENT]]=2,Table4[[#This Row],[INSTALLMENT]]=3),2,0)</f>
        <v>2</v>
      </c>
      <c r="G1020" s="1">
        <f>IF(OR(Table4[[#This Row],[INSTALLMENT]]=3),3,0)</f>
        <v>0</v>
      </c>
    </row>
    <row r="1021" spans="1:7">
      <c r="A1021" s="1">
        <v>1269</v>
      </c>
      <c r="B1021" s="1" t="s">
        <v>428</v>
      </c>
      <c r="C1021" s="1" t="s">
        <v>421</v>
      </c>
      <c r="D1021" s="1">
        <f>COUNTIFS('Raw Entries'!B:B,Table4[[#This Row],[Name]],'Raw Entries'!I:I,Table4[[#This Row],[BOOK No.]])</f>
        <v>2</v>
      </c>
      <c r="E1021" s="1">
        <f t="array" ref="E1021">IF(OR(Table4[[#This Row],[INSTALLMENT]]=1,Table4[[#This Row],[INSTALLMENT]]=2,Table4[[#This Row],[INSTALLMENT]]=3),1,0)</f>
        <v>1</v>
      </c>
      <c r="F1021" s="1">
        <f>IF(OR(Table4[[#This Row],[INSTALLMENT]]=2,Table4[[#This Row],[INSTALLMENT]]=3),2,0)</f>
        <v>2</v>
      </c>
      <c r="G1021" s="1">
        <f>IF(OR(Table4[[#This Row],[INSTALLMENT]]=3),3,0)</f>
        <v>0</v>
      </c>
    </row>
    <row r="1022" spans="1:7">
      <c r="A1022" s="1">
        <v>646</v>
      </c>
      <c r="B1022" s="1" t="s">
        <v>2710</v>
      </c>
      <c r="C1022" s="1" t="s">
        <v>421</v>
      </c>
      <c r="D1022" s="1">
        <f>COUNTIFS('Raw Entries'!B:B,Table4[[#This Row],[Name]],'Raw Entries'!I:I,Table4[[#This Row],[BOOK No.]])</f>
        <v>0</v>
      </c>
      <c r="E1022" s="1">
        <f t="array" ref="E1022">IF(OR(Table4[[#This Row],[INSTALLMENT]]=1,Table4[[#This Row],[INSTALLMENT]]=2,Table4[[#This Row],[INSTALLMENT]]=3),1,0)</f>
        <v>0</v>
      </c>
      <c r="F1022" s="1">
        <f>IF(OR(Table4[[#This Row],[INSTALLMENT]]=2,Table4[[#This Row],[INSTALLMENT]]=3),2,0)</f>
        <v>0</v>
      </c>
      <c r="G1022" s="1">
        <f>IF(OR(Table4[[#This Row],[INSTALLMENT]]=3),3,0)</f>
        <v>0</v>
      </c>
    </row>
    <row r="1023" spans="1:7">
      <c r="A1023" s="1">
        <v>1281</v>
      </c>
      <c r="B1023" s="1" t="s">
        <v>2711</v>
      </c>
      <c r="C1023" s="1" t="s">
        <v>574</v>
      </c>
      <c r="D1023" s="1">
        <f>COUNTIFS('Raw Entries'!B:B,Table4[[#This Row],[Name]],'Raw Entries'!I:I,Table4[[#This Row],[BOOK No.]])</f>
        <v>0</v>
      </c>
      <c r="E1023" s="1">
        <f t="array" ref="E1023">IF(OR(Table4[[#This Row],[INSTALLMENT]]=1,Table4[[#This Row],[INSTALLMENT]]=2,Table4[[#This Row],[INSTALLMENT]]=3),1,0)</f>
        <v>0</v>
      </c>
      <c r="F1023" s="1">
        <f>IF(OR(Table4[[#This Row],[INSTALLMENT]]=2,Table4[[#This Row],[INSTALLMENT]]=3),2,0)</f>
        <v>0</v>
      </c>
      <c r="G1023" s="1">
        <f>IF(OR(Table4[[#This Row],[INSTALLMENT]]=3),3,0)</f>
        <v>0</v>
      </c>
    </row>
    <row r="1024" spans="1:7">
      <c r="A1024" s="1">
        <v>1282</v>
      </c>
      <c r="B1024" s="1" t="s">
        <v>2712</v>
      </c>
      <c r="C1024" s="1" t="s">
        <v>565</v>
      </c>
      <c r="D1024" s="1">
        <f>COUNTIFS('Raw Entries'!B:B,Table4[[#This Row],[Name]],'Raw Entries'!I:I,Table4[[#This Row],[BOOK No.]])</f>
        <v>0</v>
      </c>
      <c r="E1024" s="1">
        <f t="array" ref="E1024">IF(OR(Table4[[#This Row],[INSTALLMENT]]=1,Table4[[#This Row],[INSTALLMENT]]=2,Table4[[#This Row],[INSTALLMENT]]=3),1,0)</f>
        <v>0</v>
      </c>
      <c r="F1024" s="1">
        <f>IF(OR(Table4[[#This Row],[INSTALLMENT]]=2,Table4[[#This Row],[INSTALLMENT]]=3),2,0)</f>
        <v>0</v>
      </c>
      <c r="G1024" s="1">
        <f>IF(OR(Table4[[#This Row],[INSTALLMENT]]=3),3,0)</f>
        <v>0</v>
      </c>
    </row>
    <row r="1025" spans="1:7">
      <c r="A1025" s="1">
        <v>1150</v>
      </c>
      <c r="B1025" s="1" t="s">
        <v>2713</v>
      </c>
      <c r="C1025" s="1" t="s">
        <v>577</v>
      </c>
      <c r="D1025" s="1">
        <f>COUNTIFS('Raw Entries'!B:B,Table4[[#This Row],[Name]],'Raw Entries'!I:I,Table4[[#This Row],[BOOK No.]])</f>
        <v>0</v>
      </c>
      <c r="E1025" s="1">
        <f t="array" ref="E1025">IF(OR(Table4[[#This Row],[INSTALLMENT]]=1,Table4[[#This Row],[INSTALLMENT]]=2,Table4[[#This Row],[INSTALLMENT]]=3),1,0)</f>
        <v>0</v>
      </c>
      <c r="F1025" s="1">
        <f>IF(OR(Table4[[#This Row],[INSTALLMENT]]=2,Table4[[#This Row],[INSTALLMENT]]=3),2,0)</f>
        <v>0</v>
      </c>
      <c r="G1025" s="1">
        <f>IF(OR(Table4[[#This Row],[INSTALLMENT]]=3),3,0)</f>
        <v>0</v>
      </c>
    </row>
    <row r="1026" spans="1:7">
      <c r="A1026" s="1">
        <v>1151</v>
      </c>
      <c r="B1026" s="1" t="s">
        <v>2714</v>
      </c>
      <c r="C1026" s="1" t="s">
        <v>577</v>
      </c>
      <c r="D1026" s="1">
        <f>COUNTIFS('Raw Entries'!B:B,Table4[[#This Row],[Name]],'Raw Entries'!I:I,Table4[[#This Row],[BOOK No.]])</f>
        <v>0</v>
      </c>
      <c r="E1026" s="1">
        <f t="array" ref="E1026">IF(OR(Table4[[#This Row],[INSTALLMENT]]=1,Table4[[#This Row],[INSTALLMENT]]=2,Table4[[#This Row],[INSTALLMENT]]=3),1,0)</f>
        <v>0</v>
      </c>
      <c r="F1026" s="1">
        <f>IF(OR(Table4[[#This Row],[INSTALLMENT]]=2,Table4[[#This Row],[INSTALLMENT]]=3),2,0)</f>
        <v>0</v>
      </c>
      <c r="G1026" s="1">
        <f>IF(OR(Table4[[#This Row],[INSTALLMENT]]=3),3,0)</f>
        <v>0</v>
      </c>
    </row>
    <row r="1027" spans="1:7">
      <c r="A1027" s="1">
        <v>1152</v>
      </c>
      <c r="B1027" s="1" t="s">
        <v>566</v>
      </c>
      <c r="C1027" s="1" t="s">
        <v>577</v>
      </c>
      <c r="D1027" s="1">
        <f>COUNTIFS('Raw Entries'!B:B,Table4[[#This Row],[Name]],'Raw Entries'!I:I,Table4[[#This Row],[BOOK No.]])</f>
        <v>0</v>
      </c>
      <c r="E1027" s="1">
        <f t="array" ref="E1027">IF(OR(Table4[[#This Row],[INSTALLMENT]]=1,Table4[[#This Row],[INSTALLMENT]]=2,Table4[[#This Row],[INSTALLMENT]]=3),1,0)</f>
        <v>0</v>
      </c>
      <c r="F1027" s="1">
        <f>IF(OR(Table4[[#This Row],[INSTALLMENT]]=2,Table4[[#This Row],[INSTALLMENT]]=3),2,0)</f>
        <v>0</v>
      </c>
      <c r="G1027" s="1">
        <f>IF(OR(Table4[[#This Row],[INSTALLMENT]]=3),3,0)</f>
        <v>0</v>
      </c>
    </row>
    <row r="1028" spans="1:7">
      <c r="A1028" s="1">
        <v>1153</v>
      </c>
      <c r="B1028" s="1" t="s">
        <v>2715</v>
      </c>
      <c r="C1028" s="1" t="s">
        <v>577</v>
      </c>
      <c r="D1028" s="1">
        <f>COUNTIFS('Raw Entries'!B:B,Table4[[#This Row],[Name]],'Raw Entries'!I:I,Table4[[#This Row],[BOOK No.]])</f>
        <v>0</v>
      </c>
      <c r="E1028" s="1">
        <f t="array" ref="E1028">IF(OR(Table4[[#This Row],[INSTALLMENT]]=1,Table4[[#This Row],[INSTALLMENT]]=2,Table4[[#This Row],[INSTALLMENT]]=3),1,0)</f>
        <v>0</v>
      </c>
      <c r="F1028" s="1">
        <f>IF(OR(Table4[[#This Row],[INSTALLMENT]]=2,Table4[[#This Row],[INSTALLMENT]]=3),2,0)</f>
        <v>0</v>
      </c>
      <c r="G1028" s="1">
        <f>IF(OR(Table4[[#This Row],[INSTALLMENT]]=3),3,0)</f>
        <v>0</v>
      </c>
    </row>
    <row r="1029" spans="1:7">
      <c r="A1029" s="1">
        <v>1154</v>
      </c>
      <c r="B1029" s="1" t="s">
        <v>2716</v>
      </c>
      <c r="C1029" s="1" t="s">
        <v>577</v>
      </c>
      <c r="D1029" s="1">
        <f>COUNTIFS('Raw Entries'!B:B,Table4[[#This Row],[Name]],'Raw Entries'!I:I,Table4[[#This Row],[BOOK No.]])</f>
        <v>0</v>
      </c>
      <c r="E1029" s="1">
        <f t="array" ref="E1029">IF(OR(Table4[[#This Row],[INSTALLMENT]]=1,Table4[[#This Row],[INSTALLMENT]]=2,Table4[[#This Row],[INSTALLMENT]]=3),1,0)</f>
        <v>0</v>
      </c>
      <c r="F1029" s="1">
        <f>IF(OR(Table4[[#This Row],[INSTALLMENT]]=2,Table4[[#This Row],[INSTALLMENT]]=3),2,0)</f>
        <v>0</v>
      </c>
      <c r="G1029" s="1">
        <f>IF(OR(Table4[[#This Row],[INSTALLMENT]]=3),3,0)</f>
        <v>0</v>
      </c>
    </row>
    <row r="1030" spans="1:7">
      <c r="A1030" s="1">
        <v>1155</v>
      </c>
      <c r="B1030" s="1" t="s">
        <v>2717</v>
      </c>
      <c r="C1030" s="1" t="s">
        <v>577</v>
      </c>
      <c r="D1030" s="1">
        <f>COUNTIFS('Raw Entries'!B:B,Table4[[#This Row],[Name]],'Raw Entries'!I:I,Table4[[#This Row],[BOOK No.]])</f>
        <v>0</v>
      </c>
      <c r="E1030" s="1">
        <f t="array" ref="E1030">IF(OR(Table4[[#This Row],[INSTALLMENT]]=1,Table4[[#This Row],[INSTALLMENT]]=2,Table4[[#This Row],[INSTALLMENT]]=3),1,0)</f>
        <v>0</v>
      </c>
      <c r="F1030" s="1">
        <f>IF(OR(Table4[[#This Row],[INSTALLMENT]]=2,Table4[[#This Row],[INSTALLMENT]]=3),2,0)</f>
        <v>0</v>
      </c>
      <c r="G1030" s="1">
        <f>IF(OR(Table4[[#This Row],[INSTALLMENT]]=3),3,0)</f>
        <v>0</v>
      </c>
    </row>
    <row r="1031" spans="1:7">
      <c r="A1031" s="1">
        <v>1156</v>
      </c>
      <c r="B1031" s="1" t="s">
        <v>2718</v>
      </c>
      <c r="C1031" s="1" t="s">
        <v>577</v>
      </c>
      <c r="D1031" s="1">
        <f>COUNTIFS('Raw Entries'!B:B,Table4[[#This Row],[Name]],'Raw Entries'!I:I,Table4[[#This Row],[BOOK No.]])</f>
        <v>0</v>
      </c>
      <c r="E1031" s="1">
        <f t="array" ref="E1031">IF(OR(Table4[[#This Row],[INSTALLMENT]]=1,Table4[[#This Row],[INSTALLMENT]]=2,Table4[[#This Row],[INSTALLMENT]]=3),1,0)</f>
        <v>0</v>
      </c>
      <c r="F1031" s="1">
        <f>IF(OR(Table4[[#This Row],[INSTALLMENT]]=2,Table4[[#This Row],[INSTALLMENT]]=3),2,0)</f>
        <v>0</v>
      </c>
      <c r="G1031" s="1">
        <f>IF(OR(Table4[[#This Row],[INSTALLMENT]]=3),3,0)</f>
        <v>0</v>
      </c>
    </row>
    <row r="1032" spans="1:7">
      <c r="A1032" s="1">
        <v>1157</v>
      </c>
      <c r="B1032" s="1" t="s">
        <v>2719</v>
      </c>
      <c r="C1032" s="1" t="s">
        <v>577</v>
      </c>
      <c r="D1032" s="1">
        <f>COUNTIFS('Raw Entries'!B:B,Table4[[#This Row],[Name]],'Raw Entries'!I:I,Table4[[#This Row],[BOOK No.]])</f>
        <v>0</v>
      </c>
      <c r="E1032" s="1">
        <f t="array" ref="E1032">IF(OR(Table4[[#This Row],[INSTALLMENT]]=1,Table4[[#This Row],[INSTALLMENT]]=2,Table4[[#This Row],[INSTALLMENT]]=3),1,0)</f>
        <v>0</v>
      </c>
      <c r="F1032" s="1">
        <f>IF(OR(Table4[[#This Row],[INSTALLMENT]]=2,Table4[[#This Row],[INSTALLMENT]]=3),2,0)</f>
        <v>0</v>
      </c>
      <c r="G1032" s="1">
        <f>IF(OR(Table4[[#This Row],[INSTALLMENT]]=3),3,0)</f>
        <v>0</v>
      </c>
    </row>
    <row r="1033" spans="1:7">
      <c r="A1033" s="1">
        <v>1158</v>
      </c>
      <c r="B1033" s="1" t="s">
        <v>2720</v>
      </c>
      <c r="C1033" s="1" t="s">
        <v>577</v>
      </c>
      <c r="D1033" s="1">
        <f>COUNTIFS('Raw Entries'!B:B,Table4[[#This Row],[Name]],'Raw Entries'!I:I,Table4[[#This Row],[BOOK No.]])</f>
        <v>0</v>
      </c>
      <c r="E1033" s="1">
        <f t="array" ref="E1033">IF(OR(Table4[[#This Row],[INSTALLMENT]]=1,Table4[[#This Row],[INSTALLMENT]]=2,Table4[[#This Row],[INSTALLMENT]]=3),1,0)</f>
        <v>0</v>
      </c>
      <c r="F1033" s="1">
        <f>IF(OR(Table4[[#This Row],[INSTALLMENT]]=2,Table4[[#This Row],[INSTALLMENT]]=3),2,0)</f>
        <v>0</v>
      </c>
      <c r="G1033" s="1">
        <f>IF(OR(Table4[[#This Row],[INSTALLMENT]]=3),3,0)</f>
        <v>0</v>
      </c>
    </row>
    <row r="1034" spans="1:7">
      <c r="A1034" s="1">
        <v>1159</v>
      </c>
      <c r="B1034" s="1" t="s">
        <v>2721</v>
      </c>
      <c r="C1034" s="1" t="s">
        <v>577</v>
      </c>
      <c r="D1034" s="1">
        <f>COUNTIFS('Raw Entries'!B:B,Table4[[#This Row],[Name]],'Raw Entries'!I:I,Table4[[#This Row],[BOOK No.]])</f>
        <v>0</v>
      </c>
      <c r="E1034" s="1">
        <f t="array" ref="E1034">IF(OR(Table4[[#This Row],[INSTALLMENT]]=1,Table4[[#This Row],[INSTALLMENT]]=2,Table4[[#This Row],[INSTALLMENT]]=3),1,0)</f>
        <v>0</v>
      </c>
      <c r="F1034" s="1">
        <f>IF(OR(Table4[[#This Row],[INSTALLMENT]]=2,Table4[[#This Row],[INSTALLMENT]]=3),2,0)</f>
        <v>0</v>
      </c>
      <c r="G1034" s="1">
        <f>IF(OR(Table4[[#This Row],[INSTALLMENT]]=3),3,0)</f>
        <v>0</v>
      </c>
    </row>
    <row r="1035" spans="1:7">
      <c r="A1035" s="1">
        <v>1160</v>
      </c>
      <c r="B1035" s="1" t="s">
        <v>2722</v>
      </c>
      <c r="C1035" s="1" t="s">
        <v>577</v>
      </c>
      <c r="D1035" s="1">
        <f>COUNTIFS('Raw Entries'!B:B,Table4[[#This Row],[Name]],'Raw Entries'!I:I,Table4[[#This Row],[BOOK No.]])</f>
        <v>0</v>
      </c>
      <c r="E1035" s="1">
        <f t="array" ref="E1035">IF(OR(Table4[[#This Row],[INSTALLMENT]]=1,Table4[[#This Row],[INSTALLMENT]]=2,Table4[[#This Row],[INSTALLMENT]]=3),1,0)</f>
        <v>0</v>
      </c>
      <c r="F1035" s="1">
        <f>IF(OR(Table4[[#This Row],[INSTALLMENT]]=2,Table4[[#This Row],[INSTALLMENT]]=3),2,0)</f>
        <v>0</v>
      </c>
      <c r="G1035" s="1">
        <f>IF(OR(Table4[[#This Row],[INSTALLMENT]]=3),3,0)</f>
        <v>0</v>
      </c>
    </row>
    <row r="1036" spans="1:7">
      <c r="A1036" s="1">
        <v>1161</v>
      </c>
      <c r="B1036" s="1" t="s">
        <v>2723</v>
      </c>
      <c r="C1036" s="1" t="s">
        <v>577</v>
      </c>
      <c r="D1036" s="1">
        <f>COUNTIFS('Raw Entries'!B:B,Table4[[#This Row],[Name]],'Raw Entries'!I:I,Table4[[#This Row],[BOOK No.]])</f>
        <v>0</v>
      </c>
      <c r="E1036" s="1">
        <f t="array" ref="E1036">IF(OR(Table4[[#This Row],[INSTALLMENT]]=1,Table4[[#This Row],[INSTALLMENT]]=2,Table4[[#This Row],[INSTALLMENT]]=3),1,0)</f>
        <v>0</v>
      </c>
      <c r="F1036" s="1">
        <f>IF(OR(Table4[[#This Row],[INSTALLMENT]]=2,Table4[[#This Row],[INSTALLMENT]]=3),2,0)</f>
        <v>0</v>
      </c>
      <c r="G1036" s="1">
        <f>IF(OR(Table4[[#This Row],[INSTALLMENT]]=3),3,0)</f>
        <v>0</v>
      </c>
    </row>
    <row r="1037" spans="1:7">
      <c r="A1037" s="1">
        <v>1162</v>
      </c>
      <c r="B1037" s="1" t="s">
        <v>2724</v>
      </c>
      <c r="C1037" s="1" t="s">
        <v>577</v>
      </c>
      <c r="D1037" s="1">
        <f>COUNTIFS('Raw Entries'!B:B,Table4[[#This Row],[Name]],'Raw Entries'!I:I,Table4[[#This Row],[BOOK No.]])</f>
        <v>0</v>
      </c>
      <c r="E1037" s="1">
        <f t="array" ref="E1037">IF(OR(Table4[[#This Row],[INSTALLMENT]]=1,Table4[[#This Row],[INSTALLMENT]]=2,Table4[[#This Row],[INSTALLMENT]]=3),1,0)</f>
        <v>0</v>
      </c>
      <c r="F1037" s="1">
        <f>IF(OR(Table4[[#This Row],[INSTALLMENT]]=2,Table4[[#This Row],[INSTALLMENT]]=3),2,0)</f>
        <v>0</v>
      </c>
      <c r="G1037" s="1">
        <f>IF(OR(Table4[[#This Row],[INSTALLMENT]]=3),3,0)</f>
        <v>0</v>
      </c>
    </row>
    <row r="1038" spans="1:7">
      <c r="A1038" s="1">
        <v>1163</v>
      </c>
      <c r="B1038" s="1" t="s">
        <v>2725</v>
      </c>
      <c r="C1038" s="1" t="s">
        <v>577</v>
      </c>
      <c r="D1038" s="1">
        <f>COUNTIFS('Raw Entries'!B:B,Table4[[#This Row],[Name]],'Raw Entries'!I:I,Table4[[#This Row],[BOOK No.]])</f>
        <v>0</v>
      </c>
      <c r="E1038" s="1">
        <f t="array" ref="E1038">IF(OR(Table4[[#This Row],[INSTALLMENT]]=1,Table4[[#This Row],[INSTALLMENT]]=2,Table4[[#This Row],[INSTALLMENT]]=3),1,0)</f>
        <v>0</v>
      </c>
      <c r="F1038" s="1">
        <f>IF(OR(Table4[[#This Row],[INSTALLMENT]]=2,Table4[[#This Row],[INSTALLMENT]]=3),2,0)</f>
        <v>0</v>
      </c>
      <c r="G1038" s="1">
        <f>IF(OR(Table4[[#This Row],[INSTALLMENT]]=3),3,0)</f>
        <v>0</v>
      </c>
    </row>
    <row r="1039" spans="1:7">
      <c r="A1039" s="1">
        <v>1164</v>
      </c>
      <c r="B1039" s="1" t="s">
        <v>2726</v>
      </c>
      <c r="C1039" s="1" t="s">
        <v>577</v>
      </c>
      <c r="D1039" s="1">
        <f>COUNTIFS('Raw Entries'!B:B,Table4[[#This Row],[Name]],'Raw Entries'!I:I,Table4[[#This Row],[BOOK No.]])</f>
        <v>0</v>
      </c>
      <c r="E1039" s="1">
        <f t="array" ref="E1039">IF(OR(Table4[[#This Row],[INSTALLMENT]]=1,Table4[[#This Row],[INSTALLMENT]]=2,Table4[[#This Row],[INSTALLMENT]]=3),1,0)</f>
        <v>0</v>
      </c>
      <c r="F1039" s="1">
        <f>IF(OR(Table4[[#This Row],[INSTALLMENT]]=2,Table4[[#This Row],[INSTALLMENT]]=3),2,0)</f>
        <v>0</v>
      </c>
      <c r="G1039" s="1">
        <f>IF(OR(Table4[[#This Row],[INSTALLMENT]]=3),3,0)</f>
        <v>0</v>
      </c>
    </row>
    <row r="1040" spans="1:7">
      <c r="A1040" s="1">
        <v>1165</v>
      </c>
      <c r="B1040" s="1" t="s">
        <v>2727</v>
      </c>
      <c r="C1040" s="1" t="s">
        <v>577</v>
      </c>
      <c r="D1040" s="1">
        <f>COUNTIFS('Raw Entries'!B:B,Table4[[#This Row],[Name]],'Raw Entries'!I:I,Table4[[#This Row],[BOOK No.]])</f>
        <v>0</v>
      </c>
      <c r="E1040" s="1">
        <f t="array" ref="E1040">IF(OR(Table4[[#This Row],[INSTALLMENT]]=1,Table4[[#This Row],[INSTALLMENT]]=2,Table4[[#This Row],[INSTALLMENT]]=3),1,0)</f>
        <v>0</v>
      </c>
      <c r="F1040" s="1">
        <f>IF(OR(Table4[[#This Row],[INSTALLMENT]]=2,Table4[[#This Row],[INSTALLMENT]]=3),2,0)</f>
        <v>0</v>
      </c>
      <c r="G1040" s="1">
        <f>IF(OR(Table4[[#This Row],[INSTALLMENT]]=3),3,0)</f>
        <v>0</v>
      </c>
    </row>
    <row r="1041" spans="1:7">
      <c r="A1041" s="1">
        <v>1166</v>
      </c>
      <c r="B1041" s="1" t="s">
        <v>2728</v>
      </c>
      <c r="C1041" s="1" t="s">
        <v>577</v>
      </c>
      <c r="D1041" s="1">
        <f>COUNTIFS('Raw Entries'!B:B,Table4[[#This Row],[Name]],'Raw Entries'!I:I,Table4[[#This Row],[BOOK No.]])</f>
        <v>0</v>
      </c>
      <c r="E1041" s="1">
        <f t="array" ref="E1041">IF(OR(Table4[[#This Row],[INSTALLMENT]]=1,Table4[[#This Row],[INSTALLMENT]]=2,Table4[[#This Row],[INSTALLMENT]]=3),1,0)</f>
        <v>0</v>
      </c>
      <c r="F1041" s="1">
        <f>IF(OR(Table4[[#This Row],[INSTALLMENT]]=2,Table4[[#This Row],[INSTALLMENT]]=3),2,0)</f>
        <v>0</v>
      </c>
      <c r="G1041" s="1">
        <f>IF(OR(Table4[[#This Row],[INSTALLMENT]]=3),3,0)</f>
        <v>0</v>
      </c>
    </row>
    <row r="1042" spans="1:7">
      <c r="A1042" s="1">
        <v>1167</v>
      </c>
      <c r="B1042" s="1" t="s">
        <v>578</v>
      </c>
      <c r="C1042" s="1" t="s">
        <v>577</v>
      </c>
      <c r="D1042" s="1">
        <f>COUNTIFS('Raw Entries'!B:B,Table4[[#This Row],[Name]],'Raw Entries'!I:I,Table4[[#This Row],[BOOK No.]])</f>
        <v>3</v>
      </c>
      <c r="E1042" s="1">
        <f t="array" ref="E1042">IF(OR(Table4[[#This Row],[INSTALLMENT]]=1,Table4[[#This Row],[INSTALLMENT]]=2,Table4[[#This Row],[INSTALLMENT]]=3),1,0)</f>
        <v>1</v>
      </c>
      <c r="F1042" s="1">
        <f>IF(OR(Table4[[#This Row],[INSTALLMENT]]=2,Table4[[#This Row],[INSTALLMENT]]=3),2,0)</f>
        <v>2</v>
      </c>
      <c r="G1042" s="1">
        <f>IF(OR(Table4[[#This Row],[INSTALLMENT]]=3),3,0)</f>
        <v>3</v>
      </c>
    </row>
    <row r="1043" spans="1:7">
      <c r="A1043" s="1">
        <v>1168</v>
      </c>
      <c r="B1043" s="1" t="s">
        <v>3948</v>
      </c>
      <c r="C1043" s="1" t="s">
        <v>577</v>
      </c>
      <c r="D1043" s="1">
        <f>COUNTIFS('Raw Entries'!B:B,Table4[[#This Row],[Name]],'Raw Entries'!I:I,Table4[[#This Row],[BOOK No.]])</f>
        <v>0</v>
      </c>
      <c r="E1043" s="1">
        <f t="array" ref="E1043">IF(OR(Table4[[#This Row],[INSTALLMENT]]=1,Table4[[#This Row],[INSTALLMENT]]=2,Table4[[#This Row],[INSTALLMENT]]=3),1,0)</f>
        <v>0</v>
      </c>
      <c r="F1043" s="1">
        <f>IF(OR(Table4[[#This Row],[INSTALLMENT]]=2,Table4[[#This Row],[INSTALLMENT]]=3),2,0)</f>
        <v>0</v>
      </c>
      <c r="G1043" s="1">
        <f>IF(OR(Table4[[#This Row],[INSTALLMENT]]=3),3,0)</f>
        <v>0</v>
      </c>
    </row>
    <row r="1044" spans="1:7">
      <c r="A1044" s="1">
        <v>1169</v>
      </c>
      <c r="B1044" s="1" t="s">
        <v>2729</v>
      </c>
      <c r="C1044" s="1" t="s">
        <v>577</v>
      </c>
      <c r="D1044" s="1">
        <f>COUNTIFS('Raw Entries'!B:B,Table4[[#This Row],[Name]],'Raw Entries'!I:I,Table4[[#This Row],[BOOK No.]])</f>
        <v>0</v>
      </c>
      <c r="E1044" s="1">
        <f t="array" ref="E1044">IF(OR(Table4[[#This Row],[INSTALLMENT]]=1,Table4[[#This Row],[INSTALLMENT]]=2,Table4[[#This Row],[INSTALLMENT]]=3),1,0)</f>
        <v>0</v>
      </c>
      <c r="F1044" s="1">
        <f>IF(OR(Table4[[#This Row],[INSTALLMENT]]=2,Table4[[#This Row],[INSTALLMENT]]=3),2,0)</f>
        <v>0</v>
      </c>
      <c r="G1044" s="1">
        <f>IF(OR(Table4[[#This Row],[INSTALLMENT]]=3),3,0)</f>
        <v>0</v>
      </c>
    </row>
    <row r="1045" spans="1:7">
      <c r="A1045" s="1">
        <v>1170</v>
      </c>
      <c r="B1045" s="1" t="s">
        <v>2730</v>
      </c>
      <c r="C1045" s="1" t="s">
        <v>577</v>
      </c>
      <c r="D1045" s="1">
        <f>COUNTIFS('Raw Entries'!B:B,Table4[[#This Row],[Name]],'Raw Entries'!I:I,Table4[[#This Row],[BOOK No.]])</f>
        <v>0</v>
      </c>
      <c r="E1045" s="1">
        <f t="array" ref="E1045">IF(OR(Table4[[#This Row],[INSTALLMENT]]=1,Table4[[#This Row],[INSTALLMENT]]=2,Table4[[#This Row],[INSTALLMENT]]=3),1,0)</f>
        <v>0</v>
      </c>
      <c r="F1045" s="1">
        <f>IF(OR(Table4[[#This Row],[INSTALLMENT]]=2,Table4[[#This Row],[INSTALLMENT]]=3),2,0)</f>
        <v>0</v>
      </c>
      <c r="G1045" s="1">
        <f>IF(OR(Table4[[#This Row],[INSTALLMENT]]=3),3,0)</f>
        <v>0</v>
      </c>
    </row>
    <row r="1046" spans="1:7">
      <c r="A1046" s="1">
        <v>1171</v>
      </c>
      <c r="B1046" s="1" t="s">
        <v>2731</v>
      </c>
      <c r="C1046" s="1" t="s">
        <v>577</v>
      </c>
      <c r="D1046" s="1">
        <f>COUNTIFS('Raw Entries'!B:B,Table4[[#This Row],[Name]],'Raw Entries'!I:I,Table4[[#This Row],[BOOK No.]])</f>
        <v>0</v>
      </c>
      <c r="E1046" s="1">
        <f t="array" ref="E1046">IF(OR(Table4[[#This Row],[INSTALLMENT]]=1,Table4[[#This Row],[INSTALLMENT]]=2,Table4[[#This Row],[INSTALLMENT]]=3),1,0)</f>
        <v>0</v>
      </c>
      <c r="F1046" s="1">
        <f>IF(OR(Table4[[#This Row],[INSTALLMENT]]=2,Table4[[#This Row],[INSTALLMENT]]=3),2,0)</f>
        <v>0</v>
      </c>
      <c r="G1046" s="1">
        <f>IF(OR(Table4[[#This Row],[INSTALLMENT]]=3),3,0)</f>
        <v>0</v>
      </c>
    </row>
    <row r="1047" spans="1:7">
      <c r="A1047" s="1">
        <v>1172</v>
      </c>
      <c r="B1047" s="1" t="s">
        <v>2732</v>
      </c>
      <c r="C1047" s="1" t="s">
        <v>577</v>
      </c>
      <c r="D1047" s="1">
        <f>COUNTIFS('Raw Entries'!B:B,Table4[[#This Row],[Name]],'Raw Entries'!I:I,Table4[[#This Row],[BOOK No.]])</f>
        <v>0</v>
      </c>
      <c r="E1047" s="1">
        <f t="array" ref="E1047">IF(OR(Table4[[#This Row],[INSTALLMENT]]=1,Table4[[#This Row],[INSTALLMENT]]=2,Table4[[#This Row],[INSTALLMENT]]=3),1,0)</f>
        <v>0</v>
      </c>
      <c r="F1047" s="1">
        <f>IF(OR(Table4[[#This Row],[INSTALLMENT]]=2,Table4[[#This Row],[INSTALLMENT]]=3),2,0)</f>
        <v>0</v>
      </c>
      <c r="G1047" s="1">
        <f>IF(OR(Table4[[#This Row],[INSTALLMENT]]=3),3,0)</f>
        <v>0</v>
      </c>
    </row>
    <row r="1048" spans="1:7">
      <c r="A1048" s="1">
        <v>1173</v>
      </c>
      <c r="B1048" s="1" t="s">
        <v>2733</v>
      </c>
      <c r="C1048" s="1" t="s">
        <v>577</v>
      </c>
      <c r="D1048" s="1">
        <f>COUNTIFS('Raw Entries'!B:B,Table4[[#This Row],[Name]],'Raw Entries'!I:I,Table4[[#This Row],[BOOK No.]])</f>
        <v>0</v>
      </c>
      <c r="E1048" s="1">
        <f t="array" ref="E1048">IF(OR(Table4[[#This Row],[INSTALLMENT]]=1,Table4[[#This Row],[INSTALLMENT]]=2,Table4[[#This Row],[INSTALLMENT]]=3),1,0)</f>
        <v>0</v>
      </c>
      <c r="F1048" s="1">
        <f>IF(OR(Table4[[#This Row],[INSTALLMENT]]=2,Table4[[#This Row],[INSTALLMENT]]=3),2,0)</f>
        <v>0</v>
      </c>
      <c r="G1048" s="1">
        <f>IF(OR(Table4[[#This Row],[INSTALLMENT]]=3),3,0)</f>
        <v>0</v>
      </c>
    </row>
    <row r="1049" spans="1:7">
      <c r="A1049" s="1">
        <v>1174</v>
      </c>
      <c r="B1049" s="1" t="s">
        <v>362</v>
      </c>
      <c r="C1049" s="1" t="s">
        <v>577</v>
      </c>
      <c r="D1049" s="1">
        <f>COUNTIFS('Raw Entries'!B:B,Table4[[#This Row],[Name]],'Raw Entries'!I:I,Table4[[#This Row],[BOOK No.]])</f>
        <v>0</v>
      </c>
      <c r="E1049" s="1">
        <f t="array" ref="E1049">IF(OR(Table4[[#This Row],[INSTALLMENT]]=1,Table4[[#This Row],[INSTALLMENT]]=2,Table4[[#This Row],[INSTALLMENT]]=3),1,0)</f>
        <v>0</v>
      </c>
      <c r="F1049" s="1">
        <f>IF(OR(Table4[[#This Row],[INSTALLMENT]]=2,Table4[[#This Row],[INSTALLMENT]]=3),2,0)</f>
        <v>0</v>
      </c>
      <c r="G1049" s="1">
        <f>IF(OR(Table4[[#This Row],[INSTALLMENT]]=3),3,0)</f>
        <v>0</v>
      </c>
    </row>
    <row r="1050" spans="1:7">
      <c r="A1050" s="1">
        <v>1175</v>
      </c>
      <c r="B1050" s="1" t="s">
        <v>2734</v>
      </c>
      <c r="C1050" s="1" t="s">
        <v>577</v>
      </c>
      <c r="D1050" s="1">
        <f>COUNTIFS('Raw Entries'!B:B,Table4[[#This Row],[Name]],'Raw Entries'!I:I,Table4[[#This Row],[BOOK No.]])</f>
        <v>0</v>
      </c>
      <c r="E1050" s="1">
        <f t="array" ref="E1050">IF(OR(Table4[[#This Row],[INSTALLMENT]]=1,Table4[[#This Row],[INSTALLMENT]]=2,Table4[[#This Row],[INSTALLMENT]]=3),1,0)</f>
        <v>0</v>
      </c>
      <c r="F1050" s="1">
        <f>IF(OR(Table4[[#This Row],[INSTALLMENT]]=2,Table4[[#This Row],[INSTALLMENT]]=3),2,0)</f>
        <v>0</v>
      </c>
      <c r="G1050" s="1">
        <f>IF(OR(Table4[[#This Row],[INSTALLMENT]]=3),3,0)</f>
        <v>0</v>
      </c>
    </row>
    <row r="1051" spans="1:7">
      <c r="A1051" s="1">
        <v>1176</v>
      </c>
      <c r="B1051" s="1" t="s">
        <v>2735</v>
      </c>
      <c r="C1051" s="1" t="s">
        <v>577</v>
      </c>
      <c r="D1051" s="1">
        <f>COUNTIFS('Raw Entries'!B:B,Table4[[#This Row],[Name]],'Raw Entries'!I:I,Table4[[#This Row],[BOOK No.]])</f>
        <v>0</v>
      </c>
      <c r="E1051" s="1">
        <f t="array" ref="E1051">IF(OR(Table4[[#This Row],[INSTALLMENT]]=1,Table4[[#This Row],[INSTALLMENT]]=2,Table4[[#This Row],[INSTALLMENT]]=3),1,0)</f>
        <v>0</v>
      </c>
      <c r="F1051" s="1">
        <f>IF(OR(Table4[[#This Row],[INSTALLMENT]]=2,Table4[[#This Row],[INSTALLMENT]]=3),2,0)</f>
        <v>0</v>
      </c>
      <c r="G1051" s="1">
        <f>IF(OR(Table4[[#This Row],[INSTALLMENT]]=3),3,0)</f>
        <v>0</v>
      </c>
    </row>
    <row r="1052" spans="1:7">
      <c r="A1052" s="1">
        <v>1177</v>
      </c>
      <c r="B1052" s="1" t="s">
        <v>2736</v>
      </c>
      <c r="C1052" s="1" t="s">
        <v>577</v>
      </c>
      <c r="D1052" s="1">
        <f>COUNTIFS('Raw Entries'!B:B,Table4[[#This Row],[Name]],'Raw Entries'!I:I,Table4[[#This Row],[BOOK No.]])</f>
        <v>0</v>
      </c>
      <c r="E1052" s="1">
        <f t="array" ref="E1052">IF(OR(Table4[[#This Row],[INSTALLMENT]]=1,Table4[[#This Row],[INSTALLMENT]]=2,Table4[[#This Row],[INSTALLMENT]]=3),1,0)</f>
        <v>0</v>
      </c>
      <c r="F1052" s="1">
        <f>IF(OR(Table4[[#This Row],[INSTALLMENT]]=2,Table4[[#This Row],[INSTALLMENT]]=3),2,0)</f>
        <v>0</v>
      </c>
      <c r="G1052" s="1">
        <f>IF(OR(Table4[[#This Row],[INSTALLMENT]]=3),3,0)</f>
        <v>0</v>
      </c>
    </row>
    <row r="1053" spans="1:7">
      <c r="A1053" s="1">
        <v>1178</v>
      </c>
      <c r="B1053" s="1" t="s">
        <v>2737</v>
      </c>
      <c r="C1053" s="1" t="s">
        <v>577</v>
      </c>
      <c r="D1053" s="1">
        <f>COUNTIFS('Raw Entries'!B:B,Table4[[#This Row],[Name]],'Raw Entries'!I:I,Table4[[#This Row],[BOOK No.]])</f>
        <v>0</v>
      </c>
      <c r="E1053" s="1">
        <f t="array" ref="E1053">IF(OR(Table4[[#This Row],[INSTALLMENT]]=1,Table4[[#This Row],[INSTALLMENT]]=2,Table4[[#This Row],[INSTALLMENT]]=3),1,0)</f>
        <v>0</v>
      </c>
      <c r="F1053" s="1">
        <f>IF(OR(Table4[[#This Row],[INSTALLMENT]]=2,Table4[[#This Row],[INSTALLMENT]]=3),2,0)</f>
        <v>0</v>
      </c>
      <c r="G1053" s="1">
        <f>IF(OR(Table4[[#This Row],[INSTALLMENT]]=3),3,0)</f>
        <v>0</v>
      </c>
    </row>
    <row r="1054" spans="1:7">
      <c r="A1054" s="1">
        <v>1179</v>
      </c>
      <c r="B1054" s="1" t="s">
        <v>2738</v>
      </c>
      <c r="C1054" s="1" t="s">
        <v>577</v>
      </c>
      <c r="D1054" s="1">
        <f>COUNTIFS('Raw Entries'!B:B,Table4[[#This Row],[Name]],'Raw Entries'!I:I,Table4[[#This Row],[BOOK No.]])</f>
        <v>0</v>
      </c>
      <c r="E1054" s="1">
        <f t="array" ref="E1054">IF(OR(Table4[[#This Row],[INSTALLMENT]]=1,Table4[[#This Row],[INSTALLMENT]]=2,Table4[[#This Row],[INSTALLMENT]]=3),1,0)</f>
        <v>0</v>
      </c>
      <c r="F1054" s="1">
        <f>IF(OR(Table4[[#This Row],[INSTALLMENT]]=2,Table4[[#This Row],[INSTALLMENT]]=3),2,0)</f>
        <v>0</v>
      </c>
      <c r="G1054" s="1">
        <f>IF(OR(Table4[[#This Row],[INSTALLMENT]]=3),3,0)</f>
        <v>0</v>
      </c>
    </row>
    <row r="1055" spans="1:7">
      <c r="A1055" s="1">
        <v>1180</v>
      </c>
      <c r="B1055" s="1" t="s">
        <v>2739</v>
      </c>
      <c r="C1055" s="1" t="s">
        <v>577</v>
      </c>
      <c r="D1055" s="1">
        <f>COUNTIFS('Raw Entries'!B:B,Table4[[#This Row],[Name]],'Raw Entries'!I:I,Table4[[#This Row],[BOOK No.]])</f>
        <v>0</v>
      </c>
      <c r="E1055" s="1">
        <f t="array" ref="E1055">IF(OR(Table4[[#This Row],[INSTALLMENT]]=1,Table4[[#This Row],[INSTALLMENT]]=2,Table4[[#This Row],[INSTALLMENT]]=3),1,0)</f>
        <v>0</v>
      </c>
      <c r="F1055" s="1">
        <f>IF(OR(Table4[[#This Row],[INSTALLMENT]]=2,Table4[[#This Row],[INSTALLMENT]]=3),2,0)</f>
        <v>0</v>
      </c>
      <c r="G1055" s="1">
        <f>IF(OR(Table4[[#This Row],[INSTALLMENT]]=3),3,0)</f>
        <v>0</v>
      </c>
    </row>
    <row r="1056" spans="1:7">
      <c r="A1056" s="1">
        <v>1181</v>
      </c>
      <c r="B1056" s="1" t="s">
        <v>2740</v>
      </c>
      <c r="C1056" s="1" t="s">
        <v>577</v>
      </c>
      <c r="D1056" s="1">
        <f>COUNTIFS('Raw Entries'!B:B,Table4[[#This Row],[Name]],'Raw Entries'!I:I,Table4[[#This Row],[BOOK No.]])</f>
        <v>0</v>
      </c>
      <c r="E1056" s="1">
        <f t="array" ref="E1056">IF(OR(Table4[[#This Row],[INSTALLMENT]]=1,Table4[[#This Row],[INSTALLMENT]]=2,Table4[[#This Row],[INSTALLMENT]]=3),1,0)</f>
        <v>0</v>
      </c>
      <c r="F1056" s="1">
        <f>IF(OR(Table4[[#This Row],[INSTALLMENT]]=2,Table4[[#This Row],[INSTALLMENT]]=3),2,0)</f>
        <v>0</v>
      </c>
      <c r="G1056" s="1">
        <f>IF(OR(Table4[[#This Row],[INSTALLMENT]]=3),3,0)</f>
        <v>0</v>
      </c>
    </row>
    <row r="1057" spans="1:7">
      <c r="A1057" s="1">
        <v>1182</v>
      </c>
      <c r="B1057" s="1" t="s">
        <v>2741</v>
      </c>
      <c r="C1057" s="1" t="s">
        <v>577</v>
      </c>
      <c r="D1057" s="1">
        <f>COUNTIFS('Raw Entries'!B:B,Table4[[#This Row],[Name]],'Raw Entries'!I:I,Table4[[#This Row],[BOOK No.]])</f>
        <v>0</v>
      </c>
      <c r="E1057" s="1">
        <f t="array" ref="E1057">IF(OR(Table4[[#This Row],[INSTALLMENT]]=1,Table4[[#This Row],[INSTALLMENT]]=2,Table4[[#This Row],[INSTALLMENT]]=3),1,0)</f>
        <v>0</v>
      </c>
      <c r="F1057" s="1">
        <f>IF(OR(Table4[[#This Row],[INSTALLMENT]]=2,Table4[[#This Row],[INSTALLMENT]]=3),2,0)</f>
        <v>0</v>
      </c>
      <c r="G1057" s="1">
        <f>IF(OR(Table4[[#This Row],[INSTALLMENT]]=3),3,0)</f>
        <v>0</v>
      </c>
    </row>
    <row r="1058" spans="1:7">
      <c r="A1058" s="1">
        <v>1183</v>
      </c>
      <c r="B1058" s="1" t="s">
        <v>3949</v>
      </c>
      <c r="C1058" s="1" t="s">
        <v>577</v>
      </c>
      <c r="D1058" s="1">
        <f>COUNTIFS('Raw Entries'!B:B,Table4[[#This Row],[Name]],'Raw Entries'!I:I,Table4[[#This Row],[BOOK No.]])</f>
        <v>0</v>
      </c>
      <c r="E1058" s="1">
        <f t="array" ref="E1058">IF(OR(Table4[[#This Row],[INSTALLMENT]]=1,Table4[[#This Row],[INSTALLMENT]]=2,Table4[[#This Row],[INSTALLMENT]]=3),1,0)</f>
        <v>0</v>
      </c>
      <c r="F1058" s="1">
        <f>IF(OR(Table4[[#This Row],[INSTALLMENT]]=2,Table4[[#This Row],[INSTALLMENT]]=3),2,0)</f>
        <v>0</v>
      </c>
      <c r="G1058" s="1">
        <f>IF(OR(Table4[[#This Row],[INSTALLMENT]]=3),3,0)</f>
        <v>0</v>
      </c>
    </row>
    <row r="1059" spans="1:7">
      <c r="A1059" s="1">
        <v>1184</v>
      </c>
      <c r="B1059" s="1" t="s">
        <v>3950</v>
      </c>
      <c r="C1059" s="1" t="s">
        <v>577</v>
      </c>
      <c r="D1059" s="1">
        <f>COUNTIFS('Raw Entries'!B:B,Table4[[#This Row],[Name]],'Raw Entries'!I:I,Table4[[#This Row],[BOOK No.]])</f>
        <v>0</v>
      </c>
      <c r="E1059" s="1">
        <f t="array" ref="E1059">IF(OR(Table4[[#This Row],[INSTALLMENT]]=1,Table4[[#This Row],[INSTALLMENT]]=2,Table4[[#This Row],[INSTALLMENT]]=3),1,0)</f>
        <v>0</v>
      </c>
      <c r="F1059" s="1">
        <f>IF(OR(Table4[[#This Row],[INSTALLMENT]]=2,Table4[[#This Row],[INSTALLMENT]]=3),2,0)</f>
        <v>0</v>
      </c>
      <c r="G1059" s="1">
        <f>IF(OR(Table4[[#This Row],[INSTALLMENT]]=3),3,0)</f>
        <v>0</v>
      </c>
    </row>
    <row r="1060" spans="1:7">
      <c r="A1060" s="1">
        <v>1185</v>
      </c>
      <c r="B1060" s="1" t="s">
        <v>2742</v>
      </c>
      <c r="C1060" s="1" t="s">
        <v>577</v>
      </c>
      <c r="D1060" s="1">
        <f>COUNTIFS('Raw Entries'!B:B,Table4[[#This Row],[Name]],'Raw Entries'!I:I,Table4[[#This Row],[BOOK No.]])</f>
        <v>0</v>
      </c>
      <c r="E1060" s="1">
        <f t="array" ref="E1060">IF(OR(Table4[[#This Row],[INSTALLMENT]]=1,Table4[[#This Row],[INSTALLMENT]]=2,Table4[[#This Row],[INSTALLMENT]]=3),1,0)</f>
        <v>0</v>
      </c>
      <c r="F1060" s="1">
        <f>IF(OR(Table4[[#This Row],[INSTALLMENT]]=2,Table4[[#This Row],[INSTALLMENT]]=3),2,0)</f>
        <v>0</v>
      </c>
      <c r="G1060" s="1">
        <f>IF(OR(Table4[[#This Row],[INSTALLMENT]]=3),3,0)</f>
        <v>0</v>
      </c>
    </row>
    <row r="1061" spans="1:7">
      <c r="A1061" s="1">
        <v>1186</v>
      </c>
      <c r="B1061" s="1" t="s">
        <v>2743</v>
      </c>
      <c r="C1061" s="1" t="s">
        <v>1886</v>
      </c>
      <c r="D1061" s="1">
        <f>COUNTIFS('Raw Entries'!B:B,Table4[[#This Row],[Name]],'Raw Entries'!I:I,Table4[[#This Row],[BOOK No.]])</f>
        <v>0</v>
      </c>
      <c r="E1061" s="1">
        <f t="array" ref="E1061">IF(OR(Table4[[#This Row],[INSTALLMENT]]=1,Table4[[#This Row],[INSTALLMENT]]=2,Table4[[#This Row],[INSTALLMENT]]=3),1,0)</f>
        <v>0</v>
      </c>
      <c r="F1061" s="1">
        <f>IF(OR(Table4[[#This Row],[INSTALLMENT]]=2,Table4[[#This Row],[INSTALLMENT]]=3),2,0)</f>
        <v>0</v>
      </c>
      <c r="G1061" s="1">
        <f>IF(OR(Table4[[#This Row],[INSTALLMENT]]=3),3,0)</f>
        <v>0</v>
      </c>
    </row>
    <row r="1062" spans="1:7">
      <c r="A1062" s="1">
        <v>1187</v>
      </c>
      <c r="B1062" s="1" t="s">
        <v>595</v>
      </c>
      <c r="C1062" s="1" t="s">
        <v>1886</v>
      </c>
      <c r="D1062" s="1">
        <f>COUNTIFS('Raw Entries'!B:B,Table4[[#This Row],[Name]],'Raw Entries'!I:I,Table4[[#This Row],[BOOK No.]])</f>
        <v>0</v>
      </c>
      <c r="E1062" s="1">
        <f t="array" ref="E1062">IF(OR(Table4[[#This Row],[INSTALLMENT]]=1,Table4[[#This Row],[INSTALLMENT]]=2,Table4[[#This Row],[INSTALLMENT]]=3),1,0)</f>
        <v>0</v>
      </c>
      <c r="F1062" s="1">
        <f>IF(OR(Table4[[#This Row],[INSTALLMENT]]=2,Table4[[#This Row],[INSTALLMENT]]=3),2,0)</f>
        <v>0</v>
      </c>
      <c r="G1062" s="1">
        <f>IF(OR(Table4[[#This Row],[INSTALLMENT]]=3),3,0)</f>
        <v>0</v>
      </c>
    </row>
    <row r="1063" spans="1:7">
      <c r="A1063" s="1">
        <v>1188</v>
      </c>
      <c r="B1063" s="1" t="s">
        <v>2744</v>
      </c>
      <c r="C1063" s="1" t="s">
        <v>1886</v>
      </c>
      <c r="D1063" s="1">
        <f>COUNTIFS('Raw Entries'!B:B,Table4[[#This Row],[Name]],'Raw Entries'!I:I,Table4[[#This Row],[BOOK No.]])</f>
        <v>0</v>
      </c>
      <c r="E1063" s="1">
        <f t="array" ref="E1063">IF(OR(Table4[[#This Row],[INSTALLMENT]]=1,Table4[[#This Row],[INSTALLMENT]]=2,Table4[[#This Row],[INSTALLMENT]]=3),1,0)</f>
        <v>0</v>
      </c>
      <c r="F1063" s="1">
        <f>IF(OR(Table4[[#This Row],[INSTALLMENT]]=2,Table4[[#This Row],[INSTALLMENT]]=3),2,0)</f>
        <v>0</v>
      </c>
      <c r="G1063" s="1">
        <f>IF(OR(Table4[[#This Row],[INSTALLMENT]]=3),3,0)</f>
        <v>0</v>
      </c>
    </row>
    <row r="1064" spans="1:7">
      <c r="A1064" s="1">
        <v>1189</v>
      </c>
      <c r="B1064" s="1" t="s">
        <v>2745</v>
      </c>
      <c r="C1064" s="1" t="s">
        <v>1886</v>
      </c>
      <c r="D1064" s="1">
        <f>COUNTIFS('Raw Entries'!B:B,Table4[[#This Row],[Name]],'Raw Entries'!I:I,Table4[[#This Row],[BOOK No.]])</f>
        <v>0</v>
      </c>
      <c r="E1064" s="1">
        <f t="array" ref="E1064">IF(OR(Table4[[#This Row],[INSTALLMENT]]=1,Table4[[#This Row],[INSTALLMENT]]=2,Table4[[#This Row],[INSTALLMENT]]=3),1,0)</f>
        <v>0</v>
      </c>
      <c r="F1064" s="1">
        <f>IF(OR(Table4[[#This Row],[INSTALLMENT]]=2,Table4[[#This Row],[INSTALLMENT]]=3),2,0)</f>
        <v>0</v>
      </c>
      <c r="G1064" s="1">
        <f>IF(OR(Table4[[#This Row],[INSTALLMENT]]=3),3,0)</f>
        <v>0</v>
      </c>
    </row>
    <row r="1065" spans="1:7">
      <c r="A1065" s="1">
        <v>1190</v>
      </c>
      <c r="B1065" s="1" t="s">
        <v>2746</v>
      </c>
      <c r="C1065" s="1" t="s">
        <v>1886</v>
      </c>
      <c r="D1065" s="1">
        <f>COUNTIFS('Raw Entries'!B:B,Table4[[#This Row],[Name]],'Raw Entries'!I:I,Table4[[#This Row],[BOOK No.]])</f>
        <v>0</v>
      </c>
      <c r="E1065" s="1">
        <f t="array" ref="E1065">IF(OR(Table4[[#This Row],[INSTALLMENT]]=1,Table4[[#This Row],[INSTALLMENT]]=2,Table4[[#This Row],[INSTALLMENT]]=3),1,0)</f>
        <v>0</v>
      </c>
      <c r="F1065" s="1">
        <f>IF(OR(Table4[[#This Row],[INSTALLMENT]]=2,Table4[[#This Row],[INSTALLMENT]]=3),2,0)</f>
        <v>0</v>
      </c>
      <c r="G1065" s="1">
        <f>IF(OR(Table4[[#This Row],[INSTALLMENT]]=3),3,0)</f>
        <v>0</v>
      </c>
    </row>
    <row r="1066" spans="1:7">
      <c r="A1066" s="1">
        <v>1191</v>
      </c>
      <c r="B1066" s="1" t="s">
        <v>2747</v>
      </c>
      <c r="C1066" s="1" t="s">
        <v>1886</v>
      </c>
      <c r="D1066" s="1">
        <f>COUNTIFS('Raw Entries'!B:B,Table4[[#This Row],[Name]],'Raw Entries'!I:I,Table4[[#This Row],[BOOK No.]])</f>
        <v>0</v>
      </c>
      <c r="E1066" s="1">
        <f t="array" ref="E1066">IF(OR(Table4[[#This Row],[INSTALLMENT]]=1,Table4[[#This Row],[INSTALLMENT]]=2,Table4[[#This Row],[INSTALLMENT]]=3),1,0)</f>
        <v>0</v>
      </c>
      <c r="F1066" s="1">
        <f>IF(OR(Table4[[#This Row],[INSTALLMENT]]=2,Table4[[#This Row],[INSTALLMENT]]=3),2,0)</f>
        <v>0</v>
      </c>
      <c r="G1066" s="1">
        <f>IF(OR(Table4[[#This Row],[INSTALLMENT]]=3),3,0)</f>
        <v>0</v>
      </c>
    </row>
    <row r="1067" spans="1:7">
      <c r="A1067" s="1">
        <v>1192</v>
      </c>
      <c r="B1067" s="1" t="s">
        <v>2748</v>
      </c>
      <c r="C1067" s="1" t="s">
        <v>1886</v>
      </c>
      <c r="D1067" s="1">
        <f>COUNTIFS('Raw Entries'!B:B,Table4[[#This Row],[Name]],'Raw Entries'!I:I,Table4[[#This Row],[BOOK No.]])</f>
        <v>0</v>
      </c>
      <c r="E1067" s="1">
        <f t="array" ref="E1067">IF(OR(Table4[[#This Row],[INSTALLMENT]]=1,Table4[[#This Row],[INSTALLMENT]]=2,Table4[[#This Row],[INSTALLMENT]]=3),1,0)</f>
        <v>0</v>
      </c>
      <c r="F1067" s="1">
        <f>IF(OR(Table4[[#This Row],[INSTALLMENT]]=2,Table4[[#This Row],[INSTALLMENT]]=3),2,0)</f>
        <v>0</v>
      </c>
      <c r="G1067" s="1">
        <f>IF(OR(Table4[[#This Row],[INSTALLMENT]]=3),3,0)</f>
        <v>0</v>
      </c>
    </row>
    <row r="1068" spans="1:7">
      <c r="A1068" s="1">
        <v>1193</v>
      </c>
      <c r="B1068" s="1" t="s">
        <v>2749</v>
      </c>
      <c r="C1068" s="1" t="s">
        <v>1886</v>
      </c>
      <c r="D1068" s="1">
        <f>COUNTIFS('Raw Entries'!B:B,Table4[[#This Row],[Name]],'Raw Entries'!I:I,Table4[[#This Row],[BOOK No.]])</f>
        <v>0</v>
      </c>
      <c r="E1068" s="1">
        <f t="array" ref="E1068">IF(OR(Table4[[#This Row],[INSTALLMENT]]=1,Table4[[#This Row],[INSTALLMENT]]=2,Table4[[#This Row],[INSTALLMENT]]=3),1,0)</f>
        <v>0</v>
      </c>
      <c r="F1068" s="1">
        <f>IF(OR(Table4[[#This Row],[INSTALLMENT]]=2,Table4[[#This Row],[INSTALLMENT]]=3),2,0)</f>
        <v>0</v>
      </c>
      <c r="G1068" s="1">
        <f>IF(OR(Table4[[#This Row],[INSTALLMENT]]=3),3,0)</f>
        <v>0</v>
      </c>
    </row>
    <row r="1069" spans="1:7">
      <c r="A1069" s="1">
        <v>1194</v>
      </c>
      <c r="B1069" s="1" t="s">
        <v>2750</v>
      </c>
      <c r="C1069" s="1" t="s">
        <v>1886</v>
      </c>
      <c r="D1069" s="1">
        <f>COUNTIFS('Raw Entries'!B:B,Table4[[#This Row],[Name]],'Raw Entries'!I:I,Table4[[#This Row],[BOOK No.]])</f>
        <v>0</v>
      </c>
      <c r="E1069" s="1">
        <f t="array" ref="E1069">IF(OR(Table4[[#This Row],[INSTALLMENT]]=1,Table4[[#This Row],[INSTALLMENT]]=2,Table4[[#This Row],[INSTALLMENT]]=3),1,0)</f>
        <v>0</v>
      </c>
      <c r="F1069" s="1">
        <f>IF(OR(Table4[[#This Row],[INSTALLMENT]]=2,Table4[[#This Row],[INSTALLMENT]]=3),2,0)</f>
        <v>0</v>
      </c>
      <c r="G1069" s="1">
        <f>IF(OR(Table4[[#This Row],[INSTALLMENT]]=3),3,0)</f>
        <v>0</v>
      </c>
    </row>
    <row r="1070" spans="1:7">
      <c r="A1070" s="1">
        <v>1195</v>
      </c>
      <c r="B1070" s="1" t="s">
        <v>2751</v>
      </c>
      <c r="C1070" s="1" t="s">
        <v>579</v>
      </c>
      <c r="D1070" s="1">
        <f>COUNTIFS('Raw Entries'!B:B,Table4[[#This Row],[Name]],'Raw Entries'!I:I,Table4[[#This Row],[BOOK No.]])</f>
        <v>0</v>
      </c>
      <c r="E1070" s="1">
        <f t="array" ref="E1070">IF(OR(Table4[[#This Row],[INSTALLMENT]]=1,Table4[[#This Row],[INSTALLMENT]]=2,Table4[[#This Row],[INSTALLMENT]]=3),1,0)</f>
        <v>0</v>
      </c>
      <c r="F1070" s="1">
        <f>IF(OR(Table4[[#This Row],[INSTALLMENT]]=2,Table4[[#This Row],[INSTALLMENT]]=3),2,0)</f>
        <v>0</v>
      </c>
      <c r="G1070" s="1">
        <f>IF(OR(Table4[[#This Row],[INSTALLMENT]]=3),3,0)</f>
        <v>0</v>
      </c>
    </row>
    <row r="1071" spans="1:7">
      <c r="A1071" s="1">
        <v>1196</v>
      </c>
      <c r="B1071" s="1" t="s">
        <v>2752</v>
      </c>
      <c r="C1071" s="1" t="s">
        <v>579</v>
      </c>
      <c r="D1071" s="1">
        <f>COUNTIFS('Raw Entries'!B:B,Table4[[#This Row],[Name]],'Raw Entries'!I:I,Table4[[#This Row],[BOOK No.]])</f>
        <v>0</v>
      </c>
      <c r="E1071" s="1">
        <f t="array" ref="E1071">IF(OR(Table4[[#This Row],[INSTALLMENT]]=1,Table4[[#This Row],[INSTALLMENT]]=2,Table4[[#This Row],[INSTALLMENT]]=3),1,0)</f>
        <v>0</v>
      </c>
      <c r="F1071" s="1">
        <f>IF(OR(Table4[[#This Row],[INSTALLMENT]]=2,Table4[[#This Row],[INSTALLMENT]]=3),2,0)</f>
        <v>0</v>
      </c>
      <c r="G1071" s="1">
        <f>IF(OR(Table4[[#This Row],[INSTALLMENT]]=3),3,0)</f>
        <v>0</v>
      </c>
    </row>
    <row r="1072" spans="1:7">
      <c r="A1072" s="1">
        <v>1197</v>
      </c>
      <c r="B1072" s="1" t="s">
        <v>2753</v>
      </c>
      <c r="C1072" s="1" t="s">
        <v>579</v>
      </c>
      <c r="D1072" s="1">
        <f>COUNTIFS('Raw Entries'!B:B,Table4[[#This Row],[Name]],'Raw Entries'!I:I,Table4[[#This Row],[BOOK No.]])</f>
        <v>0</v>
      </c>
      <c r="E1072" s="1">
        <f t="array" ref="E1072">IF(OR(Table4[[#This Row],[INSTALLMENT]]=1,Table4[[#This Row],[INSTALLMENT]]=2,Table4[[#This Row],[INSTALLMENT]]=3),1,0)</f>
        <v>0</v>
      </c>
      <c r="F1072" s="1">
        <f>IF(OR(Table4[[#This Row],[INSTALLMENT]]=2,Table4[[#This Row],[INSTALLMENT]]=3),2,0)</f>
        <v>0</v>
      </c>
      <c r="G1072" s="1">
        <f>IF(OR(Table4[[#This Row],[INSTALLMENT]]=3),3,0)</f>
        <v>0</v>
      </c>
    </row>
    <row r="1073" spans="1:7">
      <c r="A1073" s="1">
        <v>1198</v>
      </c>
      <c r="B1073" s="1" t="s">
        <v>580</v>
      </c>
      <c r="C1073" s="1" t="s">
        <v>579</v>
      </c>
      <c r="D1073" s="1">
        <f>COUNTIFS('Raw Entries'!B:B,Table4[[#This Row],[Name]],'Raw Entries'!I:I,Table4[[#This Row],[BOOK No.]])</f>
        <v>1</v>
      </c>
      <c r="E1073" s="1">
        <f t="array" ref="E1073">IF(OR(Table4[[#This Row],[INSTALLMENT]]=1,Table4[[#This Row],[INSTALLMENT]]=2,Table4[[#This Row],[INSTALLMENT]]=3),1,0)</f>
        <v>1</v>
      </c>
      <c r="F1073" s="1">
        <f>IF(OR(Table4[[#This Row],[INSTALLMENT]]=2,Table4[[#This Row],[INSTALLMENT]]=3),2,0)</f>
        <v>0</v>
      </c>
      <c r="G1073" s="1">
        <f>IF(OR(Table4[[#This Row],[INSTALLMENT]]=3),3,0)</f>
        <v>0</v>
      </c>
    </row>
    <row r="1074" spans="1:7">
      <c r="A1074" s="1">
        <v>1199</v>
      </c>
      <c r="B1074" s="1" t="s">
        <v>2754</v>
      </c>
      <c r="C1074" s="1" t="s">
        <v>579</v>
      </c>
      <c r="D1074" s="1">
        <f>COUNTIFS('Raw Entries'!B:B,Table4[[#This Row],[Name]],'Raw Entries'!I:I,Table4[[#This Row],[BOOK No.]])</f>
        <v>0</v>
      </c>
      <c r="E1074" s="1">
        <f t="array" ref="E1074">IF(OR(Table4[[#This Row],[INSTALLMENT]]=1,Table4[[#This Row],[INSTALLMENT]]=2,Table4[[#This Row],[INSTALLMENT]]=3),1,0)</f>
        <v>0</v>
      </c>
      <c r="F1074" s="1">
        <f>IF(OR(Table4[[#This Row],[INSTALLMENT]]=2,Table4[[#This Row],[INSTALLMENT]]=3),2,0)</f>
        <v>0</v>
      </c>
      <c r="G1074" s="1">
        <f>IF(OR(Table4[[#This Row],[INSTALLMENT]]=3),3,0)</f>
        <v>0</v>
      </c>
    </row>
    <row r="1075" spans="1:7">
      <c r="A1075" s="1">
        <v>1200</v>
      </c>
      <c r="B1075" s="1" t="s">
        <v>2755</v>
      </c>
      <c r="C1075" s="1" t="s">
        <v>579</v>
      </c>
      <c r="D1075" s="1">
        <f>COUNTIFS('Raw Entries'!B:B,Table4[[#This Row],[Name]],'Raw Entries'!I:I,Table4[[#This Row],[BOOK No.]])</f>
        <v>0</v>
      </c>
      <c r="E1075" s="1">
        <f t="array" ref="E1075">IF(OR(Table4[[#This Row],[INSTALLMENT]]=1,Table4[[#This Row],[INSTALLMENT]]=2,Table4[[#This Row],[INSTALLMENT]]=3),1,0)</f>
        <v>0</v>
      </c>
      <c r="F1075" s="1">
        <f>IF(OR(Table4[[#This Row],[INSTALLMENT]]=2,Table4[[#This Row],[INSTALLMENT]]=3),2,0)</f>
        <v>0</v>
      </c>
      <c r="G1075" s="1">
        <f>IF(OR(Table4[[#This Row],[INSTALLMENT]]=3),3,0)</f>
        <v>0</v>
      </c>
    </row>
    <row r="1076" spans="1:7">
      <c r="A1076" s="1">
        <v>1201</v>
      </c>
      <c r="B1076" s="1" t="s">
        <v>2756</v>
      </c>
      <c r="C1076" s="1" t="s">
        <v>579</v>
      </c>
      <c r="D1076" s="1">
        <f>COUNTIFS('Raw Entries'!B:B,Table4[[#This Row],[Name]],'Raw Entries'!I:I,Table4[[#This Row],[BOOK No.]])</f>
        <v>0</v>
      </c>
      <c r="E1076" s="1">
        <f t="array" ref="E1076">IF(OR(Table4[[#This Row],[INSTALLMENT]]=1,Table4[[#This Row],[INSTALLMENT]]=2,Table4[[#This Row],[INSTALLMENT]]=3),1,0)</f>
        <v>0</v>
      </c>
      <c r="F1076" s="1">
        <f>IF(OR(Table4[[#This Row],[INSTALLMENT]]=2,Table4[[#This Row],[INSTALLMENT]]=3),2,0)</f>
        <v>0</v>
      </c>
      <c r="G1076" s="1">
        <f>IF(OR(Table4[[#This Row],[INSTALLMENT]]=3),3,0)</f>
        <v>0</v>
      </c>
    </row>
    <row r="1077" spans="1:7">
      <c r="A1077" s="1">
        <v>1202</v>
      </c>
      <c r="B1077" s="1" t="s">
        <v>2757</v>
      </c>
      <c r="C1077" s="1" t="s">
        <v>579</v>
      </c>
      <c r="D1077" s="1">
        <f>COUNTIFS('Raw Entries'!B:B,Table4[[#This Row],[Name]],'Raw Entries'!I:I,Table4[[#This Row],[BOOK No.]])</f>
        <v>0</v>
      </c>
      <c r="E1077" s="1">
        <f t="array" ref="E1077">IF(OR(Table4[[#This Row],[INSTALLMENT]]=1,Table4[[#This Row],[INSTALLMENT]]=2,Table4[[#This Row],[INSTALLMENT]]=3),1,0)</f>
        <v>0</v>
      </c>
      <c r="F1077" s="1">
        <f>IF(OR(Table4[[#This Row],[INSTALLMENT]]=2,Table4[[#This Row],[INSTALLMENT]]=3),2,0)</f>
        <v>0</v>
      </c>
      <c r="G1077" s="1">
        <f>IF(OR(Table4[[#This Row],[INSTALLMENT]]=3),3,0)</f>
        <v>0</v>
      </c>
    </row>
    <row r="1078" spans="1:7">
      <c r="A1078" s="1">
        <v>1203</v>
      </c>
      <c r="B1078" s="1" t="s">
        <v>2758</v>
      </c>
      <c r="C1078" s="1" t="s">
        <v>579</v>
      </c>
      <c r="D1078" s="1">
        <f>COUNTIFS('Raw Entries'!B:B,Table4[[#This Row],[Name]],'Raw Entries'!I:I,Table4[[#This Row],[BOOK No.]])</f>
        <v>0</v>
      </c>
      <c r="E1078" s="1">
        <f t="array" ref="E1078">IF(OR(Table4[[#This Row],[INSTALLMENT]]=1,Table4[[#This Row],[INSTALLMENT]]=2,Table4[[#This Row],[INSTALLMENT]]=3),1,0)</f>
        <v>0</v>
      </c>
      <c r="F1078" s="1">
        <f>IF(OR(Table4[[#This Row],[INSTALLMENT]]=2,Table4[[#This Row],[INSTALLMENT]]=3),2,0)</f>
        <v>0</v>
      </c>
      <c r="G1078" s="1">
        <f>IF(OR(Table4[[#This Row],[INSTALLMENT]]=3),3,0)</f>
        <v>0</v>
      </c>
    </row>
    <row r="1079" spans="1:7">
      <c r="A1079" s="1">
        <v>1204</v>
      </c>
      <c r="B1079" s="1" t="s">
        <v>2759</v>
      </c>
      <c r="C1079" s="1" t="s">
        <v>579</v>
      </c>
      <c r="D1079" s="1">
        <f>COUNTIFS('Raw Entries'!B:B,Table4[[#This Row],[Name]],'Raw Entries'!I:I,Table4[[#This Row],[BOOK No.]])</f>
        <v>0</v>
      </c>
      <c r="E1079" s="1">
        <f t="array" ref="E1079">IF(OR(Table4[[#This Row],[INSTALLMENT]]=1,Table4[[#This Row],[INSTALLMENT]]=2,Table4[[#This Row],[INSTALLMENT]]=3),1,0)</f>
        <v>0</v>
      </c>
      <c r="F1079" s="1">
        <f>IF(OR(Table4[[#This Row],[INSTALLMENT]]=2,Table4[[#This Row],[INSTALLMENT]]=3),2,0)</f>
        <v>0</v>
      </c>
      <c r="G1079" s="1">
        <f>IF(OR(Table4[[#This Row],[INSTALLMENT]]=3),3,0)</f>
        <v>0</v>
      </c>
    </row>
    <row r="1080" spans="1:7">
      <c r="A1080" s="1">
        <v>1205</v>
      </c>
      <c r="B1080" s="1" t="s">
        <v>2760</v>
      </c>
      <c r="C1080" s="1" t="s">
        <v>579</v>
      </c>
      <c r="D1080" s="1">
        <f>COUNTIFS('Raw Entries'!B:B,Table4[[#This Row],[Name]],'Raw Entries'!I:I,Table4[[#This Row],[BOOK No.]])</f>
        <v>0</v>
      </c>
      <c r="E1080" s="1">
        <f t="array" ref="E1080">IF(OR(Table4[[#This Row],[INSTALLMENT]]=1,Table4[[#This Row],[INSTALLMENT]]=2,Table4[[#This Row],[INSTALLMENT]]=3),1,0)</f>
        <v>0</v>
      </c>
      <c r="F1080" s="1">
        <f>IF(OR(Table4[[#This Row],[INSTALLMENT]]=2,Table4[[#This Row],[INSTALLMENT]]=3),2,0)</f>
        <v>0</v>
      </c>
      <c r="G1080" s="1">
        <f>IF(OR(Table4[[#This Row],[INSTALLMENT]]=3),3,0)</f>
        <v>0</v>
      </c>
    </row>
    <row r="1081" spans="1:7">
      <c r="A1081" s="1">
        <v>1206</v>
      </c>
      <c r="B1081" s="1" t="s">
        <v>2761</v>
      </c>
      <c r="C1081" s="1" t="s">
        <v>579</v>
      </c>
      <c r="D1081" s="1">
        <f>COUNTIFS('Raw Entries'!B:B,Table4[[#This Row],[Name]],'Raw Entries'!I:I,Table4[[#This Row],[BOOK No.]])</f>
        <v>0</v>
      </c>
      <c r="E1081" s="1">
        <f t="array" ref="E1081">IF(OR(Table4[[#This Row],[INSTALLMENT]]=1,Table4[[#This Row],[INSTALLMENT]]=2,Table4[[#This Row],[INSTALLMENT]]=3),1,0)</f>
        <v>0</v>
      </c>
      <c r="F1081" s="1">
        <f>IF(OR(Table4[[#This Row],[INSTALLMENT]]=2,Table4[[#This Row],[INSTALLMENT]]=3),2,0)</f>
        <v>0</v>
      </c>
      <c r="G1081" s="1">
        <f>IF(OR(Table4[[#This Row],[INSTALLMENT]]=3),3,0)</f>
        <v>0</v>
      </c>
    </row>
    <row r="1082" spans="1:7">
      <c r="A1082" s="1">
        <v>1207</v>
      </c>
      <c r="B1082" s="1" t="s">
        <v>2762</v>
      </c>
      <c r="C1082" s="1" t="s">
        <v>579</v>
      </c>
      <c r="D1082" s="1">
        <f>COUNTIFS('Raw Entries'!B:B,Table4[[#This Row],[Name]],'Raw Entries'!I:I,Table4[[#This Row],[BOOK No.]])</f>
        <v>0</v>
      </c>
      <c r="E1082" s="1">
        <f t="array" ref="E1082">IF(OR(Table4[[#This Row],[INSTALLMENT]]=1,Table4[[#This Row],[INSTALLMENT]]=2,Table4[[#This Row],[INSTALLMENT]]=3),1,0)</f>
        <v>0</v>
      </c>
      <c r="F1082" s="1">
        <f>IF(OR(Table4[[#This Row],[INSTALLMENT]]=2,Table4[[#This Row],[INSTALLMENT]]=3),2,0)</f>
        <v>0</v>
      </c>
      <c r="G1082" s="1">
        <f>IF(OR(Table4[[#This Row],[INSTALLMENT]]=3),3,0)</f>
        <v>0</v>
      </c>
    </row>
    <row r="1083" spans="1:7">
      <c r="A1083" s="1">
        <v>1208</v>
      </c>
      <c r="B1083" s="1" t="s">
        <v>2763</v>
      </c>
      <c r="C1083" s="1" t="s">
        <v>579</v>
      </c>
      <c r="D1083" s="1">
        <f>COUNTIFS('Raw Entries'!B:B,Table4[[#This Row],[Name]],'Raw Entries'!I:I,Table4[[#This Row],[BOOK No.]])</f>
        <v>0</v>
      </c>
      <c r="E1083" s="1">
        <f t="array" ref="E1083">IF(OR(Table4[[#This Row],[INSTALLMENT]]=1,Table4[[#This Row],[INSTALLMENT]]=2,Table4[[#This Row],[INSTALLMENT]]=3),1,0)</f>
        <v>0</v>
      </c>
      <c r="F1083" s="1">
        <f>IF(OR(Table4[[#This Row],[INSTALLMENT]]=2,Table4[[#This Row],[INSTALLMENT]]=3),2,0)</f>
        <v>0</v>
      </c>
      <c r="G1083" s="1">
        <f>IF(OR(Table4[[#This Row],[INSTALLMENT]]=3),3,0)</f>
        <v>0</v>
      </c>
    </row>
    <row r="1084" spans="1:7">
      <c r="A1084" s="1">
        <v>1209</v>
      </c>
      <c r="B1084" s="1" t="s">
        <v>2764</v>
      </c>
      <c r="C1084" s="1" t="s">
        <v>579</v>
      </c>
      <c r="D1084" s="1">
        <f>COUNTIFS('Raw Entries'!B:B,Table4[[#This Row],[Name]],'Raw Entries'!I:I,Table4[[#This Row],[BOOK No.]])</f>
        <v>0</v>
      </c>
      <c r="E1084" s="1">
        <f t="array" ref="E1084">IF(OR(Table4[[#This Row],[INSTALLMENT]]=1,Table4[[#This Row],[INSTALLMENT]]=2,Table4[[#This Row],[INSTALLMENT]]=3),1,0)</f>
        <v>0</v>
      </c>
      <c r="F1084" s="1">
        <f>IF(OR(Table4[[#This Row],[INSTALLMENT]]=2,Table4[[#This Row],[INSTALLMENT]]=3),2,0)</f>
        <v>0</v>
      </c>
      <c r="G1084" s="1">
        <f>IF(OR(Table4[[#This Row],[INSTALLMENT]]=3),3,0)</f>
        <v>0</v>
      </c>
    </row>
    <row r="1085" spans="1:7">
      <c r="A1085" s="1">
        <v>1210</v>
      </c>
      <c r="B1085" s="1" t="s">
        <v>2765</v>
      </c>
      <c r="C1085" s="1" t="s">
        <v>579</v>
      </c>
      <c r="D1085" s="1">
        <f>COUNTIFS('Raw Entries'!B:B,Table4[[#This Row],[Name]],'Raw Entries'!I:I,Table4[[#This Row],[BOOK No.]])</f>
        <v>0</v>
      </c>
      <c r="E1085" s="1">
        <f t="array" ref="E1085">IF(OR(Table4[[#This Row],[INSTALLMENT]]=1,Table4[[#This Row],[INSTALLMENT]]=2,Table4[[#This Row],[INSTALLMENT]]=3),1,0)</f>
        <v>0</v>
      </c>
      <c r="F1085" s="1">
        <f>IF(OR(Table4[[#This Row],[INSTALLMENT]]=2,Table4[[#This Row],[INSTALLMENT]]=3),2,0)</f>
        <v>0</v>
      </c>
      <c r="G1085" s="1">
        <f>IF(OR(Table4[[#This Row],[INSTALLMENT]]=3),3,0)</f>
        <v>0</v>
      </c>
    </row>
    <row r="1086" spans="1:7">
      <c r="A1086" s="1">
        <v>1211</v>
      </c>
      <c r="B1086" s="1" t="s">
        <v>2766</v>
      </c>
      <c r="C1086" s="1" t="s">
        <v>579</v>
      </c>
      <c r="D1086" s="1">
        <f>COUNTIFS('Raw Entries'!B:B,Table4[[#This Row],[Name]],'Raw Entries'!I:I,Table4[[#This Row],[BOOK No.]])</f>
        <v>0</v>
      </c>
      <c r="E1086" s="1">
        <f t="array" ref="E1086">IF(OR(Table4[[#This Row],[INSTALLMENT]]=1,Table4[[#This Row],[INSTALLMENT]]=2,Table4[[#This Row],[INSTALLMENT]]=3),1,0)</f>
        <v>0</v>
      </c>
      <c r="F1086" s="1">
        <f>IF(OR(Table4[[#This Row],[INSTALLMENT]]=2,Table4[[#This Row],[INSTALLMENT]]=3),2,0)</f>
        <v>0</v>
      </c>
      <c r="G1086" s="1">
        <f>IF(OR(Table4[[#This Row],[INSTALLMENT]]=3),3,0)</f>
        <v>0</v>
      </c>
    </row>
    <row r="1087" spans="1:7">
      <c r="A1087" s="1">
        <v>1212</v>
      </c>
      <c r="B1087" s="1" t="s">
        <v>2767</v>
      </c>
      <c r="C1087" s="1" t="s">
        <v>579</v>
      </c>
      <c r="D1087" s="1">
        <f>COUNTIFS('Raw Entries'!B:B,Table4[[#This Row],[Name]],'Raw Entries'!I:I,Table4[[#This Row],[BOOK No.]])</f>
        <v>0</v>
      </c>
      <c r="E1087" s="1">
        <f t="array" ref="E1087">IF(OR(Table4[[#This Row],[INSTALLMENT]]=1,Table4[[#This Row],[INSTALLMENT]]=2,Table4[[#This Row],[INSTALLMENT]]=3),1,0)</f>
        <v>0</v>
      </c>
      <c r="F1087" s="1">
        <f>IF(OR(Table4[[#This Row],[INSTALLMENT]]=2,Table4[[#This Row],[INSTALLMENT]]=3),2,0)</f>
        <v>0</v>
      </c>
      <c r="G1087" s="1">
        <f>IF(OR(Table4[[#This Row],[INSTALLMENT]]=3),3,0)</f>
        <v>0</v>
      </c>
    </row>
    <row r="1088" spans="1:7">
      <c r="A1088" s="1">
        <v>1213</v>
      </c>
      <c r="B1088" s="1" t="s">
        <v>2768</v>
      </c>
      <c r="C1088" s="1" t="s">
        <v>579</v>
      </c>
      <c r="D1088" s="1">
        <f>COUNTIFS('Raw Entries'!B:B,Table4[[#This Row],[Name]],'Raw Entries'!I:I,Table4[[#This Row],[BOOK No.]])</f>
        <v>0</v>
      </c>
      <c r="E1088" s="1">
        <f t="array" ref="E1088">IF(OR(Table4[[#This Row],[INSTALLMENT]]=1,Table4[[#This Row],[INSTALLMENT]]=2,Table4[[#This Row],[INSTALLMENT]]=3),1,0)</f>
        <v>0</v>
      </c>
      <c r="F1088" s="1">
        <f>IF(OR(Table4[[#This Row],[INSTALLMENT]]=2,Table4[[#This Row],[INSTALLMENT]]=3),2,0)</f>
        <v>0</v>
      </c>
      <c r="G1088" s="1">
        <f>IF(OR(Table4[[#This Row],[INSTALLMENT]]=3),3,0)</f>
        <v>0</v>
      </c>
    </row>
    <row r="1089" spans="1:7">
      <c r="A1089" s="1">
        <v>1214</v>
      </c>
      <c r="B1089" s="1" t="s">
        <v>2769</v>
      </c>
      <c r="C1089" s="1" t="s">
        <v>582</v>
      </c>
      <c r="D1089" s="1">
        <f>COUNTIFS('Raw Entries'!B:B,Table4[[#This Row],[Name]],'Raw Entries'!I:I,Table4[[#This Row],[BOOK No.]])</f>
        <v>0</v>
      </c>
      <c r="E1089" s="1">
        <f t="array" ref="E1089">IF(OR(Table4[[#This Row],[INSTALLMENT]]=1,Table4[[#This Row],[INSTALLMENT]]=2,Table4[[#This Row],[INSTALLMENT]]=3),1,0)</f>
        <v>0</v>
      </c>
      <c r="F1089" s="1">
        <f>IF(OR(Table4[[#This Row],[INSTALLMENT]]=2,Table4[[#This Row],[INSTALLMENT]]=3),2,0)</f>
        <v>0</v>
      </c>
      <c r="G1089" s="1">
        <f>IF(OR(Table4[[#This Row],[INSTALLMENT]]=3),3,0)</f>
        <v>0</v>
      </c>
    </row>
    <row r="1090" spans="1:7">
      <c r="A1090" s="1">
        <v>1215</v>
      </c>
      <c r="B1090" s="1" t="s">
        <v>2770</v>
      </c>
      <c r="C1090" s="1" t="s">
        <v>582</v>
      </c>
      <c r="D1090" s="1">
        <f>COUNTIFS('Raw Entries'!B:B,Table4[[#This Row],[Name]],'Raw Entries'!I:I,Table4[[#This Row],[BOOK No.]])</f>
        <v>0</v>
      </c>
      <c r="E1090" s="1">
        <f t="array" ref="E1090">IF(OR(Table4[[#This Row],[INSTALLMENT]]=1,Table4[[#This Row],[INSTALLMENT]]=2,Table4[[#This Row],[INSTALLMENT]]=3),1,0)</f>
        <v>0</v>
      </c>
      <c r="F1090" s="1">
        <f>IF(OR(Table4[[#This Row],[INSTALLMENT]]=2,Table4[[#This Row],[INSTALLMENT]]=3),2,0)</f>
        <v>0</v>
      </c>
      <c r="G1090" s="1">
        <f>IF(OR(Table4[[#This Row],[INSTALLMENT]]=3),3,0)</f>
        <v>0</v>
      </c>
    </row>
    <row r="1091" spans="1:7">
      <c r="A1091" s="1">
        <v>1216</v>
      </c>
      <c r="B1091" s="1" t="s">
        <v>2771</v>
      </c>
      <c r="C1091" s="1" t="s">
        <v>582</v>
      </c>
      <c r="D1091" s="1">
        <f>COUNTIFS('Raw Entries'!B:B,Table4[[#This Row],[Name]],'Raw Entries'!I:I,Table4[[#This Row],[BOOK No.]])</f>
        <v>0</v>
      </c>
      <c r="E1091" s="1">
        <f t="array" ref="E1091">IF(OR(Table4[[#This Row],[INSTALLMENT]]=1,Table4[[#This Row],[INSTALLMENT]]=2,Table4[[#This Row],[INSTALLMENT]]=3),1,0)</f>
        <v>0</v>
      </c>
      <c r="F1091" s="1">
        <f>IF(OR(Table4[[#This Row],[INSTALLMENT]]=2,Table4[[#This Row],[INSTALLMENT]]=3),2,0)</f>
        <v>0</v>
      </c>
      <c r="G1091" s="1">
        <f>IF(OR(Table4[[#This Row],[INSTALLMENT]]=3),3,0)</f>
        <v>0</v>
      </c>
    </row>
    <row r="1092" spans="1:7">
      <c r="A1092" s="1">
        <v>1217</v>
      </c>
      <c r="B1092" s="1" t="s">
        <v>2772</v>
      </c>
      <c r="C1092" s="1" t="s">
        <v>582</v>
      </c>
      <c r="D1092" s="1">
        <f>COUNTIFS('Raw Entries'!B:B,Table4[[#This Row],[Name]],'Raw Entries'!I:I,Table4[[#This Row],[BOOK No.]])</f>
        <v>0</v>
      </c>
      <c r="E1092" s="1">
        <f t="array" ref="E1092">IF(OR(Table4[[#This Row],[INSTALLMENT]]=1,Table4[[#This Row],[INSTALLMENT]]=2,Table4[[#This Row],[INSTALLMENT]]=3),1,0)</f>
        <v>0</v>
      </c>
      <c r="F1092" s="1">
        <f>IF(OR(Table4[[#This Row],[INSTALLMENT]]=2,Table4[[#This Row],[INSTALLMENT]]=3),2,0)</f>
        <v>0</v>
      </c>
      <c r="G1092" s="1">
        <f>IF(OR(Table4[[#This Row],[INSTALLMENT]]=3),3,0)</f>
        <v>0</v>
      </c>
    </row>
    <row r="1093" spans="1:7">
      <c r="A1093" s="1">
        <v>1218</v>
      </c>
      <c r="B1093" s="1" t="s">
        <v>2773</v>
      </c>
      <c r="C1093" s="1" t="s">
        <v>582</v>
      </c>
      <c r="D1093" s="1">
        <f>COUNTIFS('Raw Entries'!B:B,Table4[[#This Row],[Name]],'Raw Entries'!I:I,Table4[[#This Row],[BOOK No.]])</f>
        <v>0</v>
      </c>
      <c r="E1093" s="1">
        <f t="array" ref="E1093">IF(OR(Table4[[#This Row],[INSTALLMENT]]=1,Table4[[#This Row],[INSTALLMENT]]=2,Table4[[#This Row],[INSTALLMENT]]=3),1,0)</f>
        <v>0</v>
      </c>
      <c r="F1093" s="1">
        <f>IF(OR(Table4[[#This Row],[INSTALLMENT]]=2,Table4[[#This Row],[INSTALLMENT]]=3),2,0)</f>
        <v>0</v>
      </c>
      <c r="G1093" s="1">
        <f>IF(OR(Table4[[#This Row],[INSTALLMENT]]=3),3,0)</f>
        <v>0</v>
      </c>
    </row>
    <row r="1094" spans="1:7">
      <c r="A1094" s="1">
        <v>1219</v>
      </c>
      <c r="B1094" s="1" t="s">
        <v>2774</v>
      </c>
      <c r="C1094" s="1" t="s">
        <v>582</v>
      </c>
      <c r="D1094" s="1">
        <f>COUNTIFS('Raw Entries'!B:B,Table4[[#This Row],[Name]],'Raw Entries'!I:I,Table4[[#This Row],[BOOK No.]])</f>
        <v>0</v>
      </c>
      <c r="E1094" s="1">
        <f t="array" ref="E1094">IF(OR(Table4[[#This Row],[INSTALLMENT]]=1,Table4[[#This Row],[INSTALLMENT]]=2,Table4[[#This Row],[INSTALLMENT]]=3),1,0)</f>
        <v>0</v>
      </c>
      <c r="F1094" s="1">
        <f>IF(OR(Table4[[#This Row],[INSTALLMENT]]=2,Table4[[#This Row],[INSTALLMENT]]=3),2,0)</f>
        <v>0</v>
      </c>
      <c r="G1094" s="1">
        <f>IF(OR(Table4[[#This Row],[INSTALLMENT]]=3),3,0)</f>
        <v>0</v>
      </c>
    </row>
    <row r="1095" spans="1:7">
      <c r="A1095" s="1">
        <v>1220</v>
      </c>
      <c r="B1095" s="1" t="s">
        <v>2775</v>
      </c>
      <c r="C1095" s="1" t="s">
        <v>582</v>
      </c>
      <c r="D1095" s="1">
        <f>COUNTIFS('Raw Entries'!B:B,Table4[[#This Row],[Name]],'Raw Entries'!I:I,Table4[[#This Row],[BOOK No.]])</f>
        <v>0</v>
      </c>
      <c r="E1095" s="1">
        <f t="array" ref="E1095">IF(OR(Table4[[#This Row],[INSTALLMENT]]=1,Table4[[#This Row],[INSTALLMENT]]=2,Table4[[#This Row],[INSTALLMENT]]=3),1,0)</f>
        <v>0</v>
      </c>
      <c r="F1095" s="1">
        <f>IF(OR(Table4[[#This Row],[INSTALLMENT]]=2,Table4[[#This Row],[INSTALLMENT]]=3),2,0)</f>
        <v>0</v>
      </c>
      <c r="G1095" s="1">
        <f>IF(OR(Table4[[#This Row],[INSTALLMENT]]=3),3,0)</f>
        <v>0</v>
      </c>
    </row>
    <row r="1096" spans="1:7">
      <c r="A1096" s="1">
        <v>1221</v>
      </c>
      <c r="B1096" s="1" t="s">
        <v>2776</v>
      </c>
      <c r="C1096" s="1" t="s">
        <v>582</v>
      </c>
      <c r="D1096" s="1">
        <f>COUNTIFS('Raw Entries'!B:B,Table4[[#This Row],[Name]],'Raw Entries'!I:I,Table4[[#This Row],[BOOK No.]])</f>
        <v>0</v>
      </c>
      <c r="E1096" s="1">
        <f t="array" ref="E1096">IF(OR(Table4[[#This Row],[INSTALLMENT]]=1,Table4[[#This Row],[INSTALLMENT]]=2,Table4[[#This Row],[INSTALLMENT]]=3),1,0)</f>
        <v>0</v>
      </c>
      <c r="F1096" s="1">
        <f>IF(OR(Table4[[#This Row],[INSTALLMENT]]=2,Table4[[#This Row],[INSTALLMENT]]=3),2,0)</f>
        <v>0</v>
      </c>
      <c r="G1096" s="1">
        <f>IF(OR(Table4[[#This Row],[INSTALLMENT]]=3),3,0)</f>
        <v>0</v>
      </c>
    </row>
    <row r="1097" spans="1:7">
      <c r="A1097" s="1">
        <v>1222</v>
      </c>
      <c r="B1097" s="1" t="s">
        <v>628</v>
      </c>
      <c r="C1097" s="1" t="s">
        <v>582</v>
      </c>
      <c r="D1097" s="1">
        <f>COUNTIFS('Raw Entries'!B:B,Table4[[#This Row],[Name]],'Raw Entries'!I:I,Table4[[#This Row],[BOOK No.]])</f>
        <v>2</v>
      </c>
      <c r="E1097" s="1">
        <f t="array" ref="E1097">IF(OR(Table4[[#This Row],[INSTALLMENT]]=1,Table4[[#This Row],[INSTALLMENT]]=2,Table4[[#This Row],[INSTALLMENT]]=3),1,0)</f>
        <v>1</v>
      </c>
      <c r="F1097" s="1">
        <f>IF(OR(Table4[[#This Row],[INSTALLMENT]]=2,Table4[[#This Row],[INSTALLMENT]]=3),2,0)</f>
        <v>2</v>
      </c>
      <c r="G1097" s="1">
        <f>IF(OR(Table4[[#This Row],[INSTALLMENT]]=3),3,0)</f>
        <v>0</v>
      </c>
    </row>
    <row r="1098" spans="1:7">
      <c r="A1098" s="1">
        <v>1223</v>
      </c>
      <c r="B1098" s="1" t="s">
        <v>2777</v>
      </c>
      <c r="C1098" s="1" t="s">
        <v>582</v>
      </c>
      <c r="D1098" s="1">
        <f>COUNTIFS('Raw Entries'!B:B,Table4[[#This Row],[Name]],'Raw Entries'!I:I,Table4[[#This Row],[BOOK No.]])</f>
        <v>0</v>
      </c>
      <c r="E1098" s="1">
        <f t="array" ref="E1098">IF(OR(Table4[[#This Row],[INSTALLMENT]]=1,Table4[[#This Row],[INSTALLMENT]]=2,Table4[[#This Row],[INSTALLMENT]]=3),1,0)</f>
        <v>0</v>
      </c>
      <c r="F1098" s="1">
        <f>IF(OR(Table4[[#This Row],[INSTALLMENT]]=2,Table4[[#This Row],[INSTALLMENT]]=3),2,0)</f>
        <v>0</v>
      </c>
      <c r="G1098" s="1">
        <f>IF(OR(Table4[[#This Row],[INSTALLMENT]]=3),3,0)</f>
        <v>0</v>
      </c>
    </row>
    <row r="1099" spans="1:7">
      <c r="A1099" s="1">
        <v>1224</v>
      </c>
      <c r="B1099" s="1" t="s">
        <v>2778</v>
      </c>
      <c r="C1099" s="1" t="s">
        <v>582</v>
      </c>
      <c r="D1099" s="1">
        <f>COUNTIFS('Raw Entries'!B:B,Table4[[#This Row],[Name]],'Raw Entries'!I:I,Table4[[#This Row],[BOOK No.]])</f>
        <v>0</v>
      </c>
      <c r="E1099" s="1">
        <f t="array" ref="E1099">IF(OR(Table4[[#This Row],[INSTALLMENT]]=1,Table4[[#This Row],[INSTALLMENT]]=2,Table4[[#This Row],[INSTALLMENT]]=3),1,0)</f>
        <v>0</v>
      </c>
      <c r="F1099" s="1">
        <f>IF(OR(Table4[[#This Row],[INSTALLMENT]]=2,Table4[[#This Row],[INSTALLMENT]]=3),2,0)</f>
        <v>0</v>
      </c>
      <c r="G1099" s="1">
        <f>IF(OR(Table4[[#This Row],[INSTALLMENT]]=3),3,0)</f>
        <v>0</v>
      </c>
    </row>
    <row r="1100" spans="1:7">
      <c r="A1100" s="1">
        <v>1225</v>
      </c>
      <c r="B1100" s="1" t="s">
        <v>2779</v>
      </c>
      <c r="C1100" s="1" t="s">
        <v>582</v>
      </c>
      <c r="D1100" s="1">
        <f>COUNTIFS('Raw Entries'!B:B,Table4[[#This Row],[Name]],'Raw Entries'!I:I,Table4[[#This Row],[BOOK No.]])</f>
        <v>0</v>
      </c>
      <c r="E1100" s="1">
        <f t="array" ref="E1100">IF(OR(Table4[[#This Row],[INSTALLMENT]]=1,Table4[[#This Row],[INSTALLMENT]]=2,Table4[[#This Row],[INSTALLMENT]]=3),1,0)</f>
        <v>0</v>
      </c>
      <c r="F1100" s="1">
        <f>IF(OR(Table4[[#This Row],[INSTALLMENT]]=2,Table4[[#This Row],[INSTALLMENT]]=3),2,0)</f>
        <v>0</v>
      </c>
      <c r="G1100" s="1">
        <f>IF(OR(Table4[[#This Row],[INSTALLMENT]]=3),3,0)</f>
        <v>0</v>
      </c>
    </row>
    <row r="1101" spans="1:7">
      <c r="A1101" s="1">
        <v>1226</v>
      </c>
      <c r="B1101" s="1" t="s">
        <v>2780</v>
      </c>
      <c r="C1101" s="1" t="s">
        <v>582</v>
      </c>
      <c r="D1101" s="1">
        <f>COUNTIFS('Raw Entries'!B:B,Table4[[#This Row],[Name]],'Raw Entries'!I:I,Table4[[#This Row],[BOOK No.]])</f>
        <v>0</v>
      </c>
      <c r="E1101" s="1">
        <f t="array" ref="E1101">IF(OR(Table4[[#This Row],[INSTALLMENT]]=1,Table4[[#This Row],[INSTALLMENT]]=2,Table4[[#This Row],[INSTALLMENT]]=3),1,0)</f>
        <v>0</v>
      </c>
      <c r="F1101" s="1">
        <f>IF(OR(Table4[[#This Row],[INSTALLMENT]]=2,Table4[[#This Row],[INSTALLMENT]]=3),2,0)</f>
        <v>0</v>
      </c>
      <c r="G1101" s="1">
        <f>IF(OR(Table4[[#This Row],[INSTALLMENT]]=3),3,0)</f>
        <v>0</v>
      </c>
    </row>
    <row r="1102" spans="1:7">
      <c r="A1102" s="1">
        <v>1227</v>
      </c>
      <c r="B1102" s="1" t="s">
        <v>2781</v>
      </c>
      <c r="C1102" s="1" t="s">
        <v>582</v>
      </c>
      <c r="D1102" s="1">
        <f>COUNTIFS('Raw Entries'!B:B,Table4[[#This Row],[Name]],'Raw Entries'!I:I,Table4[[#This Row],[BOOK No.]])</f>
        <v>0</v>
      </c>
      <c r="E1102" s="1">
        <f t="array" ref="E1102">IF(OR(Table4[[#This Row],[INSTALLMENT]]=1,Table4[[#This Row],[INSTALLMENT]]=2,Table4[[#This Row],[INSTALLMENT]]=3),1,0)</f>
        <v>0</v>
      </c>
      <c r="F1102" s="1">
        <f>IF(OR(Table4[[#This Row],[INSTALLMENT]]=2,Table4[[#This Row],[INSTALLMENT]]=3),2,0)</f>
        <v>0</v>
      </c>
      <c r="G1102" s="1">
        <f>IF(OR(Table4[[#This Row],[INSTALLMENT]]=3),3,0)</f>
        <v>0</v>
      </c>
    </row>
    <row r="1103" spans="1:7">
      <c r="A1103" s="1">
        <v>1228</v>
      </c>
      <c r="B1103" s="1" t="s">
        <v>2782</v>
      </c>
      <c r="C1103" s="1" t="s">
        <v>582</v>
      </c>
      <c r="D1103" s="1">
        <f>COUNTIFS('Raw Entries'!B:B,Table4[[#This Row],[Name]],'Raw Entries'!I:I,Table4[[#This Row],[BOOK No.]])</f>
        <v>0</v>
      </c>
      <c r="E1103" s="1">
        <f t="array" ref="E1103">IF(OR(Table4[[#This Row],[INSTALLMENT]]=1,Table4[[#This Row],[INSTALLMENT]]=2,Table4[[#This Row],[INSTALLMENT]]=3),1,0)</f>
        <v>0</v>
      </c>
      <c r="F1103" s="1">
        <f>IF(OR(Table4[[#This Row],[INSTALLMENT]]=2,Table4[[#This Row],[INSTALLMENT]]=3),2,0)</f>
        <v>0</v>
      </c>
      <c r="G1103" s="1">
        <f>IF(OR(Table4[[#This Row],[INSTALLMENT]]=3),3,0)</f>
        <v>0</v>
      </c>
    </row>
    <row r="1104" spans="1:7">
      <c r="A1104" s="1">
        <v>1229</v>
      </c>
      <c r="B1104" s="1" t="s">
        <v>2783</v>
      </c>
      <c r="C1104" s="1" t="s">
        <v>582</v>
      </c>
      <c r="D1104" s="1">
        <f>COUNTIFS('Raw Entries'!B:B,Table4[[#This Row],[Name]],'Raw Entries'!I:I,Table4[[#This Row],[BOOK No.]])</f>
        <v>0</v>
      </c>
      <c r="E1104" s="1">
        <f t="array" ref="E1104">IF(OR(Table4[[#This Row],[INSTALLMENT]]=1,Table4[[#This Row],[INSTALLMENT]]=2,Table4[[#This Row],[INSTALLMENT]]=3),1,0)</f>
        <v>0</v>
      </c>
      <c r="F1104" s="1">
        <f>IF(OR(Table4[[#This Row],[INSTALLMENT]]=2,Table4[[#This Row],[INSTALLMENT]]=3),2,0)</f>
        <v>0</v>
      </c>
      <c r="G1104" s="1">
        <f>IF(OR(Table4[[#This Row],[INSTALLMENT]]=3),3,0)</f>
        <v>0</v>
      </c>
    </row>
    <row r="1105" spans="1:7">
      <c r="A1105" s="1">
        <v>1230</v>
      </c>
      <c r="B1105" s="1" t="s">
        <v>2784</v>
      </c>
      <c r="C1105" s="1" t="s">
        <v>582</v>
      </c>
      <c r="D1105" s="1">
        <f>COUNTIFS('Raw Entries'!B:B,Table4[[#This Row],[Name]],'Raw Entries'!I:I,Table4[[#This Row],[BOOK No.]])</f>
        <v>0</v>
      </c>
      <c r="E1105" s="1">
        <f t="array" ref="E1105">IF(OR(Table4[[#This Row],[INSTALLMENT]]=1,Table4[[#This Row],[INSTALLMENT]]=2,Table4[[#This Row],[INSTALLMENT]]=3),1,0)</f>
        <v>0</v>
      </c>
      <c r="F1105" s="1">
        <f>IF(OR(Table4[[#This Row],[INSTALLMENT]]=2,Table4[[#This Row],[INSTALLMENT]]=3),2,0)</f>
        <v>0</v>
      </c>
      <c r="G1105" s="1">
        <f>IF(OR(Table4[[#This Row],[INSTALLMENT]]=3),3,0)</f>
        <v>0</v>
      </c>
    </row>
    <row r="1106" spans="1:7">
      <c r="A1106" s="1">
        <v>1231</v>
      </c>
      <c r="B1106" s="1" t="s">
        <v>2785</v>
      </c>
      <c r="C1106" s="1" t="s">
        <v>582</v>
      </c>
      <c r="D1106" s="1">
        <f>COUNTIFS('Raw Entries'!B:B,Table4[[#This Row],[Name]],'Raw Entries'!I:I,Table4[[#This Row],[BOOK No.]])</f>
        <v>0</v>
      </c>
      <c r="E1106" s="1">
        <f t="array" ref="E1106">IF(OR(Table4[[#This Row],[INSTALLMENT]]=1,Table4[[#This Row],[INSTALLMENT]]=2,Table4[[#This Row],[INSTALLMENT]]=3),1,0)</f>
        <v>0</v>
      </c>
      <c r="F1106" s="1">
        <f>IF(OR(Table4[[#This Row],[INSTALLMENT]]=2,Table4[[#This Row],[INSTALLMENT]]=3),2,0)</f>
        <v>0</v>
      </c>
      <c r="G1106" s="1">
        <f>IF(OR(Table4[[#This Row],[INSTALLMENT]]=3),3,0)</f>
        <v>0</v>
      </c>
    </row>
    <row r="1107" spans="1:7">
      <c r="A1107" s="1">
        <v>1232</v>
      </c>
      <c r="B1107" s="1" t="s">
        <v>2786</v>
      </c>
      <c r="C1107" s="1" t="s">
        <v>582</v>
      </c>
      <c r="D1107" s="1">
        <f>COUNTIFS('Raw Entries'!B:B,Table4[[#This Row],[Name]],'Raw Entries'!I:I,Table4[[#This Row],[BOOK No.]])</f>
        <v>0</v>
      </c>
      <c r="E1107" s="1">
        <f t="array" ref="E1107">IF(OR(Table4[[#This Row],[INSTALLMENT]]=1,Table4[[#This Row],[INSTALLMENT]]=2,Table4[[#This Row],[INSTALLMENT]]=3),1,0)</f>
        <v>0</v>
      </c>
      <c r="F1107" s="1">
        <f>IF(OR(Table4[[#This Row],[INSTALLMENT]]=2,Table4[[#This Row],[INSTALLMENT]]=3),2,0)</f>
        <v>0</v>
      </c>
      <c r="G1107" s="1">
        <f>IF(OR(Table4[[#This Row],[INSTALLMENT]]=3),3,0)</f>
        <v>0</v>
      </c>
    </row>
    <row r="1108" spans="1:7">
      <c r="A1108" s="1">
        <v>1233</v>
      </c>
      <c r="B1108" s="1" t="s">
        <v>2787</v>
      </c>
      <c r="C1108" s="1" t="s">
        <v>582</v>
      </c>
      <c r="D1108" s="1">
        <f>COUNTIFS('Raw Entries'!B:B,Table4[[#This Row],[Name]],'Raw Entries'!I:I,Table4[[#This Row],[BOOK No.]])</f>
        <v>0</v>
      </c>
      <c r="E1108" s="1">
        <f t="array" ref="E1108">IF(OR(Table4[[#This Row],[INSTALLMENT]]=1,Table4[[#This Row],[INSTALLMENT]]=2,Table4[[#This Row],[INSTALLMENT]]=3),1,0)</f>
        <v>0</v>
      </c>
      <c r="F1108" s="1">
        <f>IF(OR(Table4[[#This Row],[INSTALLMENT]]=2,Table4[[#This Row],[INSTALLMENT]]=3),2,0)</f>
        <v>0</v>
      </c>
      <c r="G1108" s="1">
        <f>IF(OR(Table4[[#This Row],[INSTALLMENT]]=3),3,0)</f>
        <v>0</v>
      </c>
    </row>
    <row r="1109" spans="1:7">
      <c r="A1109" s="1">
        <v>1234</v>
      </c>
      <c r="B1109" s="1" t="s">
        <v>2788</v>
      </c>
      <c r="C1109" s="1" t="s">
        <v>582</v>
      </c>
      <c r="D1109" s="1">
        <f>COUNTIFS('Raw Entries'!B:B,Table4[[#This Row],[Name]],'Raw Entries'!I:I,Table4[[#This Row],[BOOK No.]])</f>
        <v>0</v>
      </c>
      <c r="E1109" s="1">
        <f t="array" ref="E1109">IF(OR(Table4[[#This Row],[INSTALLMENT]]=1,Table4[[#This Row],[INSTALLMENT]]=2,Table4[[#This Row],[INSTALLMENT]]=3),1,0)</f>
        <v>0</v>
      </c>
      <c r="F1109" s="1">
        <f>IF(OR(Table4[[#This Row],[INSTALLMENT]]=2,Table4[[#This Row],[INSTALLMENT]]=3),2,0)</f>
        <v>0</v>
      </c>
      <c r="G1109" s="1">
        <f>IF(OR(Table4[[#This Row],[INSTALLMENT]]=3),3,0)</f>
        <v>0</v>
      </c>
    </row>
    <row r="1110" spans="1:7">
      <c r="A1110" s="1">
        <v>1235</v>
      </c>
      <c r="B1110" s="1" t="s">
        <v>2789</v>
      </c>
      <c r="C1110" s="1" t="s">
        <v>582</v>
      </c>
      <c r="D1110" s="1">
        <f>COUNTIFS('Raw Entries'!B:B,Table4[[#This Row],[Name]],'Raw Entries'!I:I,Table4[[#This Row],[BOOK No.]])</f>
        <v>0</v>
      </c>
      <c r="E1110" s="1">
        <f t="array" ref="E1110">IF(OR(Table4[[#This Row],[INSTALLMENT]]=1,Table4[[#This Row],[INSTALLMENT]]=2,Table4[[#This Row],[INSTALLMENT]]=3),1,0)</f>
        <v>0</v>
      </c>
      <c r="F1110" s="1">
        <f>IF(OR(Table4[[#This Row],[INSTALLMENT]]=2,Table4[[#This Row],[INSTALLMENT]]=3),2,0)</f>
        <v>0</v>
      </c>
      <c r="G1110" s="1">
        <f>IF(OR(Table4[[#This Row],[INSTALLMENT]]=3),3,0)</f>
        <v>0</v>
      </c>
    </row>
    <row r="1111" spans="1:7">
      <c r="A1111" s="1">
        <v>1236</v>
      </c>
      <c r="B1111" s="1" t="s">
        <v>567</v>
      </c>
      <c r="C1111" s="1" t="s">
        <v>582</v>
      </c>
      <c r="D1111" s="1">
        <f>COUNTIFS('Raw Entries'!B:B,Table4[[#This Row],[Name]],'Raw Entries'!I:I,Table4[[#This Row],[BOOK No.]])</f>
        <v>0</v>
      </c>
      <c r="E1111" s="1">
        <f t="array" ref="E1111">IF(OR(Table4[[#This Row],[INSTALLMENT]]=1,Table4[[#This Row],[INSTALLMENT]]=2,Table4[[#This Row],[INSTALLMENT]]=3),1,0)</f>
        <v>0</v>
      </c>
      <c r="F1111" s="1">
        <f>IF(OR(Table4[[#This Row],[INSTALLMENT]]=2,Table4[[#This Row],[INSTALLMENT]]=3),2,0)</f>
        <v>0</v>
      </c>
      <c r="G1111" s="1">
        <f>IF(OR(Table4[[#This Row],[INSTALLMENT]]=3),3,0)</f>
        <v>0</v>
      </c>
    </row>
    <row r="1112" spans="1:7">
      <c r="A1112" s="1">
        <v>1237</v>
      </c>
      <c r="B1112" s="1" t="s">
        <v>2790</v>
      </c>
      <c r="C1112" s="1" t="s">
        <v>582</v>
      </c>
      <c r="D1112" s="1">
        <f>COUNTIFS('Raw Entries'!B:B,Table4[[#This Row],[Name]],'Raw Entries'!I:I,Table4[[#This Row],[BOOK No.]])</f>
        <v>0</v>
      </c>
      <c r="E1112" s="1">
        <f t="array" ref="E1112">IF(OR(Table4[[#This Row],[INSTALLMENT]]=1,Table4[[#This Row],[INSTALLMENT]]=2,Table4[[#This Row],[INSTALLMENT]]=3),1,0)</f>
        <v>0</v>
      </c>
      <c r="F1112" s="1">
        <f>IF(OR(Table4[[#This Row],[INSTALLMENT]]=2,Table4[[#This Row],[INSTALLMENT]]=3),2,0)</f>
        <v>0</v>
      </c>
      <c r="G1112" s="1">
        <f>IF(OR(Table4[[#This Row],[INSTALLMENT]]=3),3,0)</f>
        <v>0</v>
      </c>
    </row>
    <row r="1113" spans="1:7">
      <c r="A1113" s="1">
        <v>1238</v>
      </c>
      <c r="B1113" s="1" t="s">
        <v>2791</v>
      </c>
      <c r="C1113" s="1" t="s">
        <v>582</v>
      </c>
      <c r="D1113" s="1">
        <f>COUNTIFS('Raw Entries'!B:B,Table4[[#This Row],[Name]],'Raw Entries'!I:I,Table4[[#This Row],[BOOK No.]])</f>
        <v>0</v>
      </c>
      <c r="E1113" s="1">
        <f t="array" ref="E1113">IF(OR(Table4[[#This Row],[INSTALLMENT]]=1,Table4[[#This Row],[INSTALLMENT]]=2,Table4[[#This Row],[INSTALLMENT]]=3),1,0)</f>
        <v>0</v>
      </c>
      <c r="F1113" s="1">
        <f>IF(OR(Table4[[#This Row],[INSTALLMENT]]=2,Table4[[#This Row],[INSTALLMENT]]=3),2,0)</f>
        <v>0</v>
      </c>
      <c r="G1113" s="1">
        <f>IF(OR(Table4[[#This Row],[INSTALLMENT]]=3),3,0)</f>
        <v>0</v>
      </c>
    </row>
    <row r="1114" spans="1:7">
      <c r="A1114" s="1">
        <v>1239</v>
      </c>
      <c r="B1114" s="1" t="s">
        <v>2792</v>
      </c>
      <c r="C1114" s="1" t="s">
        <v>1887</v>
      </c>
      <c r="D1114" s="1">
        <f>COUNTIFS('Raw Entries'!B:B,Table4[[#This Row],[Name]],'Raw Entries'!I:I,Table4[[#This Row],[BOOK No.]])</f>
        <v>0</v>
      </c>
      <c r="E1114" s="1">
        <f t="array" ref="E1114">IF(OR(Table4[[#This Row],[INSTALLMENT]]=1,Table4[[#This Row],[INSTALLMENT]]=2,Table4[[#This Row],[INSTALLMENT]]=3),1,0)</f>
        <v>0</v>
      </c>
      <c r="F1114" s="1">
        <f>IF(OR(Table4[[#This Row],[INSTALLMENT]]=2,Table4[[#This Row],[INSTALLMENT]]=3),2,0)</f>
        <v>0</v>
      </c>
      <c r="G1114" s="1">
        <f>IF(OR(Table4[[#This Row],[INSTALLMENT]]=3),3,0)</f>
        <v>0</v>
      </c>
    </row>
    <row r="1115" spans="1:7">
      <c r="A1115" s="1">
        <v>1240</v>
      </c>
      <c r="B1115" s="1" t="s">
        <v>2793</v>
      </c>
      <c r="C1115" s="1" t="s">
        <v>1887</v>
      </c>
      <c r="D1115" s="1">
        <f>COUNTIFS('Raw Entries'!B:B,Table4[[#This Row],[Name]],'Raw Entries'!I:I,Table4[[#This Row],[BOOK No.]])</f>
        <v>0</v>
      </c>
      <c r="E1115" s="1">
        <f t="array" ref="E1115">IF(OR(Table4[[#This Row],[INSTALLMENT]]=1,Table4[[#This Row],[INSTALLMENT]]=2,Table4[[#This Row],[INSTALLMENT]]=3),1,0)</f>
        <v>0</v>
      </c>
      <c r="F1115" s="1">
        <f>IF(OR(Table4[[#This Row],[INSTALLMENT]]=2,Table4[[#This Row],[INSTALLMENT]]=3),2,0)</f>
        <v>0</v>
      </c>
      <c r="G1115" s="1">
        <f>IF(OR(Table4[[#This Row],[INSTALLMENT]]=3),3,0)</f>
        <v>0</v>
      </c>
    </row>
    <row r="1116" spans="1:7">
      <c r="A1116" s="1">
        <v>1241</v>
      </c>
      <c r="B1116" s="1" t="s">
        <v>2794</v>
      </c>
      <c r="C1116" s="1" t="s">
        <v>1887</v>
      </c>
      <c r="D1116" s="1">
        <f>COUNTIFS('Raw Entries'!B:B,Table4[[#This Row],[Name]],'Raw Entries'!I:I,Table4[[#This Row],[BOOK No.]])</f>
        <v>0</v>
      </c>
      <c r="E1116" s="1">
        <f t="array" ref="E1116">IF(OR(Table4[[#This Row],[INSTALLMENT]]=1,Table4[[#This Row],[INSTALLMENT]]=2,Table4[[#This Row],[INSTALLMENT]]=3),1,0)</f>
        <v>0</v>
      </c>
      <c r="F1116" s="1">
        <f>IF(OR(Table4[[#This Row],[INSTALLMENT]]=2,Table4[[#This Row],[INSTALLMENT]]=3),2,0)</f>
        <v>0</v>
      </c>
      <c r="G1116" s="1">
        <f>IF(OR(Table4[[#This Row],[INSTALLMENT]]=3),3,0)</f>
        <v>0</v>
      </c>
    </row>
    <row r="1117" spans="1:7">
      <c r="A1117" s="1">
        <v>1242</v>
      </c>
      <c r="B1117" s="1" t="s">
        <v>2795</v>
      </c>
      <c r="C1117" s="1" t="s">
        <v>1887</v>
      </c>
      <c r="D1117" s="1">
        <f>COUNTIFS('Raw Entries'!B:B,Table4[[#This Row],[Name]],'Raw Entries'!I:I,Table4[[#This Row],[BOOK No.]])</f>
        <v>0</v>
      </c>
      <c r="E1117" s="1">
        <f t="array" ref="E1117">IF(OR(Table4[[#This Row],[INSTALLMENT]]=1,Table4[[#This Row],[INSTALLMENT]]=2,Table4[[#This Row],[INSTALLMENT]]=3),1,0)</f>
        <v>0</v>
      </c>
      <c r="F1117" s="1">
        <f>IF(OR(Table4[[#This Row],[INSTALLMENT]]=2,Table4[[#This Row],[INSTALLMENT]]=3),2,0)</f>
        <v>0</v>
      </c>
      <c r="G1117" s="1">
        <f>IF(OR(Table4[[#This Row],[INSTALLMENT]]=3),3,0)</f>
        <v>0</v>
      </c>
    </row>
    <row r="1118" spans="1:7">
      <c r="A1118" s="1">
        <v>1243</v>
      </c>
      <c r="B1118" s="1" t="s">
        <v>2796</v>
      </c>
      <c r="C1118" s="1" t="s">
        <v>1887</v>
      </c>
      <c r="D1118" s="1">
        <f>COUNTIFS('Raw Entries'!B:B,Table4[[#This Row],[Name]],'Raw Entries'!I:I,Table4[[#This Row],[BOOK No.]])</f>
        <v>0</v>
      </c>
      <c r="E1118" s="1">
        <f t="array" ref="E1118">IF(OR(Table4[[#This Row],[INSTALLMENT]]=1,Table4[[#This Row],[INSTALLMENT]]=2,Table4[[#This Row],[INSTALLMENT]]=3),1,0)</f>
        <v>0</v>
      </c>
      <c r="F1118" s="1">
        <f>IF(OR(Table4[[#This Row],[INSTALLMENT]]=2,Table4[[#This Row],[INSTALLMENT]]=3),2,0)</f>
        <v>0</v>
      </c>
      <c r="G1118" s="1">
        <f>IF(OR(Table4[[#This Row],[INSTALLMENT]]=3),3,0)</f>
        <v>0</v>
      </c>
    </row>
    <row r="1119" spans="1:7">
      <c r="A1119" s="1">
        <v>1244</v>
      </c>
      <c r="B1119" s="1" t="s">
        <v>153</v>
      </c>
      <c r="C1119" s="1" t="s">
        <v>1887</v>
      </c>
      <c r="D1119" s="1">
        <f>COUNTIFS('Raw Entries'!B:B,Table4[[#This Row],[Name]],'Raw Entries'!I:I,Table4[[#This Row],[BOOK No.]])</f>
        <v>0</v>
      </c>
      <c r="E1119" s="1">
        <f t="array" ref="E1119">IF(OR(Table4[[#This Row],[INSTALLMENT]]=1,Table4[[#This Row],[INSTALLMENT]]=2,Table4[[#This Row],[INSTALLMENT]]=3),1,0)</f>
        <v>0</v>
      </c>
      <c r="F1119" s="1">
        <f>IF(OR(Table4[[#This Row],[INSTALLMENT]]=2,Table4[[#This Row],[INSTALLMENT]]=3),2,0)</f>
        <v>0</v>
      </c>
      <c r="G1119" s="1">
        <f>IF(OR(Table4[[#This Row],[INSTALLMENT]]=3),3,0)</f>
        <v>0</v>
      </c>
    </row>
    <row r="1120" spans="1:7">
      <c r="A1120" s="1">
        <v>1245</v>
      </c>
      <c r="B1120" s="1" t="s">
        <v>2797</v>
      </c>
      <c r="C1120" s="1" t="s">
        <v>1887</v>
      </c>
      <c r="D1120" s="1">
        <f>COUNTIFS('Raw Entries'!B:B,Table4[[#This Row],[Name]],'Raw Entries'!I:I,Table4[[#This Row],[BOOK No.]])</f>
        <v>0</v>
      </c>
      <c r="E1120" s="1">
        <f t="array" ref="E1120">IF(OR(Table4[[#This Row],[INSTALLMENT]]=1,Table4[[#This Row],[INSTALLMENT]]=2,Table4[[#This Row],[INSTALLMENT]]=3),1,0)</f>
        <v>0</v>
      </c>
      <c r="F1120" s="1">
        <f>IF(OR(Table4[[#This Row],[INSTALLMENT]]=2,Table4[[#This Row],[INSTALLMENT]]=3),2,0)</f>
        <v>0</v>
      </c>
      <c r="G1120" s="1">
        <f>IF(OR(Table4[[#This Row],[INSTALLMENT]]=3),3,0)</f>
        <v>0</v>
      </c>
    </row>
    <row r="1121" spans="1:7">
      <c r="A1121" s="1">
        <v>1246</v>
      </c>
      <c r="B1121" s="1" t="s">
        <v>2798</v>
      </c>
      <c r="C1121" s="1" t="s">
        <v>1887</v>
      </c>
      <c r="D1121" s="1">
        <f>COUNTIFS('Raw Entries'!B:B,Table4[[#This Row],[Name]],'Raw Entries'!I:I,Table4[[#This Row],[BOOK No.]])</f>
        <v>0</v>
      </c>
      <c r="E1121" s="1">
        <f t="array" ref="E1121">IF(OR(Table4[[#This Row],[INSTALLMENT]]=1,Table4[[#This Row],[INSTALLMENT]]=2,Table4[[#This Row],[INSTALLMENT]]=3),1,0)</f>
        <v>0</v>
      </c>
      <c r="F1121" s="1">
        <f>IF(OR(Table4[[#This Row],[INSTALLMENT]]=2,Table4[[#This Row],[INSTALLMENT]]=3),2,0)</f>
        <v>0</v>
      </c>
      <c r="G1121" s="1">
        <f>IF(OR(Table4[[#This Row],[INSTALLMENT]]=3),3,0)</f>
        <v>0</v>
      </c>
    </row>
    <row r="1122" spans="1:7">
      <c r="A1122" s="1">
        <v>1247</v>
      </c>
      <c r="B1122" s="1" t="s">
        <v>2799</v>
      </c>
      <c r="C1122" s="1" t="s">
        <v>1887</v>
      </c>
      <c r="D1122" s="1">
        <f>COUNTIFS('Raw Entries'!B:B,Table4[[#This Row],[Name]],'Raw Entries'!I:I,Table4[[#This Row],[BOOK No.]])</f>
        <v>0</v>
      </c>
      <c r="E1122" s="1">
        <f t="array" ref="E1122">IF(OR(Table4[[#This Row],[INSTALLMENT]]=1,Table4[[#This Row],[INSTALLMENT]]=2,Table4[[#This Row],[INSTALLMENT]]=3),1,0)</f>
        <v>0</v>
      </c>
      <c r="F1122" s="1">
        <f>IF(OR(Table4[[#This Row],[INSTALLMENT]]=2,Table4[[#This Row],[INSTALLMENT]]=3),2,0)</f>
        <v>0</v>
      </c>
      <c r="G1122" s="1">
        <f>IF(OR(Table4[[#This Row],[INSTALLMENT]]=3),3,0)</f>
        <v>0</v>
      </c>
    </row>
    <row r="1123" spans="1:7">
      <c r="A1123" s="1">
        <v>1248</v>
      </c>
      <c r="B1123" s="1" t="s">
        <v>2800</v>
      </c>
      <c r="C1123" s="1" t="s">
        <v>1887</v>
      </c>
      <c r="D1123" s="1">
        <f>COUNTIFS('Raw Entries'!B:B,Table4[[#This Row],[Name]],'Raw Entries'!I:I,Table4[[#This Row],[BOOK No.]])</f>
        <v>0</v>
      </c>
      <c r="E1123" s="1">
        <f t="array" ref="E1123">IF(OR(Table4[[#This Row],[INSTALLMENT]]=1,Table4[[#This Row],[INSTALLMENT]]=2,Table4[[#This Row],[INSTALLMENT]]=3),1,0)</f>
        <v>0</v>
      </c>
      <c r="F1123" s="1">
        <f>IF(OR(Table4[[#This Row],[INSTALLMENT]]=2,Table4[[#This Row],[INSTALLMENT]]=3),2,0)</f>
        <v>0</v>
      </c>
      <c r="G1123" s="1">
        <f>IF(OR(Table4[[#This Row],[INSTALLMENT]]=3),3,0)</f>
        <v>0</v>
      </c>
    </row>
    <row r="1124" spans="1:7">
      <c r="A1124" s="1">
        <v>1249</v>
      </c>
      <c r="B1124" s="1" t="s">
        <v>2801</v>
      </c>
      <c r="C1124" s="1" t="s">
        <v>1887</v>
      </c>
      <c r="D1124" s="1">
        <f>COUNTIFS('Raw Entries'!B:B,Table4[[#This Row],[Name]],'Raw Entries'!I:I,Table4[[#This Row],[BOOK No.]])</f>
        <v>0</v>
      </c>
      <c r="E1124" s="1">
        <f t="array" ref="E1124">IF(OR(Table4[[#This Row],[INSTALLMENT]]=1,Table4[[#This Row],[INSTALLMENT]]=2,Table4[[#This Row],[INSTALLMENT]]=3),1,0)</f>
        <v>0</v>
      </c>
      <c r="F1124" s="1">
        <f>IF(OR(Table4[[#This Row],[INSTALLMENT]]=2,Table4[[#This Row],[INSTALLMENT]]=3),2,0)</f>
        <v>0</v>
      </c>
      <c r="G1124" s="1">
        <f>IF(OR(Table4[[#This Row],[INSTALLMENT]]=3),3,0)</f>
        <v>0</v>
      </c>
    </row>
    <row r="1125" spans="1:7">
      <c r="A1125" s="1">
        <v>1250</v>
      </c>
      <c r="B1125" s="1" t="s">
        <v>2802</v>
      </c>
      <c r="C1125" s="1" t="s">
        <v>1887</v>
      </c>
      <c r="D1125" s="1">
        <f>COUNTIFS('Raw Entries'!B:B,Table4[[#This Row],[Name]],'Raw Entries'!I:I,Table4[[#This Row],[BOOK No.]])</f>
        <v>0</v>
      </c>
      <c r="E1125" s="1">
        <f t="array" ref="E1125">IF(OR(Table4[[#This Row],[INSTALLMENT]]=1,Table4[[#This Row],[INSTALLMENT]]=2,Table4[[#This Row],[INSTALLMENT]]=3),1,0)</f>
        <v>0</v>
      </c>
      <c r="F1125" s="1">
        <f>IF(OR(Table4[[#This Row],[INSTALLMENT]]=2,Table4[[#This Row],[INSTALLMENT]]=3),2,0)</f>
        <v>0</v>
      </c>
      <c r="G1125" s="1">
        <f>IF(OR(Table4[[#This Row],[INSTALLMENT]]=3),3,0)</f>
        <v>0</v>
      </c>
    </row>
    <row r="1126" spans="1:7">
      <c r="A1126" s="1">
        <v>1251</v>
      </c>
      <c r="B1126" s="1" t="s">
        <v>2803</v>
      </c>
      <c r="C1126" s="1" t="s">
        <v>1888</v>
      </c>
      <c r="D1126" s="1">
        <f>COUNTIFS('Raw Entries'!B:B,Table4[[#This Row],[Name]],'Raw Entries'!I:I,Table4[[#This Row],[BOOK No.]])</f>
        <v>0</v>
      </c>
      <c r="E1126" s="1">
        <f t="array" ref="E1126">IF(OR(Table4[[#This Row],[INSTALLMENT]]=1,Table4[[#This Row],[INSTALLMENT]]=2,Table4[[#This Row],[INSTALLMENT]]=3),1,0)</f>
        <v>0</v>
      </c>
      <c r="F1126" s="1">
        <f>IF(OR(Table4[[#This Row],[INSTALLMENT]]=2,Table4[[#This Row],[INSTALLMENT]]=3),2,0)</f>
        <v>0</v>
      </c>
      <c r="G1126" s="1">
        <f>IF(OR(Table4[[#This Row],[INSTALLMENT]]=3),3,0)</f>
        <v>0</v>
      </c>
    </row>
    <row r="1127" spans="1:7">
      <c r="A1127" s="1">
        <v>1252</v>
      </c>
      <c r="B1127" s="1" t="s">
        <v>2804</v>
      </c>
      <c r="C1127" s="1" t="s">
        <v>1888</v>
      </c>
      <c r="D1127" s="1">
        <f>COUNTIFS('Raw Entries'!B:B,Table4[[#This Row],[Name]],'Raw Entries'!I:I,Table4[[#This Row],[BOOK No.]])</f>
        <v>0</v>
      </c>
      <c r="E1127" s="1">
        <f t="array" ref="E1127">IF(OR(Table4[[#This Row],[INSTALLMENT]]=1,Table4[[#This Row],[INSTALLMENT]]=2,Table4[[#This Row],[INSTALLMENT]]=3),1,0)</f>
        <v>0</v>
      </c>
      <c r="F1127" s="1">
        <f>IF(OR(Table4[[#This Row],[INSTALLMENT]]=2,Table4[[#This Row],[INSTALLMENT]]=3),2,0)</f>
        <v>0</v>
      </c>
      <c r="G1127" s="1">
        <f>IF(OR(Table4[[#This Row],[INSTALLMENT]]=3),3,0)</f>
        <v>0</v>
      </c>
    </row>
    <row r="1128" spans="1:7">
      <c r="A1128" s="1">
        <v>1253</v>
      </c>
      <c r="B1128" s="1" t="s">
        <v>2805</v>
      </c>
      <c r="C1128" s="1" t="s">
        <v>1888</v>
      </c>
      <c r="D1128" s="1">
        <f>COUNTIFS('Raw Entries'!B:B,Table4[[#This Row],[Name]],'Raw Entries'!I:I,Table4[[#This Row],[BOOK No.]])</f>
        <v>0</v>
      </c>
      <c r="E1128" s="1">
        <f t="array" ref="E1128">IF(OR(Table4[[#This Row],[INSTALLMENT]]=1,Table4[[#This Row],[INSTALLMENT]]=2,Table4[[#This Row],[INSTALLMENT]]=3),1,0)</f>
        <v>0</v>
      </c>
      <c r="F1128" s="1">
        <f>IF(OR(Table4[[#This Row],[INSTALLMENT]]=2,Table4[[#This Row],[INSTALLMENT]]=3),2,0)</f>
        <v>0</v>
      </c>
      <c r="G1128" s="1">
        <f>IF(OR(Table4[[#This Row],[INSTALLMENT]]=3),3,0)</f>
        <v>0</v>
      </c>
    </row>
    <row r="1129" spans="1:7">
      <c r="A1129" s="1">
        <v>1254</v>
      </c>
      <c r="B1129" s="1" t="s">
        <v>2806</v>
      </c>
      <c r="C1129" s="1" t="s">
        <v>1888</v>
      </c>
      <c r="D1129" s="1">
        <f>COUNTIFS('Raw Entries'!B:B,Table4[[#This Row],[Name]],'Raw Entries'!I:I,Table4[[#This Row],[BOOK No.]])</f>
        <v>0</v>
      </c>
      <c r="E1129" s="1">
        <f t="array" ref="E1129">IF(OR(Table4[[#This Row],[INSTALLMENT]]=1,Table4[[#This Row],[INSTALLMENT]]=2,Table4[[#This Row],[INSTALLMENT]]=3),1,0)</f>
        <v>0</v>
      </c>
      <c r="F1129" s="1">
        <f>IF(OR(Table4[[#This Row],[INSTALLMENT]]=2,Table4[[#This Row],[INSTALLMENT]]=3),2,0)</f>
        <v>0</v>
      </c>
      <c r="G1129" s="1">
        <f>IF(OR(Table4[[#This Row],[INSTALLMENT]]=3),3,0)</f>
        <v>0</v>
      </c>
    </row>
    <row r="1130" spans="1:7">
      <c r="A1130" s="1">
        <v>1255</v>
      </c>
      <c r="B1130" s="1" t="s">
        <v>2807</v>
      </c>
      <c r="C1130" s="1" t="s">
        <v>1888</v>
      </c>
      <c r="D1130" s="1">
        <f>COUNTIFS('Raw Entries'!B:B,Table4[[#This Row],[Name]],'Raw Entries'!I:I,Table4[[#This Row],[BOOK No.]])</f>
        <v>0</v>
      </c>
      <c r="E1130" s="1">
        <f t="array" ref="E1130">IF(OR(Table4[[#This Row],[INSTALLMENT]]=1,Table4[[#This Row],[INSTALLMENT]]=2,Table4[[#This Row],[INSTALLMENT]]=3),1,0)</f>
        <v>0</v>
      </c>
      <c r="F1130" s="1">
        <f>IF(OR(Table4[[#This Row],[INSTALLMENT]]=2,Table4[[#This Row],[INSTALLMENT]]=3),2,0)</f>
        <v>0</v>
      </c>
      <c r="G1130" s="1">
        <f>IF(OR(Table4[[#This Row],[INSTALLMENT]]=3),3,0)</f>
        <v>0</v>
      </c>
    </row>
    <row r="1131" spans="1:7">
      <c r="A1131" s="1">
        <v>1256</v>
      </c>
      <c r="B1131" s="1" t="s">
        <v>2808</v>
      </c>
      <c r="C1131" s="1" t="s">
        <v>1888</v>
      </c>
      <c r="D1131" s="1">
        <f>COUNTIFS('Raw Entries'!B:B,Table4[[#This Row],[Name]],'Raw Entries'!I:I,Table4[[#This Row],[BOOK No.]])</f>
        <v>0</v>
      </c>
      <c r="E1131" s="1">
        <f t="array" ref="E1131">IF(OR(Table4[[#This Row],[INSTALLMENT]]=1,Table4[[#This Row],[INSTALLMENT]]=2,Table4[[#This Row],[INSTALLMENT]]=3),1,0)</f>
        <v>0</v>
      </c>
      <c r="F1131" s="1">
        <f>IF(OR(Table4[[#This Row],[INSTALLMENT]]=2,Table4[[#This Row],[INSTALLMENT]]=3),2,0)</f>
        <v>0</v>
      </c>
      <c r="G1131" s="1">
        <f>IF(OR(Table4[[#This Row],[INSTALLMENT]]=3),3,0)</f>
        <v>0</v>
      </c>
    </row>
    <row r="1132" spans="1:7">
      <c r="A1132" s="1">
        <v>1257</v>
      </c>
      <c r="B1132" s="1" t="s">
        <v>2809</v>
      </c>
      <c r="C1132" s="1" t="s">
        <v>1851</v>
      </c>
      <c r="D1132" s="1">
        <f>COUNTIFS('Raw Entries'!B:B,Table4[[#This Row],[Name]],'Raw Entries'!I:I,Table4[[#This Row],[BOOK No.]])</f>
        <v>0</v>
      </c>
      <c r="E1132" s="1">
        <f t="array" ref="E1132">IF(OR(Table4[[#This Row],[INSTALLMENT]]=1,Table4[[#This Row],[INSTALLMENT]]=2,Table4[[#This Row],[INSTALLMENT]]=3),1,0)</f>
        <v>0</v>
      </c>
      <c r="F1132" s="1">
        <f>IF(OR(Table4[[#This Row],[INSTALLMENT]]=2,Table4[[#This Row],[INSTALLMENT]]=3),2,0)</f>
        <v>0</v>
      </c>
      <c r="G1132" s="1">
        <f>IF(OR(Table4[[#This Row],[INSTALLMENT]]=3),3,0)</f>
        <v>0</v>
      </c>
    </row>
    <row r="1133" spans="1:7">
      <c r="A1133" s="1">
        <v>1258</v>
      </c>
      <c r="B1133" s="1" t="s">
        <v>2810</v>
      </c>
      <c r="C1133" s="1" t="s">
        <v>1851</v>
      </c>
      <c r="D1133" s="1">
        <f>COUNTIFS('Raw Entries'!B:B,Table4[[#This Row],[Name]],'Raw Entries'!I:I,Table4[[#This Row],[BOOK No.]])</f>
        <v>0</v>
      </c>
      <c r="E1133" s="1">
        <f t="array" ref="E1133">IF(OR(Table4[[#This Row],[INSTALLMENT]]=1,Table4[[#This Row],[INSTALLMENT]]=2,Table4[[#This Row],[INSTALLMENT]]=3),1,0)</f>
        <v>0</v>
      </c>
      <c r="F1133" s="1">
        <f>IF(OR(Table4[[#This Row],[INSTALLMENT]]=2,Table4[[#This Row],[INSTALLMENT]]=3),2,0)</f>
        <v>0</v>
      </c>
      <c r="G1133" s="1">
        <f>IF(OR(Table4[[#This Row],[INSTALLMENT]]=3),3,0)</f>
        <v>0</v>
      </c>
    </row>
    <row r="1134" spans="1:7">
      <c r="A1134" s="1">
        <v>1259</v>
      </c>
      <c r="B1134" s="1" t="s">
        <v>2811</v>
      </c>
      <c r="C1134" s="1" t="s">
        <v>504</v>
      </c>
      <c r="D1134" s="1">
        <f>COUNTIFS('Raw Entries'!B:B,Table4[[#This Row],[Name]],'Raw Entries'!I:I,Table4[[#This Row],[BOOK No.]])</f>
        <v>0</v>
      </c>
      <c r="E1134" s="1">
        <f t="array" ref="E1134">IF(OR(Table4[[#This Row],[INSTALLMENT]]=1,Table4[[#This Row],[INSTALLMENT]]=2,Table4[[#This Row],[INSTALLMENT]]=3),1,0)</f>
        <v>0</v>
      </c>
      <c r="F1134" s="1">
        <f>IF(OR(Table4[[#This Row],[INSTALLMENT]]=2,Table4[[#This Row],[INSTALLMENT]]=3),2,0)</f>
        <v>0</v>
      </c>
      <c r="G1134" s="1">
        <f>IF(OR(Table4[[#This Row],[INSTALLMENT]]=3),3,0)</f>
        <v>0</v>
      </c>
    </row>
    <row r="1135" spans="1:7">
      <c r="A1135" s="1">
        <v>1260</v>
      </c>
      <c r="B1135" s="1" t="s">
        <v>2812</v>
      </c>
      <c r="C1135" s="1" t="s">
        <v>504</v>
      </c>
      <c r="D1135" s="1">
        <f>COUNTIFS('Raw Entries'!B:B,Table4[[#This Row],[Name]],'Raw Entries'!I:I,Table4[[#This Row],[BOOK No.]])</f>
        <v>0</v>
      </c>
      <c r="E1135" s="1">
        <f t="array" ref="E1135">IF(OR(Table4[[#This Row],[INSTALLMENT]]=1,Table4[[#This Row],[INSTALLMENT]]=2,Table4[[#This Row],[INSTALLMENT]]=3),1,0)</f>
        <v>0</v>
      </c>
      <c r="F1135" s="1">
        <f>IF(OR(Table4[[#This Row],[INSTALLMENT]]=2,Table4[[#This Row],[INSTALLMENT]]=3),2,0)</f>
        <v>0</v>
      </c>
      <c r="G1135" s="1">
        <f>IF(OR(Table4[[#This Row],[INSTALLMENT]]=3),3,0)</f>
        <v>0</v>
      </c>
    </row>
    <row r="1136" spans="1:7">
      <c r="A1136" s="1">
        <v>1261</v>
      </c>
      <c r="B1136" s="1" t="s">
        <v>2813</v>
      </c>
      <c r="C1136" s="1" t="s">
        <v>577</v>
      </c>
      <c r="D1136" s="1">
        <f>COUNTIFS('Raw Entries'!B:B,Table4[[#This Row],[Name]],'Raw Entries'!I:I,Table4[[#This Row],[BOOK No.]])</f>
        <v>0</v>
      </c>
      <c r="E1136" s="1">
        <f t="array" ref="E1136">IF(OR(Table4[[#This Row],[INSTALLMENT]]=1,Table4[[#This Row],[INSTALLMENT]]=2,Table4[[#This Row],[INSTALLMENT]]=3),1,0)</f>
        <v>0</v>
      </c>
      <c r="F1136" s="1">
        <f>IF(OR(Table4[[#This Row],[INSTALLMENT]]=2,Table4[[#This Row],[INSTALLMENT]]=3),2,0)</f>
        <v>0</v>
      </c>
      <c r="G1136" s="1">
        <f>IF(OR(Table4[[#This Row],[INSTALLMENT]]=3),3,0)</f>
        <v>0</v>
      </c>
    </row>
    <row r="1137" spans="1:7">
      <c r="A1137" s="1">
        <v>1264</v>
      </c>
      <c r="B1137" s="1" t="s">
        <v>2814</v>
      </c>
      <c r="C1137" s="1" t="s">
        <v>440</v>
      </c>
      <c r="D1137" s="1">
        <f>COUNTIFS('Raw Entries'!B:B,Table4[[#This Row],[Name]],'Raw Entries'!I:I,Table4[[#This Row],[BOOK No.]])</f>
        <v>0</v>
      </c>
      <c r="E1137" s="1">
        <f t="array" ref="E1137">IF(OR(Table4[[#This Row],[INSTALLMENT]]=1,Table4[[#This Row],[INSTALLMENT]]=2,Table4[[#This Row],[INSTALLMENT]]=3),1,0)</f>
        <v>0</v>
      </c>
      <c r="F1137" s="1">
        <f>IF(OR(Table4[[#This Row],[INSTALLMENT]]=2,Table4[[#This Row],[INSTALLMENT]]=3),2,0)</f>
        <v>0</v>
      </c>
      <c r="G1137" s="1">
        <f>IF(OR(Table4[[#This Row],[INSTALLMENT]]=3),3,0)</f>
        <v>0</v>
      </c>
    </row>
    <row r="1138" spans="1:7">
      <c r="A1138" s="1">
        <v>1265</v>
      </c>
      <c r="B1138" s="1" t="s">
        <v>2815</v>
      </c>
      <c r="C1138" s="1" t="s">
        <v>577</v>
      </c>
      <c r="D1138" s="1">
        <f>COUNTIFS('Raw Entries'!B:B,Table4[[#This Row],[Name]],'Raw Entries'!I:I,Table4[[#This Row],[BOOK No.]])</f>
        <v>0</v>
      </c>
      <c r="E1138" s="1">
        <f t="array" ref="E1138">IF(OR(Table4[[#This Row],[INSTALLMENT]]=1,Table4[[#This Row],[INSTALLMENT]]=2,Table4[[#This Row],[INSTALLMENT]]=3),1,0)</f>
        <v>0</v>
      </c>
      <c r="F1138" s="1">
        <f>IF(OR(Table4[[#This Row],[INSTALLMENT]]=2,Table4[[#This Row],[INSTALLMENT]]=3),2,0)</f>
        <v>0</v>
      </c>
      <c r="G1138" s="1">
        <f>IF(OR(Table4[[#This Row],[INSTALLMENT]]=3),3,0)</f>
        <v>0</v>
      </c>
    </row>
    <row r="1139" spans="1:7">
      <c r="A1139" s="1">
        <v>1266</v>
      </c>
      <c r="B1139" s="1" t="s">
        <v>2816</v>
      </c>
      <c r="C1139" s="1" t="s">
        <v>504</v>
      </c>
      <c r="D1139" s="1">
        <f>COUNTIFS('Raw Entries'!B:B,Table4[[#This Row],[Name]],'Raw Entries'!I:I,Table4[[#This Row],[BOOK No.]])</f>
        <v>0</v>
      </c>
      <c r="E1139" s="1">
        <f t="array" ref="E1139">IF(OR(Table4[[#This Row],[INSTALLMENT]]=1,Table4[[#This Row],[INSTALLMENT]]=2,Table4[[#This Row],[INSTALLMENT]]=3),1,0)</f>
        <v>0</v>
      </c>
      <c r="F1139" s="1">
        <f>IF(OR(Table4[[#This Row],[INSTALLMENT]]=2,Table4[[#This Row],[INSTALLMENT]]=3),2,0)</f>
        <v>0</v>
      </c>
      <c r="G1139" s="1">
        <f>IF(OR(Table4[[#This Row],[INSTALLMENT]]=3),3,0)</f>
        <v>0</v>
      </c>
    </row>
    <row r="1140" spans="1:7">
      <c r="A1140" s="1">
        <v>1267</v>
      </c>
      <c r="B1140" s="1" t="s">
        <v>2817</v>
      </c>
      <c r="C1140" s="1" t="s">
        <v>579</v>
      </c>
      <c r="D1140" s="1">
        <f>COUNTIFS('Raw Entries'!B:B,Table4[[#This Row],[Name]],'Raw Entries'!I:I,Table4[[#This Row],[BOOK No.]])</f>
        <v>0</v>
      </c>
      <c r="E1140" s="1">
        <f t="array" ref="E1140">IF(OR(Table4[[#This Row],[INSTALLMENT]]=1,Table4[[#This Row],[INSTALLMENT]]=2,Table4[[#This Row],[INSTALLMENT]]=3),1,0)</f>
        <v>0</v>
      </c>
      <c r="F1140" s="1">
        <f>IF(OR(Table4[[#This Row],[INSTALLMENT]]=2,Table4[[#This Row],[INSTALLMENT]]=3),2,0)</f>
        <v>0</v>
      </c>
      <c r="G1140" s="1">
        <f>IF(OR(Table4[[#This Row],[INSTALLMENT]]=3),3,0)</f>
        <v>0</v>
      </c>
    </row>
    <row r="1141" spans="1:7">
      <c r="A1141" s="1">
        <v>1268</v>
      </c>
      <c r="B1141" s="1" t="s">
        <v>2818</v>
      </c>
      <c r="C1141" s="1" t="s">
        <v>579</v>
      </c>
      <c r="D1141" s="1">
        <f>COUNTIFS('Raw Entries'!B:B,Table4[[#This Row],[Name]],'Raw Entries'!I:I,Table4[[#This Row],[BOOK No.]])</f>
        <v>0</v>
      </c>
      <c r="E1141" s="1">
        <f t="array" ref="E1141">IF(OR(Table4[[#This Row],[INSTALLMENT]]=1,Table4[[#This Row],[INSTALLMENT]]=2,Table4[[#This Row],[INSTALLMENT]]=3),1,0)</f>
        <v>0</v>
      </c>
      <c r="F1141" s="1">
        <f>IF(OR(Table4[[#This Row],[INSTALLMENT]]=2,Table4[[#This Row],[INSTALLMENT]]=3),2,0)</f>
        <v>0</v>
      </c>
      <c r="G1141" s="1">
        <f>IF(OR(Table4[[#This Row],[INSTALLMENT]]=3),3,0)</f>
        <v>0</v>
      </c>
    </row>
    <row r="1142" spans="1:7">
      <c r="A1142" s="1">
        <v>1500</v>
      </c>
      <c r="B1142" s="1" t="s">
        <v>69</v>
      </c>
      <c r="C1142" s="1" t="s">
        <v>68</v>
      </c>
      <c r="D1142" s="1">
        <f>COUNTIFS('Raw Entries'!B:B,Table4[[#This Row],[Name]],'Raw Entries'!I:I,Table4[[#This Row],[BOOK No.]])</f>
        <v>1</v>
      </c>
      <c r="E1142" s="1">
        <f t="array" ref="E1142">IF(OR(Table4[[#This Row],[INSTALLMENT]]=1,Table4[[#This Row],[INSTALLMENT]]=2,Table4[[#This Row],[INSTALLMENT]]=3),1,0)</f>
        <v>1</v>
      </c>
      <c r="F1142" s="1">
        <f>IF(OR(Table4[[#This Row],[INSTALLMENT]]=2,Table4[[#This Row],[INSTALLMENT]]=3),2,0)</f>
        <v>0</v>
      </c>
      <c r="G1142" s="1">
        <f>IF(OR(Table4[[#This Row],[INSTALLMENT]]=3),3,0)</f>
        <v>0</v>
      </c>
    </row>
    <row r="1143" spans="1:7">
      <c r="A1143" s="1">
        <v>1501</v>
      </c>
      <c r="B1143" s="1" t="s">
        <v>2819</v>
      </c>
      <c r="C1143" s="1" t="s">
        <v>68</v>
      </c>
      <c r="D1143" s="1">
        <f>COUNTIFS('Raw Entries'!B:B,Table4[[#This Row],[Name]],'Raw Entries'!I:I,Table4[[#This Row],[BOOK No.]])</f>
        <v>0</v>
      </c>
      <c r="E1143" s="1">
        <f t="array" ref="E1143">IF(OR(Table4[[#This Row],[INSTALLMENT]]=1,Table4[[#This Row],[INSTALLMENT]]=2,Table4[[#This Row],[INSTALLMENT]]=3),1,0)</f>
        <v>0</v>
      </c>
      <c r="F1143" s="1">
        <f>IF(OR(Table4[[#This Row],[INSTALLMENT]]=2,Table4[[#This Row],[INSTALLMENT]]=3),2,0)</f>
        <v>0</v>
      </c>
      <c r="G1143" s="1">
        <f>IF(OR(Table4[[#This Row],[INSTALLMENT]]=3),3,0)</f>
        <v>0</v>
      </c>
    </row>
    <row r="1144" spans="1:7">
      <c r="A1144" s="1">
        <v>1502</v>
      </c>
      <c r="B1144" s="1" t="s">
        <v>2820</v>
      </c>
      <c r="C1144" s="1" t="s">
        <v>68</v>
      </c>
      <c r="D1144" s="1">
        <f>COUNTIFS('Raw Entries'!B:B,Table4[[#This Row],[Name]],'Raw Entries'!I:I,Table4[[#This Row],[BOOK No.]])</f>
        <v>0</v>
      </c>
      <c r="E1144" s="1">
        <f t="array" ref="E1144">IF(OR(Table4[[#This Row],[INSTALLMENT]]=1,Table4[[#This Row],[INSTALLMENT]]=2,Table4[[#This Row],[INSTALLMENT]]=3),1,0)</f>
        <v>0</v>
      </c>
      <c r="F1144" s="1">
        <f>IF(OR(Table4[[#This Row],[INSTALLMENT]]=2,Table4[[#This Row],[INSTALLMENT]]=3),2,0)</f>
        <v>0</v>
      </c>
      <c r="G1144" s="1">
        <f>IF(OR(Table4[[#This Row],[INSTALLMENT]]=3),3,0)</f>
        <v>0</v>
      </c>
    </row>
    <row r="1145" spans="1:7">
      <c r="A1145" s="1">
        <v>1503</v>
      </c>
      <c r="B1145" s="1" t="s">
        <v>72</v>
      </c>
      <c r="C1145" s="1" t="s">
        <v>68</v>
      </c>
      <c r="D1145" s="1">
        <f>COUNTIFS('Raw Entries'!B:B,Table4[[#This Row],[Name]],'Raw Entries'!I:I,Table4[[#This Row],[BOOK No.]])</f>
        <v>3</v>
      </c>
      <c r="E1145" s="1">
        <f t="array" ref="E1145">IF(OR(Table4[[#This Row],[INSTALLMENT]]=1,Table4[[#This Row],[INSTALLMENT]]=2,Table4[[#This Row],[INSTALLMENT]]=3),1,0)</f>
        <v>1</v>
      </c>
      <c r="F1145" s="1">
        <f>IF(OR(Table4[[#This Row],[INSTALLMENT]]=2,Table4[[#This Row],[INSTALLMENT]]=3),2,0)</f>
        <v>2</v>
      </c>
      <c r="G1145" s="1">
        <f>IF(OR(Table4[[#This Row],[INSTALLMENT]]=3),3,0)</f>
        <v>3</v>
      </c>
    </row>
    <row r="1146" spans="1:7">
      <c r="A1146" s="1">
        <v>1504</v>
      </c>
      <c r="B1146" s="1" t="s">
        <v>2821</v>
      </c>
      <c r="C1146" s="1" t="s">
        <v>68</v>
      </c>
      <c r="D1146" s="1">
        <f>COUNTIFS('Raw Entries'!B:B,Table4[[#This Row],[Name]],'Raw Entries'!I:I,Table4[[#This Row],[BOOK No.]])</f>
        <v>0</v>
      </c>
      <c r="E1146" s="1">
        <f t="array" ref="E1146">IF(OR(Table4[[#This Row],[INSTALLMENT]]=1,Table4[[#This Row],[INSTALLMENT]]=2,Table4[[#This Row],[INSTALLMENT]]=3),1,0)</f>
        <v>0</v>
      </c>
      <c r="F1146" s="1">
        <f>IF(OR(Table4[[#This Row],[INSTALLMENT]]=2,Table4[[#This Row],[INSTALLMENT]]=3),2,0)</f>
        <v>0</v>
      </c>
      <c r="G1146" s="1">
        <f>IF(OR(Table4[[#This Row],[INSTALLMENT]]=3),3,0)</f>
        <v>0</v>
      </c>
    </row>
    <row r="1147" spans="1:7">
      <c r="A1147" s="1">
        <v>1505</v>
      </c>
      <c r="B1147" s="1" t="s">
        <v>2822</v>
      </c>
      <c r="C1147" s="1" t="s">
        <v>68</v>
      </c>
      <c r="D1147" s="1">
        <f>COUNTIFS('Raw Entries'!B:B,Table4[[#This Row],[Name]],'Raw Entries'!I:I,Table4[[#This Row],[BOOK No.]])</f>
        <v>0</v>
      </c>
      <c r="E1147" s="1">
        <f t="array" ref="E1147">IF(OR(Table4[[#This Row],[INSTALLMENT]]=1,Table4[[#This Row],[INSTALLMENT]]=2,Table4[[#This Row],[INSTALLMENT]]=3),1,0)</f>
        <v>0</v>
      </c>
      <c r="F1147" s="1">
        <f>IF(OR(Table4[[#This Row],[INSTALLMENT]]=2,Table4[[#This Row],[INSTALLMENT]]=3),2,0)</f>
        <v>0</v>
      </c>
      <c r="G1147" s="1">
        <f>IF(OR(Table4[[#This Row],[INSTALLMENT]]=3),3,0)</f>
        <v>0</v>
      </c>
    </row>
    <row r="1148" spans="1:7">
      <c r="A1148" s="1">
        <v>1506</v>
      </c>
      <c r="B1148" s="1" t="s">
        <v>3951</v>
      </c>
      <c r="C1148" s="1" t="s">
        <v>68</v>
      </c>
      <c r="D1148" s="1">
        <f>COUNTIFS('Raw Entries'!B:B,Table4[[#This Row],[Name]],'Raw Entries'!I:I,Table4[[#This Row],[BOOK No.]])</f>
        <v>0</v>
      </c>
      <c r="E1148" s="1">
        <f t="array" ref="E1148">IF(OR(Table4[[#This Row],[INSTALLMENT]]=1,Table4[[#This Row],[INSTALLMENT]]=2,Table4[[#This Row],[INSTALLMENT]]=3),1,0)</f>
        <v>0</v>
      </c>
      <c r="F1148" s="1">
        <f>IF(OR(Table4[[#This Row],[INSTALLMENT]]=2,Table4[[#This Row],[INSTALLMENT]]=3),2,0)</f>
        <v>0</v>
      </c>
      <c r="G1148" s="1">
        <f>IF(OR(Table4[[#This Row],[INSTALLMENT]]=3),3,0)</f>
        <v>0</v>
      </c>
    </row>
    <row r="1149" spans="1:7">
      <c r="A1149" s="1">
        <v>1507</v>
      </c>
      <c r="B1149" s="1" t="s">
        <v>75</v>
      </c>
      <c r="C1149" s="1" t="s">
        <v>68</v>
      </c>
      <c r="D1149" s="1">
        <f>COUNTIFS('Raw Entries'!B:B,Table4[[#This Row],[Name]],'Raw Entries'!I:I,Table4[[#This Row],[BOOK No.]])</f>
        <v>3</v>
      </c>
      <c r="E1149" s="1">
        <f t="array" ref="E1149">IF(OR(Table4[[#This Row],[INSTALLMENT]]=1,Table4[[#This Row],[INSTALLMENT]]=2,Table4[[#This Row],[INSTALLMENT]]=3),1,0)</f>
        <v>1</v>
      </c>
      <c r="F1149" s="1">
        <f>IF(OR(Table4[[#This Row],[INSTALLMENT]]=2,Table4[[#This Row],[INSTALLMENT]]=3),2,0)</f>
        <v>2</v>
      </c>
      <c r="G1149" s="1">
        <f>IF(OR(Table4[[#This Row],[INSTALLMENT]]=3),3,0)</f>
        <v>3</v>
      </c>
    </row>
    <row r="1150" spans="1:7">
      <c r="A1150" s="1">
        <v>1508</v>
      </c>
      <c r="B1150" s="1" t="s">
        <v>2823</v>
      </c>
      <c r="C1150" s="1" t="s">
        <v>68</v>
      </c>
      <c r="D1150" s="1">
        <f>COUNTIFS('Raw Entries'!B:B,Table4[[#This Row],[Name]],'Raw Entries'!I:I,Table4[[#This Row],[BOOK No.]])</f>
        <v>0</v>
      </c>
      <c r="E1150" s="1">
        <f t="array" ref="E1150">IF(OR(Table4[[#This Row],[INSTALLMENT]]=1,Table4[[#This Row],[INSTALLMENT]]=2,Table4[[#This Row],[INSTALLMENT]]=3),1,0)</f>
        <v>0</v>
      </c>
      <c r="F1150" s="1">
        <f>IF(OR(Table4[[#This Row],[INSTALLMENT]]=2,Table4[[#This Row],[INSTALLMENT]]=3),2,0)</f>
        <v>0</v>
      </c>
      <c r="G1150" s="1">
        <f>IF(OR(Table4[[#This Row],[INSTALLMENT]]=3),3,0)</f>
        <v>0</v>
      </c>
    </row>
    <row r="1151" spans="1:7">
      <c r="A1151" s="1">
        <v>1509</v>
      </c>
      <c r="B1151" s="1" t="s">
        <v>2824</v>
      </c>
      <c r="C1151" s="1" t="s">
        <v>68</v>
      </c>
      <c r="D1151" s="1">
        <f>COUNTIFS('Raw Entries'!B:B,Table4[[#This Row],[Name]],'Raw Entries'!I:I,Table4[[#This Row],[BOOK No.]])</f>
        <v>0</v>
      </c>
      <c r="E1151" s="1">
        <f t="array" ref="E1151">IF(OR(Table4[[#This Row],[INSTALLMENT]]=1,Table4[[#This Row],[INSTALLMENT]]=2,Table4[[#This Row],[INSTALLMENT]]=3),1,0)</f>
        <v>0</v>
      </c>
      <c r="F1151" s="1">
        <f>IF(OR(Table4[[#This Row],[INSTALLMENT]]=2,Table4[[#This Row],[INSTALLMENT]]=3),2,0)</f>
        <v>0</v>
      </c>
      <c r="G1151" s="1">
        <f>IF(OR(Table4[[#This Row],[INSTALLMENT]]=3),3,0)</f>
        <v>0</v>
      </c>
    </row>
    <row r="1152" spans="1:7">
      <c r="A1152" s="1">
        <v>1510</v>
      </c>
      <c r="B1152" s="1" t="s">
        <v>74</v>
      </c>
      <c r="C1152" s="1" t="s">
        <v>68</v>
      </c>
      <c r="D1152" s="1">
        <f>COUNTIFS('Raw Entries'!B:B,Table4[[#This Row],[Name]],'Raw Entries'!I:I,Table4[[#This Row],[BOOK No.]])</f>
        <v>1</v>
      </c>
      <c r="E1152" s="1">
        <f t="array" ref="E1152">IF(OR(Table4[[#This Row],[INSTALLMENT]]=1,Table4[[#This Row],[INSTALLMENT]]=2,Table4[[#This Row],[INSTALLMENT]]=3),1,0)</f>
        <v>1</v>
      </c>
      <c r="F1152" s="1">
        <f>IF(OR(Table4[[#This Row],[INSTALLMENT]]=2,Table4[[#This Row],[INSTALLMENT]]=3),2,0)</f>
        <v>0</v>
      </c>
      <c r="G1152" s="1">
        <f>IF(OR(Table4[[#This Row],[INSTALLMENT]]=3),3,0)</f>
        <v>0</v>
      </c>
    </row>
    <row r="1153" spans="1:7">
      <c r="A1153" s="1">
        <v>1511</v>
      </c>
      <c r="B1153" s="1" t="s">
        <v>77</v>
      </c>
      <c r="C1153" s="1" t="s">
        <v>68</v>
      </c>
      <c r="D1153" s="1">
        <f>COUNTIFS('Raw Entries'!B:B,Table4[[#This Row],[Name]],'Raw Entries'!I:I,Table4[[#This Row],[BOOK No.]])</f>
        <v>1</v>
      </c>
      <c r="E1153" s="1">
        <f t="array" ref="E1153">IF(OR(Table4[[#This Row],[INSTALLMENT]]=1,Table4[[#This Row],[INSTALLMENT]]=2,Table4[[#This Row],[INSTALLMENT]]=3),1,0)</f>
        <v>1</v>
      </c>
      <c r="F1153" s="1">
        <f>IF(OR(Table4[[#This Row],[INSTALLMENT]]=2,Table4[[#This Row],[INSTALLMENT]]=3),2,0)</f>
        <v>0</v>
      </c>
      <c r="G1153" s="1">
        <f>IF(OR(Table4[[#This Row],[INSTALLMENT]]=3),3,0)</f>
        <v>0</v>
      </c>
    </row>
    <row r="1154" spans="1:7">
      <c r="A1154" s="1">
        <v>1512</v>
      </c>
      <c r="B1154" s="1" t="s">
        <v>79</v>
      </c>
      <c r="C1154" s="1" t="s">
        <v>68</v>
      </c>
      <c r="D1154" s="1">
        <f>COUNTIFS('Raw Entries'!B:B,Table4[[#This Row],[Name]],'Raw Entries'!I:I,Table4[[#This Row],[BOOK No.]])</f>
        <v>3</v>
      </c>
      <c r="E1154" s="1">
        <f t="array" ref="E1154">IF(OR(Table4[[#This Row],[INSTALLMENT]]=1,Table4[[#This Row],[INSTALLMENT]]=2,Table4[[#This Row],[INSTALLMENT]]=3),1,0)</f>
        <v>1</v>
      </c>
      <c r="F1154" s="1">
        <f>IF(OR(Table4[[#This Row],[INSTALLMENT]]=2,Table4[[#This Row],[INSTALLMENT]]=3),2,0)</f>
        <v>2</v>
      </c>
      <c r="G1154" s="1">
        <f>IF(OR(Table4[[#This Row],[INSTALLMENT]]=3),3,0)</f>
        <v>3</v>
      </c>
    </row>
    <row r="1155" spans="1:7">
      <c r="A1155" s="1">
        <v>1513</v>
      </c>
      <c r="B1155" s="1" t="s">
        <v>73</v>
      </c>
      <c r="C1155" s="1" t="s">
        <v>68</v>
      </c>
      <c r="D1155" s="1">
        <f>COUNTIFS('Raw Entries'!B:B,Table4[[#This Row],[Name]],'Raw Entries'!I:I,Table4[[#This Row],[BOOK No.]])</f>
        <v>1</v>
      </c>
      <c r="E1155" s="1">
        <f t="array" ref="E1155">IF(OR(Table4[[#This Row],[INSTALLMENT]]=1,Table4[[#This Row],[INSTALLMENT]]=2,Table4[[#This Row],[INSTALLMENT]]=3),1,0)</f>
        <v>1</v>
      </c>
      <c r="F1155" s="1">
        <f>IF(OR(Table4[[#This Row],[INSTALLMENT]]=2,Table4[[#This Row],[INSTALLMENT]]=3),2,0)</f>
        <v>0</v>
      </c>
      <c r="G1155" s="1">
        <f>IF(OR(Table4[[#This Row],[INSTALLMENT]]=3),3,0)</f>
        <v>0</v>
      </c>
    </row>
    <row r="1156" spans="1:7">
      <c r="A1156" s="1">
        <v>1514</v>
      </c>
      <c r="B1156" s="1" t="s">
        <v>78</v>
      </c>
      <c r="C1156" s="1" t="s">
        <v>68</v>
      </c>
      <c r="D1156" s="1">
        <f>COUNTIFS('Raw Entries'!B:B,Table4[[#This Row],[Name]],'Raw Entries'!I:I,Table4[[#This Row],[BOOK No.]])</f>
        <v>2</v>
      </c>
      <c r="E1156" s="1">
        <f t="array" ref="E1156">IF(OR(Table4[[#This Row],[INSTALLMENT]]=1,Table4[[#This Row],[INSTALLMENT]]=2,Table4[[#This Row],[INSTALLMENT]]=3),1,0)</f>
        <v>1</v>
      </c>
      <c r="F1156" s="1">
        <f>IF(OR(Table4[[#This Row],[INSTALLMENT]]=2,Table4[[#This Row],[INSTALLMENT]]=3),2,0)</f>
        <v>2</v>
      </c>
      <c r="G1156" s="1">
        <f>IF(OR(Table4[[#This Row],[INSTALLMENT]]=3),3,0)</f>
        <v>0</v>
      </c>
    </row>
    <row r="1157" spans="1:7">
      <c r="A1157" s="1">
        <v>1515</v>
      </c>
      <c r="B1157" s="1" t="s">
        <v>71</v>
      </c>
      <c r="C1157" s="1" t="s">
        <v>68</v>
      </c>
      <c r="D1157" s="1">
        <f>COUNTIFS('Raw Entries'!B:B,Table4[[#This Row],[Name]],'Raw Entries'!I:I,Table4[[#This Row],[BOOK No.]])</f>
        <v>3</v>
      </c>
      <c r="E1157" s="1">
        <f t="array" ref="E1157">IF(OR(Table4[[#This Row],[INSTALLMENT]]=1,Table4[[#This Row],[INSTALLMENT]]=2,Table4[[#This Row],[INSTALLMENT]]=3),1,0)</f>
        <v>1</v>
      </c>
      <c r="F1157" s="1">
        <f>IF(OR(Table4[[#This Row],[INSTALLMENT]]=2,Table4[[#This Row],[INSTALLMENT]]=3),2,0)</f>
        <v>2</v>
      </c>
      <c r="G1157" s="1">
        <f>IF(OR(Table4[[#This Row],[INSTALLMENT]]=3),3,0)</f>
        <v>3</v>
      </c>
    </row>
    <row r="1158" spans="1:7">
      <c r="A1158" s="1">
        <v>1516</v>
      </c>
      <c r="B1158" s="1" t="s">
        <v>2825</v>
      </c>
      <c r="C1158" s="1" t="s">
        <v>68</v>
      </c>
      <c r="D1158" s="1">
        <f>COUNTIFS('Raw Entries'!B:B,Table4[[#This Row],[Name]],'Raw Entries'!I:I,Table4[[#This Row],[BOOK No.]])</f>
        <v>0</v>
      </c>
      <c r="E1158" s="1">
        <f t="array" ref="E1158">IF(OR(Table4[[#This Row],[INSTALLMENT]]=1,Table4[[#This Row],[INSTALLMENT]]=2,Table4[[#This Row],[INSTALLMENT]]=3),1,0)</f>
        <v>0</v>
      </c>
      <c r="F1158" s="1">
        <f>IF(OR(Table4[[#This Row],[INSTALLMENT]]=2,Table4[[#This Row],[INSTALLMENT]]=3),2,0)</f>
        <v>0</v>
      </c>
      <c r="G1158" s="1">
        <f>IF(OR(Table4[[#This Row],[INSTALLMENT]]=3),3,0)</f>
        <v>0</v>
      </c>
    </row>
    <row r="1159" spans="1:7">
      <c r="A1159" s="1">
        <v>1517</v>
      </c>
      <c r="B1159" s="1" t="s">
        <v>2826</v>
      </c>
      <c r="C1159" s="1" t="s">
        <v>68</v>
      </c>
      <c r="D1159" s="1">
        <f>COUNTIFS('Raw Entries'!B:B,Table4[[#This Row],[Name]],'Raw Entries'!I:I,Table4[[#This Row],[BOOK No.]])</f>
        <v>3</v>
      </c>
      <c r="E1159" s="1">
        <f t="array" ref="E1159">IF(OR(Table4[[#This Row],[INSTALLMENT]]=1,Table4[[#This Row],[INSTALLMENT]]=2,Table4[[#This Row],[INSTALLMENT]]=3),1,0)</f>
        <v>1</v>
      </c>
      <c r="F1159" s="1">
        <f>IF(OR(Table4[[#This Row],[INSTALLMENT]]=2,Table4[[#This Row],[INSTALLMENT]]=3),2,0)</f>
        <v>2</v>
      </c>
      <c r="G1159" s="1">
        <f>IF(OR(Table4[[#This Row],[INSTALLMENT]]=3),3,0)</f>
        <v>3</v>
      </c>
    </row>
    <row r="1160" spans="1:7">
      <c r="A1160" s="1">
        <v>1518</v>
      </c>
      <c r="B1160" s="1" t="s">
        <v>2827</v>
      </c>
      <c r="C1160" s="1" t="s">
        <v>68</v>
      </c>
      <c r="D1160" s="1">
        <f>COUNTIFS('Raw Entries'!B:B,Table4[[#This Row],[Name]],'Raw Entries'!I:I,Table4[[#This Row],[BOOK No.]])</f>
        <v>0</v>
      </c>
      <c r="E1160" s="1">
        <f t="array" ref="E1160">IF(OR(Table4[[#This Row],[INSTALLMENT]]=1,Table4[[#This Row],[INSTALLMENT]]=2,Table4[[#This Row],[INSTALLMENT]]=3),1,0)</f>
        <v>0</v>
      </c>
      <c r="F1160" s="1">
        <f>IF(OR(Table4[[#This Row],[INSTALLMENT]]=2,Table4[[#This Row],[INSTALLMENT]]=3),2,0)</f>
        <v>0</v>
      </c>
      <c r="G1160" s="1">
        <f>IF(OR(Table4[[#This Row],[INSTALLMENT]]=3),3,0)</f>
        <v>0</v>
      </c>
    </row>
    <row r="1161" spans="1:7">
      <c r="A1161" s="1">
        <v>1519</v>
      </c>
      <c r="B1161" s="1" t="s">
        <v>2828</v>
      </c>
      <c r="C1161" s="1" t="s">
        <v>68</v>
      </c>
      <c r="D1161" s="1">
        <f>COUNTIFS('Raw Entries'!B:B,Table4[[#This Row],[Name]],'Raw Entries'!I:I,Table4[[#This Row],[BOOK No.]])</f>
        <v>0</v>
      </c>
      <c r="E1161" s="1">
        <f t="array" ref="E1161">IF(OR(Table4[[#This Row],[INSTALLMENT]]=1,Table4[[#This Row],[INSTALLMENT]]=2,Table4[[#This Row],[INSTALLMENT]]=3),1,0)</f>
        <v>0</v>
      </c>
      <c r="F1161" s="1">
        <f>IF(OR(Table4[[#This Row],[INSTALLMENT]]=2,Table4[[#This Row],[INSTALLMENT]]=3),2,0)</f>
        <v>0</v>
      </c>
      <c r="G1161" s="1">
        <f>IF(OR(Table4[[#This Row],[INSTALLMENT]]=3),3,0)</f>
        <v>0</v>
      </c>
    </row>
    <row r="1162" spans="1:7">
      <c r="A1162" s="1">
        <v>1520</v>
      </c>
      <c r="B1162" s="1" t="s">
        <v>70</v>
      </c>
      <c r="C1162" s="1" t="s">
        <v>68</v>
      </c>
      <c r="D1162" s="1">
        <f>COUNTIFS('Raw Entries'!B:B,Table4[[#This Row],[Name]],'Raw Entries'!I:I,Table4[[#This Row],[BOOK No.]])</f>
        <v>1</v>
      </c>
      <c r="E1162" s="1">
        <f t="array" ref="E1162">IF(OR(Table4[[#This Row],[INSTALLMENT]]=1,Table4[[#This Row],[INSTALLMENT]]=2,Table4[[#This Row],[INSTALLMENT]]=3),1,0)</f>
        <v>1</v>
      </c>
      <c r="F1162" s="1">
        <f>IF(OR(Table4[[#This Row],[INSTALLMENT]]=2,Table4[[#This Row],[INSTALLMENT]]=3),2,0)</f>
        <v>0</v>
      </c>
      <c r="G1162" s="1">
        <f>IF(OR(Table4[[#This Row],[INSTALLMENT]]=3),3,0)</f>
        <v>0</v>
      </c>
    </row>
    <row r="1163" spans="1:7">
      <c r="A1163" s="1">
        <v>1521</v>
      </c>
      <c r="B1163" s="1" t="s">
        <v>2829</v>
      </c>
      <c r="C1163" s="1" t="s">
        <v>68</v>
      </c>
      <c r="D1163" s="1">
        <f>COUNTIFS('Raw Entries'!B:B,Table4[[#This Row],[Name]],'Raw Entries'!I:I,Table4[[#This Row],[BOOK No.]])</f>
        <v>0</v>
      </c>
      <c r="E1163" s="1">
        <f t="array" ref="E1163">IF(OR(Table4[[#This Row],[INSTALLMENT]]=1,Table4[[#This Row],[INSTALLMENT]]=2,Table4[[#This Row],[INSTALLMENT]]=3),1,0)</f>
        <v>0</v>
      </c>
      <c r="F1163" s="1">
        <f>IF(OR(Table4[[#This Row],[INSTALLMENT]]=2,Table4[[#This Row],[INSTALLMENT]]=3),2,0)</f>
        <v>0</v>
      </c>
      <c r="G1163" s="1">
        <f>IF(OR(Table4[[#This Row],[INSTALLMENT]]=3),3,0)</f>
        <v>0</v>
      </c>
    </row>
    <row r="1164" spans="1:7">
      <c r="A1164" s="1">
        <v>1522</v>
      </c>
      <c r="B1164" s="1" t="s">
        <v>2830</v>
      </c>
      <c r="C1164" s="1" t="s">
        <v>68</v>
      </c>
      <c r="D1164" s="1">
        <f>COUNTIFS('Raw Entries'!B:B,Table4[[#This Row],[Name]],'Raw Entries'!I:I,Table4[[#This Row],[BOOK No.]])</f>
        <v>0</v>
      </c>
      <c r="E1164" s="1">
        <f t="array" ref="E1164">IF(OR(Table4[[#This Row],[INSTALLMENT]]=1,Table4[[#This Row],[INSTALLMENT]]=2,Table4[[#This Row],[INSTALLMENT]]=3),1,0)</f>
        <v>0</v>
      </c>
      <c r="F1164" s="1">
        <f>IF(OR(Table4[[#This Row],[INSTALLMENT]]=2,Table4[[#This Row],[INSTALLMENT]]=3),2,0)</f>
        <v>0</v>
      </c>
      <c r="G1164" s="1">
        <f>IF(OR(Table4[[#This Row],[INSTALLMENT]]=3),3,0)</f>
        <v>0</v>
      </c>
    </row>
    <row r="1165" spans="1:7">
      <c r="A1165" s="1">
        <v>1523</v>
      </c>
      <c r="B1165" s="1" t="s">
        <v>2831</v>
      </c>
      <c r="C1165" s="1" t="s">
        <v>68</v>
      </c>
      <c r="D1165" s="1">
        <f>COUNTIFS('Raw Entries'!B:B,Table4[[#This Row],[Name]],'Raw Entries'!I:I,Table4[[#This Row],[BOOK No.]])</f>
        <v>0</v>
      </c>
      <c r="E1165" s="1">
        <f t="array" ref="E1165">IF(OR(Table4[[#This Row],[INSTALLMENT]]=1,Table4[[#This Row],[INSTALLMENT]]=2,Table4[[#This Row],[INSTALLMENT]]=3),1,0)</f>
        <v>0</v>
      </c>
      <c r="F1165" s="1">
        <f>IF(OR(Table4[[#This Row],[INSTALLMENT]]=2,Table4[[#This Row],[INSTALLMENT]]=3),2,0)</f>
        <v>0</v>
      </c>
      <c r="G1165" s="1">
        <f>IF(OR(Table4[[#This Row],[INSTALLMENT]]=3),3,0)</f>
        <v>0</v>
      </c>
    </row>
    <row r="1166" spans="1:7">
      <c r="A1166" s="1">
        <v>1524</v>
      </c>
      <c r="B1166" s="1" t="s">
        <v>2832</v>
      </c>
      <c r="C1166" s="1" t="s">
        <v>68</v>
      </c>
      <c r="D1166" s="1">
        <f>COUNTIFS('Raw Entries'!B:B,Table4[[#This Row],[Name]],'Raw Entries'!I:I,Table4[[#This Row],[BOOK No.]])</f>
        <v>0</v>
      </c>
      <c r="E1166" s="1">
        <f t="array" ref="E1166">IF(OR(Table4[[#This Row],[INSTALLMENT]]=1,Table4[[#This Row],[INSTALLMENT]]=2,Table4[[#This Row],[INSTALLMENT]]=3),1,0)</f>
        <v>0</v>
      </c>
      <c r="F1166" s="1">
        <f>IF(OR(Table4[[#This Row],[INSTALLMENT]]=2,Table4[[#This Row],[INSTALLMENT]]=3),2,0)</f>
        <v>0</v>
      </c>
      <c r="G1166" s="1">
        <f>IF(OR(Table4[[#This Row],[INSTALLMENT]]=3),3,0)</f>
        <v>0</v>
      </c>
    </row>
    <row r="1167" spans="1:7">
      <c r="A1167" s="1">
        <v>1525</v>
      </c>
      <c r="B1167" s="1" t="s">
        <v>2833</v>
      </c>
      <c r="C1167" s="1" t="s">
        <v>68</v>
      </c>
      <c r="D1167" s="1">
        <f>COUNTIFS('Raw Entries'!B:B,Table4[[#This Row],[Name]],'Raw Entries'!I:I,Table4[[#This Row],[BOOK No.]])</f>
        <v>2</v>
      </c>
      <c r="E1167" s="1">
        <f t="array" ref="E1167">IF(OR(Table4[[#This Row],[INSTALLMENT]]=1,Table4[[#This Row],[INSTALLMENT]]=2,Table4[[#This Row],[INSTALLMENT]]=3),1,0)</f>
        <v>1</v>
      </c>
      <c r="F1167" s="1">
        <f>IF(OR(Table4[[#This Row],[INSTALLMENT]]=2,Table4[[#This Row],[INSTALLMENT]]=3),2,0)</f>
        <v>2</v>
      </c>
      <c r="G1167" s="1">
        <f>IF(OR(Table4[[#This Row],[INSTALLMENT]]=3),3,0)</f>
        <v>0</v>
      </c>
    </row>
    <row r="1168" spans="1:7">
      <c r="A1168" s="1">
        <v>1526</v>
      </c>
      <c r="B1168" s="1" t="s">
        <v>2834</v>
      </c>
      <c r="C1168" s="1" t="s">
        <v>68</v>
      </c>
      <c r="D1168" s="1">
        <f>COUNTIFS('Raw Entries'!B:B,Table4[[#This Row],[Name]],'Raw Entries'!I:I,Table4[[#This Row],[BOOK No.]])</f>
        <v>2</v>
      </c>
      <c r="E1168" s="1">
        <f t="array" ref="E1168">IF(OR(Table4[[#This Row],[INSTALLMENT]]=1,Table4[[#This Row],[INSTALLMENT]]=2,Table4[[#This Row],[INSTALLMENT]]=3),1,0)</f>
        <v>1</v>
      </c>
      <c r="F1168" s="1">
        <f>IF(OR(Table4[[#This Row],[INSTALLMENT]]=2,Table4[[#This Row],[INSTALLMENT]]=3),2,0)</f>
        <v>2</v>
      </c>
      <c r="G1168" s="1">
        <f>IF(OR(Table4[[#This Row],[INSTALLMENT]]=3),3,0)</f>
        <v>0</v>
      </c>
    </row>
    <row r="1169" spans="1:7">
      <c r="A1169" s="1">
        <v>1527</v>
      </c>
      <c r="B1169" s="1" t="s">
        <v>76</v>
      </c>
      <c r="C1169" s="1" t="s">
        <v>68</v>
      </c>
      <c r="D1169" s="1">
        <f>COUNTIFS('Raw Entries'!B:B,Table4[[#This Row],[Name]],'Raw Entries'!I:I,Table4[[#This Row],[BOOK No.]])</f>
        <v>1</v>
      </c>
      <c r="E1169" s="1">
        <f t="array" ref="E1169">IF(OR(Table4[[#This Row],[INSTALLMENT]]=1,Table4[[#This Row],[INSTALLMENT]]=2,Table4[[#This Row],[INSTALLMENT]]=3),1,0)</f>
        <v>1</v>
      </c>
      <c r="F1169" s="1">
        <f>IF(OR(Table4[[#This Row],[INSTALLMENT]]=2,Table4[[#This Row],[INSTALLMENT]]=3),2,0)</f>
        <v>0</v>
      </c>
      <c r="G1169" s="1">
        <f>IF(OR(Table4[[#This Row],[INSTALLMENT]]=3),3,0)</f>
        <v>0</v>
      </c>
    </row>
    <row r="1170" spans="1:7">
      <c r="A1170" s="1">
        <v>1528</v>
      </c>
      <c r="B1170" s="1" t="s">
        <v>2835</v>
      </c>
      <c r="C1170" s="1" t="s">
        <v>68</v>
      </c>
      <c r="D1170" s="1">
        <f>COUNTIFS('Raw Entries'!B:B,Table4[[#This Row],[Name]],'Raw Entries'!I:I,Table4[[#This Row],[BOOK No.]])</f>
        <v>0</v>
      </c>
      <c r="E1170" s="1">
        <f t="array" ref="E1170">IF(OR(Table4[[#This Row],[INSTALLMENT]]=1,Table4[[#This Row],[INSTALLMENT]]=2,Table4[[#This Row],[INSTALLMENT]]=3),1,0)</f>
        <v>0</v>
      </c>
      <c r="F1170" s="1">
        <f>IF(OR(Table4[[#This Row],[INSTALLMENT]]=2,Table4[[#This Row],[INSTALLMENT]]=3),2,0)</f>
        <v>0</v>
      </c>
      <c r="G1170" s="1">
        <f>IF(OR(Table4[[#This Row],[INSTALLMENT]]=3),3,0)</f>
        <v>0</v>
      </c>
    </row>
    <row r="1171" spans="1:7">
      <c r="A1171" s="1">
        <v>1529</v>
      </c>
      <c r="B1171" s="1" t="s">
        <v>2836</v>
      </c>
      <c r="C1171" s="1" t="s">
        <v>80</v>
      </c>
      <c r="D1171" s="1">
        <f>COUNTIFS('Raw Entries'!B:B,Table4[[#This Row],[Name]],'Raw Entries'!I:I,Table4[[#This Row],[BOOK No.]])</f>
        <v>0</v>
      </c>
      <c r="E1171" s="1">
        <f t="array" ref="E1171">IF(OR(Table4[[#This Row],[INSTALLMENT]]=1,Table4[[#This Row],[INSTALLMENT]]=2,Table4[[#This Row],[INSTALLMENT]]=3),1,0)</f>
        <v>0</v>
      </c>
      <c r="F1171" s="1">
        <f>IF(OR(Table4[[#This Row],[INSTALLMENT]]=2,Table4[[#This Row],[INSTALLMENT]]=3),2,0)</f>
        <v>0</v>
      </c>
      <c r="G1171" s="1">
        <f>IF(OR(Table4[[#This Row],[INSTALLMENT]]=3),3,0)</f>
        <v>0</v>
      </c>
    </row>
    <row r="1172" spans="1:7">
      <c r="A1172" s="1">
        <v>1530</v>
      </c>
      <c r="B1172" s="1" t="s">
        <v>2837</v>
      </c>
      <c r="C1172" s="1" t="s">
        <v>80</v>
      </c>
      <c r="D1172" s="1">
        <f>COUNTIFS('Raw Entries'!B:B,Table4[[#This Row],[Name]],'Raw Entries'!I:I,Table4[[#This Row],[BOOK No.]])</f>
        <v>0</v>
      </c>
      <c r="E1172" s="1">
        <f t="array" ref="E1172">IF(OR(Table4[[#This Row],[INSTALLMENT]]=1,Table4[[#This Row],[INSTALLMENT]]=2,Table4[[#This Row],[INSTALLMENT]]=3),1,0)</f>
        <v>0</v>
      </c>
      <c r="F1172" s="1">
        <f>IF(OR(Table4[[#This Row],[INSTALLMENT]]=2,Table4[[#This Row],[INSTALLMENT]]=3),2,0)</f>
        <v>0</v>
      </c>
      <c r="G1172" s="1">
        <f>IF(OR(Table4[[#This Row],[INSTALLMENT]]=3),3,0)</f>
        <v>0</v>
      </c>
    </row>
    <row r="1173" spans="1:7">
      <c r="A1173" s="1">
        <v>1531</v>
      </c>
      <c r="B1173" s="1" t="s">
        <v>2838</v>
      </c>
      <c r="C1173" s="1" t="s">
        <v>80</v>
      </c>
      <c r="D1173" s="1">
        <f>COUNTIFS('Raw Entries'!B:B,Table4[[#This Row],[Name]],'Raw Entries'!I:I,Table4[[#This Row],[BOOK No.]])</f>
        <v>0</v>
      </c>
      <c r="E1173" s="1">
        <f t="array" ref="E1173">IF(OR(Table4[[#This Row],[INSTALLMENT]]=1,Table4[[#This Row],[INSTALLMENT]]=2,Table4[[#This Row],[INSTALLMENT]]=3),1,0)</f>
        <v>0</v>
      </c>
      <c r="F1173" s="1">
        <f>IF(OR(Table4[[#This Row],[INSTALLMENT]]=2,Table4[[#This Row],[INSTALLMENT]]=3),2,0)</f>
        <v>0</v>
      </c>
      <c r="G1173" s="1">
        <f>IF(OR(Table4[[#This Row],[INSTALLMENT]]=3),3,0)</f>
        <v>0</v>
      </c>
    </row>
    <row r="1174" spans="1:7">
      <c r="A1174" s="1">
        <v>1532</v>
      </c>
      <c r="B1174" s="1" t="s">
        <v>2839</v>
      </c>
      <c r="C1174" s="1" t="s">
        <v>80</v>
      </c>
      <c r="D1174" s="1">
        <f>COUNTIFS('Raw Entries'!B:B,Table4[[#This Row],[Name]],'Raw Entries'!I:I,Table4[[#This Row],[BOOK No.]])</f>
        <v>0</v>
      </c>
      <c r="E1174" s="1">
        <f t="array" ref="E1174">IF(OR(Table4[[#This Row],[INSTALLMENT]]=1,Table4[[#This Row],[INSTALLMENT]]=2,Table4[[#This Row],[INSTALLMENT]]=3),1,0)</f>
        <v>0</v>
      </c>
      <c r="F1174" s="1">
        <f>IF(OR(Table4[[#This Row],[INSTALLMENT]]=2,Table4[[#This Row],[INSTALLMENT]]=3),2,0)</f>
        <v>0</v>
      </c>
      <c r="G1174" s="1">
        <f>IF(OR(Table4[[#This Row],[INSTALLMENT]]=3),3,0)</f>
        <v>0</v>
      </c>
    </row>
    <row r="1175" spans="1:7">
      <c r="A1175" s="1">
        <v>1533</v>
      </c>
      <c r="B1175" s="1" t="s">
        <v>2840</v>
      </c>
      <c r="C1175" s="1" t="s">
        <v>80</v>
      </c>
      <c r="D1175" s="1">
        <f>COUNTIFS('Raw Entries'!B:B,Table4[[#This Row],[Name]],'Raw Entries'!I:I,Table4[[#This Row],[BOOK No.]])</f>
        <v>0</v>
      </c>
      <c r="E1175" s="1">
        <f t="array" ref="E1175">IF(OR(Table4[[#This Row],[INSTALLMENT]]=1,Table4[[#This Row],[INSTALLMENT]]=2,Table4[[#This Row],[INSTALLMENT]]=3),1,0)</f>
        <v>0</v>
      </c>
      <c r="F1175" s="1">
        <f>IF(OR(Table4[[#This Row],[INSTALLMENT]]=2,Table4[[#This Row],[INSTALLMENT]]=3),2,0)</f>
        <v>0</v>
      </c>
      <c r="G1175" s="1">
        <f>IF(OR(Table4[[#This Row],[INSTALLMENT]]=3),3,0)</f>
        <v>0</v>
      </c>
    </row>
    <row r="1176" spans="1:7">
      <c r="A1176" s="1">
        <v>1534</v>
      </c>
      <c r="B1176" s="1" t="s">
        <v>2841</v>
      </c>
      <c r="C1176" s="1" t="s">
        <v>80</v>
      </c>
      <c r="D1176" s="1">
        <f>COUNTIFS('Raw Entries'!B:B,Table4[[#This Row],[Name]],'Raw Entries'!I:I,Table4[[#This Row],[BOOK No.]])</f>
        <v>0</v>
      </c>
      <c r="E1176" s="1">
        <f t="array" ref="E1176">IF(OR(Table4[[#This Row],[INSTALLMENT]]=1,Table4[[#This Row],[INSTALLMENT]]=2,Table4[[#This Row],[INSTALLMENT]]=3),1,0)</f>
        <v>0</v>
      </c>
      <c r="F1176" s="1">
        <f>IF(OR(Table4[[#This Row],[INSTALLMENT]]=2,Table4[[#This Row],[INSTALLMENT]]=3),2,0)</f>
        <v>0</v>
      </c>
      <c r="G1176" s="1">
        <f>IF(OR(Table4[[#This Row],[INSTALLMENT]]=3),3,0)</f>
        <v>0</v>
      </c>
    </row>
    <row r="1177" spans="1:7">
      <c r="A1177" s="1">
        <v>1535</v>
      </c>
      <c r="B1177" s="1" t="s">
        <v>2842</v>
      </c>
      <c r="C1177" s="1" t="s">
        <v>80</v>
      </c>
      <c r="D1177" s="1">
        <f>COUNTIFS('Raw Entries'!B:B,Table4[[#This Row],[Name]],'Raw Entries'!I:I,Table4[[#This Row],[BOOK No.]])</f>
        <v>0</v>
      </c>
      <c r="E1177" s="1">
        <f t="array" ref="E1177">IF(OR(Table4[[#This Row],[INSTALLMENT]]=1,Table4[[#This Row],[INSTALLMENT]]=2,Table4[[#This Row],[INSTALLMENT]]=3),1,0)</f>
        <v>0</v>
      </c>
      <c r="F1177" s="1">
        <f>IF(OR(Table4[[#This Row],[INSTALLMENT]]=2,Table4[[#This Row],[INSTALLMENT]]=3),2,0)</f>
        <v>0</v>
      </c>
      <c r="G1177" s="1">
        <f>IF(OR(Table4[[#This Row],[INSTALLMENT]]=3),3,0)</f>
        <v>0</v>
      </c>
    </row>
    <row r="1178" spans="1:7">
      <c r="A1178" s="1">
        <v>1536</v>
      </c>
      <c r="B1178" s="1" t="s">
        <v>2843</v>
      </c>
      <c r="C1178" s="1" t="s">
        <v>80</v>
      </c>
      <c r="D1178" s="1">
        <f>COUNTIFS('Raw Entries'!B:B,Table4[[#This Row],[Name]],'Raw Entries'!I:I,Table4[[#This Row],[BOOK No.]])</f>
        <v>0</v>
      </c>
      <c r="E1178" s="1">
        <f t="array" ref="E1178">IF(OR(Table4[[#This Row],[INSTALLMENT]]=1,Table4[[#This Row],[INSTALLMENT]]=2,Table4[[#This Row],[INSTALLMENT]]=3),1,0)</f>
        <v>0</v>
      </c>
      <c r="F1178" s="1">
        <f>IF(OR(Table4[[#This Row],[INSTALLMENT]]=2,Table4[[#This Row],[INSTALLMENT]]=3),2,0)</f>
        <v>0</v>
      </c>
      <c r="G1178" s="1">
        <f>IF(OR(Table4[[#This Row],[INSTALLMENT]]=3),3,0)</f>
        <v>0</v>
      </c>
    </row>
    <row r="1179" spans="1:7">
      <c r="A1179" s="1">
        <v>1537</v>
      </c>
      <c r="B1179" s="1" t="s">
        <v>2844</v>
      </c>
      <c r="C1179" s="1" t="s">
        <v>80</v>
      </c>
      <c r="D1179" s="1">
        <f>COUNTIFS('Raw Entries'!B:B,Table4[[#This Row],[Name]],'Raw Entries'!I:I,Table4[[#This Row],[BOOK No.]])</f>
        <v>0</v>
      </c>
      <c r="E1179" s="1">
        <f t="array" ref="E1179">IF(OR(Table4[[#This Row],[INSTALLMENT]]=1,Table4[[#This Row],[INSTALLMENT]]=2,Table4[[#This Row],[INSTALLMENT]]=3),1,0)</f>
        <v>0</v>
      </c>
      <c r="F1179" s="1">
        <f>IF(OR(Table4[[#This Row],[INSTALLMENT]]=2,Table4[[#This Row],[INSTALLMENT]]=3),2,0)</f>
        <v>0</v>
      </c>
      <c r="G1179" s="1">
        <f>IF(OR(Table4[[#This Row],[INSTALLMENT]]=3),3,0)</f>
        <v>0</v>
      </c>
    </row>
    <row r="1180" spans="1:7">
      <c r="A1180" s="1">
        <v>1538</v>
      </c>
      <c r="B1180" s="1" t="s">
        <v>2845</v>
      </c>
      <c r="C1180" s="1" t="s">
        <v>80</v>
      </c>
      <c r="D1180" s="1">
        <f>COUNTIFS('Raw Entries'!B:B,Table4[[#This Row],[Name]],'Raw Entries'!I:I,Table4[[#This Row],[BOOK No.]])</f>
        <v>0</v>
      </c>
      <c r="E1180" s="1">
        <f t="array" ref="E1180">IF(OR(Table4[[#This Row],[INSTALLMENT]]=1,Table4[[#This Row],[INSTALLMENT]]=2,Table4[[#This Row],[INSTALLMENT]]=3),1,0)</f>
        <v>0</v>
      </c>
      <c r="F1180" s="1">
        <f>IF(OR(Table4[[#This Row],[INSTALLMENT]]=2,Table4[[#This Row],[INSTALLMENT]]=3),2,0)</f>
        <v>0</v>
      </c>
      <c r="G1180" s="1">
        <f>IF(OR(Table4[[#This Row],[INSTALLMENT]]=3),3,0)</f>
        <v>0</v>
      </c>
    </row>
    <row r="1181" spans="1:7">
      <c r="A1181" s="1">
        <v>1539</v>
      </c>
      <c r="B1181" s="1" t="s">
        <v>2727</v>
      </c>
      <c r="C1181" s="1" t="s">
        <v>80</v>
      </c>
      <c r="D1181" s="1">
        <f>COUNTIFS('Raw Entries'!B:B,Table4[[#This Row],[Name]],'Raw Entries'!I:I,Table4[[#This Row],[BOOK No.]])</f>
        <v>0</v>
      </c>
      <c r="E1181" s="1">
        <f t="array" ref="E1181">IF(OR(Table4[[#This Row],[INSTALLMENT]]=1,Table4[[#This Row],[INSTALLMENT]]=2,Table4[[#This Row],[INSTALLMENT]]=3),1,0)</f>
        <v>0</v>
      </c>
      <c r="F1181" s="1">
        <f>IF(OR(Table4[[#This Row],[INSTALLMENT]]=2,Table4[[#This Row],[INSTALLMENT]]=3),2,0)</f>
        <v>0</v>
      </c>
      <c r="G1181" s="1">
        <f>IF(OR(Table4[[#This Row],[INSTALLMENT]]=3),3,0)</f>
        <v>0</v>
      </c>
    </row>
    <row r="1182" spans="1:7">
      <c r="A1182" s="1">
        <v>1540</v>
      </c>
      <c r="B1182" s="1" t="s">
        <v>2846</v>
      </c>
      <c r="C1182" s="1" t="s">
        <v>80</v>
      </c>
      <c r="D1182" s="1">
        <f>COUNTIFS('Raw Entries'!B:B,Table4[[#This Row],[Name]],'Raw Entries'!I:I,Table4[[#This Row],[BOOK No.]])</f>
        <v>0</v>
      </c>
      <c r="E1182" s="1">
        <f t="array" ref="E1182">IF(OR(Table4[[#This Row],[INSTALLMENT]]=1,Table4[[#This Row],[INSTALLMENT]]=2,Table4[[#This Row],[INSTALLMENT]]=3),1,0)</f>
        <v>0</v>
      </c>
      <c r="F1182" s="1">
        <f>IF(OR(Table4[[#This Row],[INSTALLMENT]]=2,Table4[[#This Row],[INSTALLMENT]]=3),2,0)</f>
        <v>0</v>
      </c>
      <c r="G1182" s="1">
        <f>IF(OR(Table4[[#This Row],[INSTALLMENT]]=3),3,0)</f>
        <v>0</v>
      </c>
    </row>
    <row r="1183" spans="1:7">
      <c r="A1183" s="1">
        <v>1541</v>
      </c>
      <c r="B1183" s="1" t="s">
        <v>2847</v>
      </c>
      <c r="C1183" s="1" t="s">
        <v>80</v>
      </c>
      <c r="D1183" s="1">
        <f>COUNTIFS('Raw Entries'!B:B,Table4[[#This Row],[Name]],'Raw Entries'!I:I,Table4[[#This Row],[BOOK No.]])</f>
        <v>0</v>
      </c>
      <c r="E1183" s="1">
        <f t="array" ref="E1183">IF(OR(Table4[[#This Row],[INSTALLMENT]]=1,Table4[[#This Row],[INSTALLMENT]]=2,Table4[[#This Row],[INSTALLMENT]]=3),1,0)</f>
        <v>0</v>
      </c>
      <c r="F1183" s="1">
        <f>IF(OR(Table4[[#This Row],[INSTALLMENT]]=2,Table4[[#This Row],[INSTALLMENT]]=3),2,0)</f>
        <v>0</v>
      </c>
      <c r="G1183" s="1">
        <f>IF(OR(Table4[[#This Row],[INSTALLMENT]]=3),3,0)</f>
        <v>0</v>
      </c>
    </row>
    <row r="1184" spans="1:7">
      <c r="A1184" s="1">
        <v>1542</v>
      </c>
      <c r="B1184" s="1" t="s">
        <v>2848</v>
      </c>
      <c r="C1184" s="1" t="s">
        <v>80</v>
      </c>
      <c r="D1184" s="1">
        <f>COUNTIFS('Raw Entries'!B:B,Table4[[#This Row],[Name]],'Raw Entries'!I:I,Table4[[#This Row],[BOOK No.]])</f>
        <v>0</v>
      </c>
      <c r="E1184" s="1">
        <f t="array" ref="E1184">IF(OR(Table4[[#This Row],[INSTALLMENT]]=1,Table4[[#This Row],[INSTALLMENT]]=2,Table4[[#This Row],[INSTALLMENT]]=3),1,0)</f>
        <v>0</v>
      </c>
      <c r="F1184" s="1">
        <f>IF(OR(Table4[[#This Row],[INSTALLMENT]]=2,Table4[[#This Row],[INSTALLMENT]]=3),2,0)</f>
        <v>0</v>
      </c>
      <c r="G1184" s="1">
        <f>IF(OR(Table4[[#This Row],[INSTALLMENT]]=3),3,0)</f>
        <v>0</v>
      </c>
    </row>
    <row r="1185" spans="1:7">
      <c r="A1185" s="1">
        <v>1543</v>
      </c>
      <c r="B1185" s="1" t="s">
        <v>2849</v>
      </c>
      <c r="C1185" s="1" t="s">
        <v>80</v>
      </c>
      <c r="D1185" s="1">
        <f>COUNTIFS('Raw Entries'!B:B,Table4[[#This Row],[Name]],'Raw Entries'!I:I,Table4[[#This Row],[BOOK No.]])</f>
        <v>0</v>
      </c>
      <c r="E1185" s="1">
        <f t="array" ref="E1185">IF(OR(Table4[[#This Row],[INSTALLMENT]]=1,Table4[[#This Row],[INSTALLMENT]]=2,Table4[[#This Row],[INSTALLMENT]]=3),1,0)</f>
        <v>0</v>
      </c>
      <c r="F1185" s="1">
        <f>IF(OR(Table4[[#This Row],[INSTALLMENT]]=2,Table4[[#This Row],[INSTALLMENT]]=3),2,0)</f>
        <v>0</v>
      </c>
      <c r="G1185" s="1">
        <f>IF(OR(Table4[[#This Row],[INSTALLMENT]]=3),3,0)</f>
        <v>0</v>
      </c>
    </row>
    <row r="1186" spans="1:7">
      <c r="A1186" s="1">
        <v>1544</v>
      </c>
      <c r="B1186" s="1" t="s">
        <v>2850</v>
      </c>
      <c r="C1186" s="1" t="s">
        <v>80</v>
      </c>
      <c r="D1186" s="1">
        <f>COUNTIFS('Raw Entries'!B:B,Table4[[#This Row],[Name]],'Raw Entries'!I:I,Table4[[#This Row],[BOOK No.]])</f>
        <v>0</v>
      </c>
      <c r="E1186" s="1">
        <f t="array" ref="E1186">IF(OR(Table4[[#This Row],[INSTALLMENT]]=1,Table4[[#This Row],[INSTALLMENT]]=2,Table4[[#This Row],[INSTALLMENT]]=3),1,0)</f>
        <v>0</v>
      </c>
      <c r="F1186" s="1">
        <f>IF(OR(Table4[[#This Row],[INSTALLMENT]]=2,Table4[[#This Row],[INSTALLMENT]]=3),2,0)</f>
        <v>0</v>
      </c>
      <c r="G1186" s="1">
        <f>IF(OR(Table4[[#This Row],[INSTALLMENT]]=3),3,0)</f>
        <v>0</v>
      </c>
    </row>
    <row r="1187" spans="1:7">
      <c r="A1187" s="1">
        <v>1545</v>
      </c>
      <c r="B1187" s="1" t="s">
        <v>83</v>
      </c>
      <c r="C1187" s="1" t="s">
        <v>80</v>
      </c>
      <c r="D1187" s="1">
        <f>COUNTIFS('Raw Entries'!B:B,Table4[[#This Row],[Name]],'Raw Entries'!I:I,Table4[[#This Row],[BOOK No.]])</f>
        <v>2</v>
      </c>
      <c r="E1187" s="1">
        <f t="array" ref="E1187">IF(OR(Table4[[#This Row],[INSTALLMENT]]=1,Table4[[#This Row],[INSTALLMENT]]=2,Table4[[#This Row],[INSTALLMENT]]=3),1,0)</f>
        <v>1</v>
      </c>
      <c r="F1187" s="1">
        <f>IF(OR(Table4[[#This Row],[INSTALLMENT]]=2,Table4[[#This Row],[INSTALLMENT]]=3),2,0)</f>
        <v>2</v>
      </c>
      <c r="G1187" s="1">
        <f>IF(OR(Table4[[#This Row],[INSTALLMENT]]=3),3,0)</f>
        <v>0</v>
      </c>
    </row>
    <row r="1188" spans="1:7">
      <c r="A1188" s="1">
        <v>1546</v>
      </c>
      <c r="B1188" s="1" t="s">
        <v>2851</v>
      </c>
      <c r="C1188" s="1" t="s">
        <v>80</v>
      </c>
      <c r="D1188" s="1">
        <f>COUNTIFS('Raw Entries'!B:B,Table4[[#This Row],[Name]],'Raw Entries'!I:I,Table4[[#This Row],[BOOK No.]])</f>
        <v>0</v>
      </c>
      <c r="E1188" s="1">
        <f t="array" ref="E1188">IF(OR(Table4[[#This Row],[INSTALLMENT]]=1,Table4[[#This Row],[INSTALLMENT]]=2,Table4[[#This Row],[INSTALLMENT]]=3),1,0)</f>
        <v>0</v>
      </c>
      <c r="F1188" s="1">
        <f>IF(OR(Table4[[#This Row],[INSTALLMENT]]=2,Table4[[#This Row],[INSTALLMENT]]=3),2,0)</f>
        <v>0</v>
      </c>
      <c r="G1188" s="1">
        <f>IF(OR(Table4[[#This Row],[INSTALLMENT]]=3),3,0)</f>
        <v>0</v>
      </c>
    </row>
    <row r="1189" spans="1:7">
      <c r="A1189" s="1">
        <v>1547</v>
      </c>
      <c r="B1189" s="1" t="s">
        <v>2852</v>
      </c>
      <c r="C1189" s="1" t="s">
        <v>80</v>
      </c>
      <c r="D1189" s="1">
        <f>COUNTIFS('Raw Entries'!B:B,Table4[[#This Row],[Name]],'Raw Entries'!I:I,Table4[[#This Row],[BOOK No.]])</f>
        <v>0</v>
      </c>
      <c r="E1189" s="1">
        <f t="array" ref="E1189">IF(OR(Table4[[#This Row],[INSTALLMENT]]=1,Table4[[#This Row],[INSTALLMENT]]=2,Table4[[#This Row],[INSTALLMENT]]=3),1,0)</f>
        <v>0</v>
      </c>
      <c r="F1189" s="1">
        <f>IF(OR(Table4[[#This Row],[INSTALLMENT]]=2,Table4[[#This Row],[INSTALLMENT]]=3),2,0)</f>
        <v>0</v>
      </c>
      <c r="G1189" s="1">
        <f>IF(OR(Table4[[#This Row],[INSTALLMENT]]=3),3,0)</f>
        <v>0</v>
      </c>
    </row>
    <row r="1190" spans="1:7">
      <c r="A1190" s="1">
        <v>1548</v>
      </c>
      <c r="B1190" s="1" t="s">
        <v>85</v>
      </c>
      <c r="C1190" s="1" t="s">
        <v>80</v>
      </c>
      <c r="D1190" s="1">
        <f>COUNTIFS('Raw Entries'!B:B,Table4[[#This Row],[Name]],'Raw Entries'!I:I,Table4[[#This Row],[BOOK No.]])</f>
        <v>1</v>
      </c>
      <c r="E1190" s="1">
        <f t="array" ref="E1190">IF(OR(Table4[[#This Row],[INSTALLMENT]]=1,Table4[[#This Row],[INSTALLMENT]]=2,Table4[[#This Row],[INSTALLMENT]]=3),1,0)</f>
        <v>1</v>
      </c>
      <c r="F1190" s="1">
        <f>IF(OR(Table4[[#This Row],[INSTALLMENT]]=2,Table4[[#This Row],[INSTALLMENT]]=3),2,0)</f>
        <v>0</v>
      </c>
      <c r="G1190" s="1">
        <f>IF(OR(Table4[[#This Row],[INSTALLMENT]]=3),3,0)</f>
        <v>0</v>
      </c>
    </row>
    <row r="1191" spans="1:7">
      <c r="A1191" s="1">
        <v>1549</v>
      </c>
      <c r="B1191" s="1" t="s">
        <v>2853</v>
      </c>
      <c r="C1191" s="1" t="s">
        <v>80</v>
      </c>
      <c r="D1191" s="1">
        <f>COUNTIFS('Raw Entries'!B:B,Table4[[#This Row],[Name]],'Raw Entries'!I:I,Table4[[#This Row],[BOOK No.]])</f>
        <v>0</v>
      </c>
      <c r="E1191" s="1">
        <f t="array" ref="E1191">IF(OR(Table4[[#This Row],[INSTALLMENT]]=1,Table4[[#This Row],[INSTALLMENT]]=2,Table4[[#This Row],[INSTALLMENT]]=3),1,0)</f>
        <v>0</v>
      </c>
      <c r="F1191" s="1">
        <f>IF(OR(Table4[[#This Row],[INSTALLMENT]]=2,Table4[[#This Row],[INSTALLMENT]]=3),2,0)</f>
        <v>0</v>
      </c>
      <c r="G1191" s="1">
        <f>IF(OR(Table4[[#This Row],[INSTALLMENT]]=3),3,0)</f>
        <v>0</v>
      </c>
    </row>
    <row r="1192" spans="1:7">
      <c r="A1192" s="1">
        <v>1550</v>
      </c>
      <c r="B1192" s="1" t="s">
        <v>82</v>
      </c>
      <c r="C1192" s="1" t="s">
        <v>80</v>
      </c>
      <c r="D1192" s="1">
        <f>COUNTIFS('Raw Entries'!B:B,Table4[[#This Row],[Name]],'Raw Entries'!I:I,Table4[[#This Row],[BOOK No.]])</f>
        <v>2</v>
      </c>
      <c r="E1192" s="1">
        <f t="array" ref="E1192">IF(OR(Table4[[#This Row],[INSTALLMENT]]=1,Table4[[#This Row],[INSTALLMENT]]=2,Table4[[#This Row],[INSTALLMENT]]=3),1,0)</f>
        <v>1</v>
      </c>
      <c r="F1192" s="1">
        <f>IF(OR(Table4[[#This Row],[INSTALLMENT]]=2,Table4[[#This Row],[INSTALLMENT]]=3),2,0)</f>
        <v>2</v>
      </c>
      <c r="G1192" s="1">
        <f>IF(OR(Table4[[#This Row],[INSTALLMENT]]=3),3,0)</f>
        <v>0</v>
      </c>
    </row>
    <row r="1193" spans="1:7">
      <c r="A1193" s="1">
        <v>1551</v>
      </c>
      <c r="B1193" s="1" t="s">
        <v>2854</v>
      </c>
      <c r="C1193" s="1" t="s">
        <v>80</v>
      </c>
      <c r="D1193" s="1">
        <f>COUNTIFS('Raw Entries'!B:B,Table4[[#This Row],[Name]],'Raw Entries'!I:I,Table4[[#This Row],[BOOK No.]])</f>
        <v>0</v>
      </c>
      <c r="E1193" s="1">
        <f t="array" ref="E1193">IF(OR(Table4[[#This Row],[INSTALLMENT]]=1,Table4[[#This Row],[INSTALLMENT]]=2,Table4[[#This Row],[INSTALLMENT]]=3),1,0)</f>
        <v>0</v>
      </c>
      <c r="F1193" s="1">
        <f>IF(OR(Table4[[#This Row],[INSTALLMENT]]=2,Table4[[#This Row],[INSTALLMENT]]=3),2,0)</f>
        <v>0</v>
      </c>
      <c r="G1193" s="1">
        <f>IF(OR(Table4[[#This Row],[INSTALLMENT]]=3),3,0)</f>
        <v>0</v>
      </c>
    </row>
    <row r="1194" spans="1:7">
      <c r="A1194" s="1">
        <v>1552</v>
      </c>
      <c r="B1194" s="1" t="s">
        <v>2855</v>
      </c>
      <c r="C1194" s="1" t="s">
        <v>80</v>
      </c>
      <c r="D1194" s="1">
        <f>COUNTIFS('Raw Entries'!B:B,Table4[[#This Row],[Name]],'Raw Entries'!I:I,Table4[[#This Row],[BOOK No.]])</f>
        <v>0</v>
      </c>
      <c r="E1194" s="1">
        <f t="array" ref="E1194">IF(OR(Table4[[#This Row],[INSTALLMENT]]=1,Table4[[#This Row],[INSTALLMENT]]=2,Table4[[#This Row],[INSTALLMENT]]=3),1,0)</f>
        <v>0</v>
      </c>
      <c r="F1194" s="1">
        <f>IF(OR(Table4[[#This Row],[INSTALLMENT]]=2,Table4[[#This Row],[INSTALLMENT]]=3),2,0)</f>
        <v>0</v>
      </c>
      <c r="G1194" s="1">
        <f>IF(OR(Table4[[#This Row],[INSTALLMENT]]=3),3,0)</f>
        <v>0</v>
      </c>
    </row>
    <row r="1195" spans="1:7">
      <c r="A1195" s="1">
        <v>1553</v>
      </c>
      <c r="B1195" s="1" t="s">
        <v>606</v>
      </c>
      <c r="C1195" s="1" t="s">
        <v>80</v>
      </c>
      <c r="D1195" s="1">
        <f>COUNTIFS('Raw Entries'!B:B,Table4[[#This Row],[Name]],'Raw Entries'!I:I,Table4[[#This Row],[BOOK No.]])</f>
        <v>1</v>
      </c>
      <c r="E1195" s="1">
        <f t="array" ref="E1195">IF(OR(Table4[[#This Row],[INSTALLMENT]]=1,Table4[[#This Row],[INSTALLMENT]]=2,Table4[[#This Row],[INSTALLMENT]]=3),1,0)</f>
        <v>1</v>
      </c>
      <c r="F1195" s="1">
        <f>IF(OR(Table4[[#This Row],[INSTALLMENT]]=2,Table4[[#This Row],[INSTALLMENT]]=3),2,0)</f>
        <v>0</v>
      </c>
      <c r="G1195" s="1">
        <f>IF(OR(Table4[[#This Row],[INSTALLMENT]]=3),3,0)</f>
        <v>0</v>
      </c>
    </row>
    <row r="1196" spans="1:7">
      <c r="A1196" s="1">
        <v>1554</v>
      </c>
      <c r="B1196" s="1" t="s">
        <v>2856</v>
      </c>
      <c r="C1196" s="1" t="s">
        <v>80</v>
      </c>
      <c r="D1196" s="1">
        <f>COUNTIFS('Raw Entries'!B:B,Table4[[#This Row],[Name]],'Raw Entries'!I:I,Table4[[#This Row],[BOOK No.]])</f>
        <v>0</v>
      </c>
      <c r="E1196" s="1">
        <f t="array" ref="E1196">IF(OR(Table4[[#This Row],[INSTALLMENT]]=1,Table4[[#This Row],[INSTALLMENT]]=2,Table4[[#This Row],[INSTALLMENT]]=3),1,0)</f>
        <v>0</v>
      </c>
      <c r="F1196" s="1">
        <f>IF(OR(Table4[[#This Row],[INSTALLMENT]]=2,Table4[[#This Row],[INSTALLMENT]]=3),2,0)</f>
        <v>0</v>
      </c>
      <c r="G1196" s="1">
        <f>IF(OR(Table4[[#This Row],[INSTALLMENT]]=3),3,0)</f>
        <v>0</v>
      </c>
    </row>
    <row r="1197" spans="1:7">
      <c r="A1197" s="1">
        <v>1555</v>
      </c>
      <c r="B1197" s="1" t="s">
        <v>81</v>
      </c>
      <c r="C1197" s="1" t="s">
        <v>80</v>
      </c>
      <c r="D1197" s="1">
        <f>COUNTIFS('Raw Entries'!B:B,Table4[[#This Row],[Name]],'Raw Entries'!I:I,Table4[[#This Row],[BOOK No.]])</f>
        <v>3</v>
      </c>
      <c r="E1197" s="1">
        <f t="array" ref="E1197">IF(OR(Table4[[#This Row],[INSTALLMENT]]=1,Table4[[#This Row],[INSTALLMENT]]=2,Table4[[#This Row],[INSTALLMENT]]=3),1,0)</f>
        <v>1</v>
      </c>
      <c r="F1197" s="1">
        <f>IF(OR(Table4[[#This Row],[INSTALLMENT]]=2,Table4[[#This Row],[INSTALLMENT]]=3),2,0)</f>
        <v>2</v>
      </c>
      <c r="G1197" s="1">
        <f>IF(OR(Table4[[#This Row],[INSTALLMENT]]=3),3,0)</f>
        <v>3</v>
      </c>
    </row>
    <row r="1198" spans="1:7">
      <c r="A1198" s="1">
        <v>1556</v>
      </c>
      <c r="B1198" s="1" t="s">
        <v>2857</v>
      </c>
      <c r="C1198" s="1" t="s">
        <v>80</v>
      </c>
      <c r="D1198" s="1">
        <f>COUNTIFS('Raw Entries'!B:B,Table4[[#This Row],[Name]],'Raw Entries'!I:I,Table4[[#This Row],[BOOK No.]])</f>
        <v>0</v>
      </c>
      <c r="E1198" s="1">
        <f t="array" ref="E1198">IF(OR(Table4[[#This Row],[INSTALLMENT]]=1,Table4[[#This Row],[INSTALLMENT]]=2,Table4[[#This Row],[INSTALLMENT]]=3),1,0)</f>
        <v>0</v>
      </c>
      <c r="F1198" s="1">
        <f>IF(OR(Table4[[#This Row],[INSTALLMENT]]=2,Table4[[#This Row],[INSTALLMENT]]=3),2,0)</f>
        <v>0</v>
      </c>
      <c r="G1198" s="1">
        <f>IF(OR(Table4[[#This Row],[INSTALLMENT]]=3),3,0)</f>
        <v>0</v>
      </c>
    </row>
    <row r="1199" spans="1:7">
      <c r="A1199" s="1">
        <v>1557</v>
      </c>
      <c r="B1199" s="1" t="s">
        <v>2858</v>
      </c>
      <c r="C1199" s="1" t="s">
        <v>80</v>
      </c>
      <c r="D1199" s="1">
        <f>COUNTIFS('Raw Entries'!B:B,Table4[[#This Row],[Name]],'Raw Entries'!I:I,Table4[[#This Row],[BOOK No.]])</f>
        <v>0</v>
      </c>
      <c r="E1199" s="1">
        <f t="array" ref="E1199">IF(OR(Table4[[#This Row],[INSTALLMENT]]=1,Table4[[#This Row],[INSTALLMENT]]=2,Table4[[#This Row],[INSTALLMENT]]=3),1,0)</f>
        <v>0</v>
      </c>
      <c r="F1199" s="1">
        <f>IF(OR(Table4[[#This Row],[INSTALLMENT]]=2,Table4[[#This Row],[INSTALLMENT]]=3),2,0)</f>
        <v>0</v>
      </c>
      <c r="G1199" s="1">
        <f>IF(OR(Table4[[#This Row],[INSTALLMENT]]=3),3,0)</f>
        <v>0</v>
      </c>
    </row>
    <row r="1200" spans="1:7">
      <c r="A1200" s="1">
        <v>1558</v>
      </c>
      <c r="B1200" s="1" t="s">
        <v>2859</v>
      </c>
      <c r="C1200" s="1" t="s">
        <v>80</v>
      </c>
      <c r="D1200" s="1">
        <f>COUNTIFS('Raw Entries'!B:B,Table4[[#This Row],[Name]],'Raw Entries'!I:I,Table4[[#This Row],[BOOK No.]])</f>
        <v>0</v>
      </c>
      <c r="E1200" s="1">
        <f t="array" ref="E1200">IF(OR(Table4[[#This Row],[INSTALLMENT]]=1,Table4[[#This Row],[INSTALLMENT]]=2,Table4[[#This Row],[INSTALLMENT]]=3),1,0)</f>
        <v>0</v>
      </c>
      <c r="F1200" s="1">
        <f>IF(OR(Table4[[#This Row],[INSTALLMENT]]=2,Table4[[#This Row],[INSTALLMENT]]=3),2,0)</f>
        <v>0</v>
      </c>
      <c r="G1200" s="1">
        <f>IF(OR(Table4[[#This Row],[INSTALLMENT]]=3),3,0)</f>
        <v>0</v>
      </c>
    </row>
    <row r="1201" spans="1:7">
      <c r="A1201" s="1">
        <v>1559</v>
      </c>
      <c r="B1201" s="1" t="s">
        <v>100</v>
      </c>
      <c r="C1201" s="1" t="s">
        <v>87</v>
      </c>
      <c r="D1201" s="1">
        <f>COUNTIFS('Raw Entries'!B:B,Table4[[#This Row],[Name]],'Raw Entries'!I:I,Table4[[#This Row],[BOOK No.]])</f>
        <v>3</v>
      </c>
      <c r="E1201" s="1">
        <f t="array" ref="E1201">IF(OR(Table4[[#This Row],[INSTALLMENT]]=1,Table4[[#This Row],[INSTALLMENT]]=2,Table4[[#This Row],[INSTALLMENT]]=3),1,0)</f>
        <v>1</v>
      </c>
      <c r="F1201" s="1">
        <f>IF(OR(Table4[[#This Row],[INSTALLMENT]]=2,Table4[[#This Row],[INSTALLMENT]]=3),2,0)</f>
        <v>2</v>
      </c>
      <c r="G1201" s="1">
        <f>IF(OR(Table4[[#This Row],[INSTALLMENT]]=3),3,0)</f>
        <v>3</v>
      </c>
    </row>
    <row r="1202" spans="1:7">
      <c r="A1202" s="1">
        <v>1560</v>
      </c>
      <c r="B1202" s="1" t="s">
        <v>2860</v>
      </c>
      <c r="C1202" s="1" t="s">
        <v>87</v>
      </c>
      <c r="D1202" s="1">
        <f>COUNTIFS('Raw Entries'!B:B,Table4[[#This Row],[Name]],'Raw Entries'!I:I,Table4[[#This Row],[BOOK No.]])</f>
        <v>0</v>
      </c>
      <c r="E1202" s="1">
        <f t="array" ref="E1202">IF(OR(Table4[[#This Row],[INSTALLMENT]]=1,Table4[[#This Row],[INSTALLMENT]]=2,Table4[[#This Row],[INSTALLMENT]]=3),1,0)</f>
        <v>0</v>
      </c>
      <c r="F1202" s="1">
        <f>IF(OR(Table4[[#This Row],[INSTALLMENT]]=2,Table4[[#This Row],[INSTALLMENT]]=3),2,0)</f>
        <v>0</v>
      </c>
      <c r="G1202" s="1">
        <f>IF(OR(Table4[[#This Row],[INSTALLMENT]]=3),3,0)</f>
        <v>0</v>
      </c>
    </row>
    <row r="1203" spans="1:7">
      <c r="A1203" s="1">
        <v>1561</v>
      </c>
      <c r="B1203" s="1" t="s">
        <v>2861</v>
      </c>
      <c r="C1203" s="1" t="s">
        <v>87</v>
      </c>
      <c r="D1203" s="1">
        <f>COUNTIFS('Raw Entries'!B:B,Table4[[#This Row],[Name]],'Raw Entries'!I:I,Table4[[#This Row],[BOOK No.]])</f>
        <v>0</v>
      </c>
      <c r="E1203" s="1">
        <f t="array" ref="E1203">IF(OR(Table4[[#This Row],[INSTALLMENT]]=1,Table4[[#This Row],[INSTALLMENT]]=2,Table4[[#This Row],[INSTALLMENT]]=3),1,0)</f>
        <v>0</v>
      </c>
      <c r="F1203" s="1">
        <f>IF(OR(Table4[[#This Row],[INSTALLMENT]]=2,Table4[[#This Row],[INSTALLMENT]]=3),2,0)</f>
        <v>0</v>
      </c>
      <c r="G1203" s="1">
        <f>IF(OR(Table4[[#This Row],[INSTALLMENT]]=3),3,0)</f>
        <v>0</v>
      </c>
    </row>
    <row r="1204" spans="1:7">
      <c r="A1204" s="1">
        <v>1562</v>
      </c>
      <c r="B1204" s="1" t="s">
        <v>97</v>
      </c>
      <c r="C1204" s="1" t="s">
        <v>87</v>
      </c>
      <c r="D1204" s="1">
        <f>COUNTIFS('Raw Entries'!B:B,Table4[[#This Row],[Name]],'Raw Entries'!I:I,Table4[[#This Row],[BOOK No.]])</f>
        <v>1</v>
      </c>
      <c r="E1204" s="1">
        <f t="array" ref="E1204">IF(OR(Table4[[#This Row],[INSTALLMENT]]=1,Table4[[#This Row],[INSTALLMENT]]=2,Table4[[#This Row],[INSTALLMENT]]=3),1,0)</f>
        <v>1</v>
      </c>
      <c r="F1204" s="1">
        <f>IF(OR(Table4[[#This Row],[INSTALLMENT]]=2,Table4[[#This Row],[INSTALLMENT]]=3),2,0)</f>
        <v>0</v>
      </c>
      <c r="G1204" s="1">
        <f>IF(OR(Table4[[#This Row],[INSTALLMENT]]=3),3,0)</f>
        <v>0</v>
      </c>
    </row>
    <row r="1205" spans="1:7">
      <c r="A1205" s="1">
        <v>1563</v>
      </c>
      <c r="B1205" s="1" t="s">
        <v>93</v>
      </c>
      <c r="C1205" s="1" t="s">
        <v>87</v>
      </c>
      <c r="D1205" s="1">
        <f>COUNTIFS('Raw Entries'!B:B,Table4[[#This Row],[Name]],'Raw Entries'!I:I,Table4[[#This Row],[BOOK No.]])</f>
        <v>3</v>
      </c>
      <c r="E1205" s="1">
        <f t="array" ref="E1205">IF(OR(Table4[[#This Row],[INSTALLMENT]]=1,Table4[[#This Row],[INSTALLMENT]]=2,Table4[[#This Row],[INSTALLMENT]]=3),1,0)</f>
        <v>1</v>
      </c>
      <c r="F1205" s="1">
        <f>IF(OR(Table4[[#This Row],[INSTALLMENT]]=2,Table4[[#This Row],[INSTALLMENT]]=3),2,0)</f>
        <v>2</v>
      </c>
      <c r="G1205" s="1">
        <f>IF(OR(Table4[[#This Row],[INSTALLMENT]]=3),3,0)</f>
        <v>3</v>
      </c>
    </row>
    <row r="1206" spans="1:7">
      <c r="A1206" s="1">
        <v>1564</v>
      </c>
      <c r="B1206" s="1" t="s">
        <v>3952</v>
      </c>
      <c r="C1206" s="1" t="s">
        <v>87</v>
      </c>
      <c r="D1206" s="1">
        <f>COUNTIFS('Raw Entries'!B:B,Table4[[#This Row],[Name]],'Raw Entries'!I:I,Table4[[#This Row],[BOOK No.]])</f>
        <v>0</v>
      </c>
      <c r="E1206" s="1">
        <f t="array" ref="E1206">IF(OR(Table4[[#This Row],[INSTALLMENT]]=1,Table4[[#This Row],[INSTALLMENT]]=2,Table4[[#This Row],[INSTALLMENT]]=3),1,0)</f>
        <v>0</v>
      </c>
      <c r="F1206" s="1">
        <f>IF(OR(Table4[[#This Row],[INSTALLMENT]]=2,Table4[[#This Row],[INSTALLMENT]]=3),2,0)</f>
        <v>0</v>
      </c>
      <c r="G1206" s="1">
        <f>IF(OR(Table4[[#This Row],[INSTALLMENT]]=3),3,0)</f>
        <v>0</v>
      </c>
    </row>
    <row r="1207" spans="1:7">
      <c r="A1207" s="1">
        <v>1565</v>
      </c>
      <c r="B1207" s="1" t="s">
        <v>96</v>
      </c>
      <c r="C1207" s="1" t="s">
        <v>87</v>
      </c>
      <c r="D1207" s="1">
        <f>COUNTIFS('Raw Entries'!B:B,Table4[[#This Row],[Name]],'Raw Entries'!I:I,Table4[[#This Row],[BOOK No.]])</f>
        <v>3</v>
      </c>
      <c r="E1207" s="1">
        <f t="array" ref="E1207">IF(OR(Table4[[#This Row],[INSTALLMENT]]=1,Table4[[#This Row],[INSTALLMENT]]=2,Table4[[#This Row],[INSTALLMENT]]=3),1,0)</f>
        <v>1</v>
      </c>
      <c r="F1207" s="1">
        <f>IF(OR(Table4[[#This Row],[INSTALLMENT]]=2,Table4[[#This Row],[INSTALLMENT]]=3),2,0)</f>
        <v>2</v>
      </c>
      <c r="G1207" s="1">
        <f>IF(OR(Table4[[#This Row],[INSTALLMENT]]=3),3,0)</f>
        <v>3</v>
      </c>
    </row>
    <row r="1208" spans="1:7">
      <c r="A1208" s="1">
        <v>1566</v>
      </c>
      <c r="B1208" s="1" t="s">
        <v>2862</v>
      </c>
      <c r="C1208" s="1" t="s">
        <v>87</v>
      </c>
      <c r="D1208" s="1">
        <f>COUNTIFS('Raw Entries'!B:B,Table4[[#This Row],[Name]],'Raw Entries'!I:I,Table4[[#This Row],[BOOK No.]])</f>
        <v>0</v>
      </c>
      <c r="E1208" s="1">
        <f t="array" ref="E1208">IF(OR(Table4[[#This Row],[INSTALLMENT]]=1,Table4[[#This Row],[INSTALLMENT]]=2,Table4[[#This Row],[INSTALLMENT]]=3),1,0)</f>
        <v>0</v>
      </c>
      <c r="F1208" s="1">
        <f>IF(OR(Table4[[#This Row],[INSTALLMENT]]=2,Table4[[#This Row],[INSTALLMENT]]=3),2,0)</f>
        <v>0</v>
      </c>
      <c r="G1208" s="1">
        <f>IF(OR(Table4[[#This Row],[INSTALLMENT]]=3),3,0)</f>
        <v>0</v>
      </c>
    </row>
    <row r="1209" spans="1:7">
      <c r="A1209" s="1">
        <v>1567</v>
      </c>
      <c r="B1209" s="1" t="s">
        <v>89</v>
      </c>
      <c r="C1209" s="1" t="s">
        <v>87</v>
      </c>
      <c r="D1209" s="1">
        <f>COUNTIFS('Raw Entries'!B:B,Table4[[#This Row],[Name]],'Raw Entries'!I:I,Table4[[#This Row],[BOOK No.]])</f>
        <v>3</v>
      </c>
      <c r="E1209" s="1">
        <f t="array" ref="E1209">IF(OR(Table4[[#This Row],[INSTALLMENT]]=1,Table4[[#This Row],[INSTALLMENT]]=2,Table4[[#This Row],[INSTALLMENT]]=3),1,0)</f>
        <v>1</v>
      </c>
      <c r="F1209" s="1">
        <f>IF(OR(Table4[[#This Row],[INSTALLMENT]]=2,Table4[[#This Row],[INSTALLMENT]]=3),2,0)</f>
        <v>2</v>
      </c>
      <c r="G1209" s="1">
        <f>IF(OR(Table4[[#This Row],[INSTALLMENT]]=3),3,0)</f>
        <v>3</v>
      </c>
    </row>
    <row r="1210" spans="1:7">
      <c r="A1210" s="1">
        <v>1568</v>
      </c>
      <c r="B1210" s="1" t="s">
        <v>2863</v>
      </c>
      <c r="C1210" s="1" t="s">
        <v>87</v>
      </c>
      <c r="D1210" s="1">
        <f>COUNTIFS('Raw Entries'!B:B,Table4[[#This Row],[Name]],'Raw Entries'!I:I,Table4[[#This Row],[BOOK No.]])</f>
        <v>0</v>
      </c>
      <c r="E1210" s="1">
        <f t="array" ref="E1210">IF(OR(Table4[[#This Row],[INSTALLMENT]]=1,Table4[[#This Row],[INSTALLMENT]]=2,Table4[[#This Row],[INSTALLMENT]]=3),1,0)</f>
        <v>0</v>
      </c>
      <c r="F1210" s="1">
        <f>IF(OR(Table4[[#This Row],[INSTALLMENT]]=2,Table4[[#This Row],[INSTALLMENT]]=3),2,0)</f>
        <v>0</v>
      </c>
      <c r="G1210" s="1">
        <f>IF(OR(Table4[[#This Row],[INSTALLMENT]]=3),3,0)</f>
        <v>0</v>
      </c>
    </row>
    <row r="1211" spans="1:7">
      <c r="A1211" s="1">
        <v>1569</v>
      </c>
      <c r="B1211" s="1" t="s">
        <v>2864</v>
      </c>
      <c r="C1211" s="1" t="s">
        <v>87</v>
      </c>
      <c r="D1211" s="1">
        <f>COUNTIFS('Raw Entries'!B:B,Table4[[#This Row],[Name]],'Raw Entries'!I:I,Table4[[#This Row],[BOOK No.]])</f>
        <v>0</v>
      </c>
      <c r="E1211" s="1">
        <f t="array" ref="E1211">IF(OR(Table4[[#This Row],[INSTALLMENT]]=1,Table4[[#This Row],[INSTALLMENT]]=2,Table4[[#This Row],[INSTALLMENT]]=3),1,0)</f>
        <v>0</v>
      </c>
      <c r="F1211" s="1">
        <f>IF(OR(Table4[[#This Row],[INSTALLMENT]]=2,Table4[[#This Row],[INSTALLMENT]]=3),2,0)</f>
        <v>0</v>
      </c>
      <c r="G1211" s="1">
        <f>IF(OR(Table4[[#This Row],[INSTALLMENT]]=3),3,0)</f>
        <v>0</v>
      </c>
    </row>
    <row r="1212" spans="1:7">
      <c r="A1212" s="1">
        <v>1570</v>
      </c>
      <c r="B1212" s="1" t="s">
        <v>92</v>
      </c>
      <c r="C1212" s="1" t="s">
        <v>87</v>
      </c>
      <c r="D1212" s="1">
        <f>COUNTIFS('Raw Entries'!B:B,Table4[[#This Row],[Name]],'Raw Entries'!I:I,Table4[[#This Row],[BOOK No.]])</f>
        <v>1</v>
      </c>
      <c r="E1212" s="1">
        <f t="array" ref="E1212">IF(OR(Table4[[#This Row],[INSTALLMENT]]=1,Table4[[#This Row],[INSTALLMENT]]=2,Table4[[#This Row],[INSTALLMENT]]=3),1,0)</f>
        <v>1</v>
      </c>
      <c r="F1212" s="1">
        <f>IF(OR(Table4[[#This Row],[INSTALLMENT]]=2,Table4[[#This Row],[INSTALLMENT]]=3),2,0)</f>
        <v>0</v>
      </c>
      <c r="G1212" s="1">
        <f>IF(OR(Table4[[#This Row],[INSTALLMENT]]=3),3,0)</f>
        <v>0</v>
      </c>
    </row>
    <row r="1213" spans="1:7">
      <c r="A1213" s="1">
        <v>1571</v>
      </c>
      <c r="B1213" s="1" t="s">
        <v>2865</v>
      </c>
      <c r="C1213" s="1" t="s">
        <v>87</v>
      </c>
      <c r="D1213" s="1">
        <f>COUNTIFS('Raw Entries'!B:B,Table4[[#This Row],[Name]],'Raw Entries'!I:I,Table4[[#This Row],[BOOK No.]])</f>
        <v>0</v>
      </c>
      <c r="E1213" s="1">
        <f t="array" ref="E1213">IF(OR(Table4[[#This Row],[INSTALLMENT]]=1,Table4[[#This Row],[INSTALLMENT]]=2,Table4[[#This Row],[INSTALLMENT]]=3),1,0)</f>
        <v>0</v>
      </c>
      <c r="F1213" s="1">
        <f>IF(OR(Table4[[#This Row],[INSTALLMENT]]=2,Table4[[#This Row],[INSTALLMENT]]=3),2,0)</f>
        <v>0</v>
      </c>
      <c r="G1213" s="1">
        <f>IF(OR(Table4[[#This Row],[INSTALLMENT]]=3),3,0)</f>
        <v>0</v>
      </c>
    </row>
    <row r="1214" spans="1:7">
      <c r="A1214" s="1">
        <v>1572</v>
      </c>
      <c r="B1214" s="1" t="s">
        <v>90</v>
      </c>
      <c r="C1214" s="1" t="s">
        <v>87</v>
      </c>
      <c r="D1214" s="1">
        <f>COUNTIFS('Raw Entries'!B:B,Table4[[#This Row],[Name]],'Raw Entries'!I:I,Table4[[#This Row],[BOOK No.]])</f>
        <v>3</v>
      </c>
      <c r="E1214" s="1">
        <f t="array" ref="E1214">IF(OR(Table4[[#This Row],[INSTALLMENT]]=1,Table4[[#This Row],[INSTALLMENT]]=2,Table4[[#This Row],[INSTALLMENT]]=3),1,0)</f>
        <v>1</v>
      </c>
      <c r="F1214" s="1">
        <f>IF(OR(Table4[[#This Row],[INSTALLMENT]]=2,Table4[[#This Row],[INSTALLMENT]]=3),2,0)</f>
        <v>2</v>
      </c>
      <c r="G1214" s="1">
        <f>IF(OR(Table4[[#This Row],[INSTALLMENT]]=3),3,0)</f>
        <v>3</v>
      </c>
    </row>
    <row r="1215" spans="1:7">
      <c r="A1215" s="1">
        <v>1573</v>
      </c>
      <c r="B1215" s="1" t="s">
        <v>91</v>
      </c>
      <c r="C1215" s="1" t="s">
        <v>87</v>
      </c>
      <c r="D1215" s="1">
        <f>COUNTIFS('Raw Entries'!B:B,Table4[[#This Row],[Name]],'Raw Entries'!I:I,Table4[[#This Row],[BOOK No.]])</f>
        <v>3</v>
      </c>
      <c r="E1215" s="1">
        <f t="array" ref="E1215">IF(OR(Table4[[#This Row],[INSTALLMENT]]=1,Table4[[#This Row],[INSTALLMENT]]=2,Table4[[#This Row],[INSTALLMENT]]=3),1,0)</f>
        <v>1</v>
      </c>
      <c r="F1215" s="1">
        <f>IF(OR(Table4[[#This Row],[INSTALLMENT]]=2,Table4[[#This Row],[INSTALLMENT]]=3),2,0)</f>
        <v>2</v>
      </c>
      <c r="G1215" s="1">
        <f>IF(OR(Table4[[#This Row],[INSTALLMENT]]=3),3,0)</f>
        <v>3</v>
      </c>
    </row>
    <row r="1216" spans="1:7">
      <c r="A1216" s="1">
        <v>1574</v>
      </c>
      <c r="B1216" s="1" t="s">
        <v>2866</v>
      </c>
      <c r="C1216" s="1" t="s">
        <v>87</v>
      </c>
      <c r="D1216" s="1">
        <f>COUNTIFS('Raw Entries'!B:B,Table4[[#This Row],[Name]],'Raw Entries'!I:I,Table4[[#This Row],[BOOK No.]])</f>
        <v>0</v>
      </c>
      <c r="E1216" s="1">
        <f t="array" ref="E1216">IF(OR(Table4[[#This Row],[INSTALLMENT]]=1,Table4[[#This Row],[INSTALLMENT]]=2,Table4[[#This Row],[INSTALLMENT]]=3),1,0)</f>
        <v>0</v>
      </c>
      <c r="F1216" s="1">
        <f>IF(OR(Table4[[#This Row],[INSTALLMENT]]=2,Table4[[#This Row],[INSTALLMENT]]=3),2,0)</f>
        <v>0</v>
      </c>
      <c r="G1216" s="1">
        <f>IF(OR(Table4[[#This Row],[INSTALLMENT]]=3),3,0)</f>
        <v>0</v>
      </c>
    </row>
    <row r="1217" spans="1:7">
      <c r="A1217" s="1">
        <v>1575</v>
      </c>
      <c r="B1217" s="1" t="s">
        <v>99</v>
      </c>
      <c r="C1217" s="1" t="s">
        <v>87</v>
      </c>
      <c r="D1217" s="1">
        <f>COUNTIFS('Raw Entries'!B:B,Table4[[#This Row],[Name]],'Raw Entries'!I:I,Table4[[#This Row],[BOOK No.]])</f>
        <v>1</v>
      </c>
      <c r="E1217" s="1">
        <f t="array" ref="E1217">IF(OR(Table4[[#This Row],[INSTALLMENT]]=1,Table4[[#This Row],[INSTALLMENT]]=2,Table4[[#This Row],[INSTALLMENT]]=3),1,0)</f>
        <v>1</v>
      </c>
      <c r="F1217" s="1">
        <f>IF(OR(Table4[[#This Row],[INSTALLMENT]]=2,Table4[[#This Row],[INSTALLMENT]]=3),2,0)</f>
        <v>0</v>
      </c>
      <c r="G1217" s="1">
        <f>IF(OR(Table4[[#This Row],[INSTALLMENT]]=3),3,0)</f>
        <v>0</v>
      </c>
    </row>
    <row r="1218" spans="1:7">
      <c r="A1218" s="1">
        <v>1576</v>
      </c>
      <c r="B1218" s="1" t="s">
        <v>2867</v>
      </c>
      <c r="C1218" s="1" t="s">
        <v>87</v>
      </c>
      <c r="D1218" s="1">
        <f>COUNTIFS('Raw Entries'!B:B,Table4[[#This Row],[Name]],'Raw Entries'!I:I,Table4[[#This Row],[BOOK No.]])</f>
        <v>0</v>
      </c>
      <c r="E1218" s="1">
        <f t="array" ref="E1218">IF(OR(Table4[[#This Row],[INSTALLMENT]]=1,Table4[[#This Row],[INSTALLMENT]]=2,Table4[[#This Row],[INSTALLMENT]]=3),1,0)</f>
        <v>0</v>
      </c>
      <c r="F1218" s="1">
        <f>IF(OR(Table4[[#This Row],[INSTALLMENT]]=2,Table4[[#This Row],[INSTALLMENT]]=3),2,0)</f>
        <v>0</v>
      </c>
      <c r="G1218" s="1">
        <f>IF(OR(Table4[[#This Row],[INSTALLMENT]]=3),3,0)</f>
        <v>0</v>
      </c>
    </row>
    <row r="1219" spans="1:7">
      <c r="A1219" s="1">
        <v>1577</v>
      </c>
      <c r="B1219" s="1" t="s">
        <v>2868</v>
      </c>
      <c r="C1219" s="1" t="s">
        <v>87</v>
      </c>
      <c r="D1219" s="1">
        <f>COUNTIFS('Raw Entries'!B:B,Table4[[#This Row],[Name]],'Raw Entries'!I:I,Table4[[#This Row],[BOOK No.]])</f>
        <v>0</v>
      </c>
      <c r="E1219" s="1">
        <f t="array" ref="E1219">IF(OR(Table4[[#This Row],[INSTALLMENT]]=1,Table4[[#This Row],[INSTALLMENT]]=2,Table4[[#This Row],[INSTALLMENT]]=3),1,0)</f>
        <v>0</v>
      </c>
      <c r="F1219" s="1">
        <f>IF(OR(Table4[[#This Row],[INSTALLMENT]]=2,Table4[[#This Row],[INSTALLMENT]]=3),2,0)</f>
        <v>0</v>
      </c>
      <c r="G1219" s="1">
        <f>IF(OR(Table4[[#This Row],[INSTALLMENT]]=3),3,0)</f>
        <v>0</v>
      </c>
    </row>
    <row r="1220" spans="1:7">
      <c r="A1220" s="1">
        <v>1578</v>
      </c>
      <c r="B1220" s="1" t="s">
        <v>2869</v>
      </c>
      <c r="C1220" s="1" t="s">
        <v>87</v>
      </c>
      <c r="D1220" s="1">
        <f>COUNTIFS('Raw Entries'!B:B,Table4[[#This Row],[Name]],'Raw Entries'!I:I,Table4[[#This Row],[BOOK No.]])</f>
        <v>0</v>
      </c>
      <c r="E1220" s="1">
        <f t="array" ref="E1220">IF(OR(Table4[[#This Row],[INSTALLMENT]]=1,Table4[[#This Row],[INSTALLMENT]]=2,Table4[[#This Row],[INSTALLMENT]]=3),1,0)</f>
        <v>0</v>
      </c>
      <c r="F1220" s="1">
        <f>IF(OR(Table4[[#This Row],[INSTALLMENT]]=2,Table4[[#This Row],[INSTALLMENT]]=3),2,0)</f>
        <v>0</v>
      </c>
      <c r="G1220" s="1">
        <f>IF(OR(Table4[[#This Row],[INSTALLMENT]]=3),3,0)</f>
        <v>0</v>
      </c>
    </row>
    <row r="1221" spans="1:7">
      <c r="A1221" s="1">
        <v>1579</v>
      </c>
      <c r="B1221" s="1" t="s">
        <v>2870</v>
      </c>
      <c r="C1221" s="1" t="s">
        <v>87</v>
      </c>
      <c r="D1221" s="1">
        <f>COUNTIFS('Raw Entries'!B:B,Table4[[#This Row],[Name]],'Raw Entries'!I:I,Table4[[#This Row],[BOOK No.]])</f>
        <v>0</v>
      </c>
      <c r="E1221" s="1">
        <f t="array" ref="E1221">IF(OR(Table4[[#This Row],[INSTALLMENT]]=1,Table4[[#This Row],[INSTALLMENT]]=2,Table4[[#This Row],[INSTALLMENT]]=3),1,0)</f>
        <v>0</v>
      </c>
      <c r="F1221" s="1">
        <f>IF(OR(Table4[[#This Row],[INSTALLMENT]]=2,Table4[[#This Row],[INSTALLMENT]]=3),2,0)</f>
        <v>0</v>
      </c>
      <c r="G1221" s="1">
        <f>IF(OR(Table4[[#This Row],[INSTALLMENT]]=3),3,0)</f>
        <v>0</v>
      </c>
    </row>
    <row r="1222" spans="1:7">
      <c r="A1222" s="1">
        <v>1580</v>
      </c>
      <c r="B1222" s="1" t="s">
        <v>2871</v>
      </c>
      <c r="C1222" s="1" t="s">
        <v>87</v>
      </c>
      <c r="D1222" s="1">
        <f>COUNTIFS('Raw Entries'!B:B,Table4[[#This Row],[Name]],'Raw Entries'!I:I,Table4[[#This Row],[BOOK No.]])</f>
        <v>0</v>
      </c>
      <c r="E1222" s="1">
        <f t="array" ref="E1222">IF(OR(Table4[[#This Row],[INSTALLMENT]]=1,Table4[[#This Row],[INSTALLMENT]]=2,Table4[[#This Row],[INSTALLMENT]]=3),1,0)</f>
        <v>0</v>
      </c>
      <c r="F1222" s="1">
        <f>IF(OR(Table4[[#This Row],[INSTALLMENT]]=2,Table4[[#This Row],[INSTALLMENT]]=3),2,0)</f>
        <v>0</v>
      </c>
      <c r="G1222" s="1">
        <f>IF(OR(Table4[[#This Row],[INSTALLMENT]]=3),3,0)</f>
        <v>0</v>
      </c>
    </row>
    <row r="1223" spans="1:7">
      <c r="A1223" s="1">
        <v>1581</v>
      </c>
      <c r="B1223" s="1" t="s">
        <v>2872</v>
      </c>
      <c r="C1223" s="1" t="s">
        <v>87</v>
      </c>
      <c r="D1223" s="1">
        <f>COUNTIFS('Raw Entries'!B:B,Table4[[#This Row],[Name]],'Raw Entries'!I:I,Table4[[#This Row],[BOOK No.]])</f>
        <v>0</v>
      </c>
      <c r="E1223" s="1">
        <f t="array" ref="E1223">IF(OR(Table4[[#This Row],[INSTALLMENT]]=1,Table4[[#This Row],[INSTALLMENT]]=2,Table4[[#This Row],[INSTALLMENT]]=3),1,0)</f>
        <v>0</v>
      </c>
      <c r="F1223" s="1">
        <f>IF(OR(Table4[[#This Row],[INSTALLMENT]]=2,Table4[[#This Row],[INSTALLMENT]]=3),2,0)</f>
        <v>0</v>
      </c>
      <c r="G1223" s="1">
        <f>IF(OR(Table4[[#This Row],[INSTALLMENT]]=3),3,0)</f>
        <v>0</v>
      </c>
    </row>
    <row r="1224" spans="1:7">
      <c r="A1224" s="1">
        <v>1582</v>
      </c>
      <c r="B1224" s="1" t="s">
        <v>98</v>
      </c>
      <c r="C1224" s="1" t="s">
        <v>87</v>
      </c>
      <c r="D1224" s="1">
        <f>COUNTIFS('Raw Entries'!B:B,Table4[[#This Row],[Name]],'Raw Entries'!I:I,Table4[[#This Row],[BOOK No.]])</f>
        <v>3</v>
      </c>
      <c r="E1224" s="1">
        <f t="array" ref="E1224">IF(OR(Table4[[#This Row],[INSTALLMENT]]=1,Table4[[#This Row],[INSTALLMENT]]=2,Table4[[#This Row],[INSTALLMENT]]=3),1,0)</f>
        <v>1</v>
      </c>
      <c r="F1224" s="1">
        <f>IF(OR(Table4[[#This Row],[INSTALLMENT]]=2,Table4[[#This Row],[INSTALLMENT]]=3),2,0)</f>
        <v>2</v>
      </c>
      <c r="G1224" s="1">
        <f>IF(OR(Table4[[#This Row],[INSTALLMENT]]=3),3,0)</f>
        <v>3</v>
      </c>
    </row>
    <row r="1225" spans="1:7">
      <c r="A1225" s="1">
        <v>1583</v>
      </c>
      <c r="B1225" s="1" t="s">
        <v>2873</v>
      </c>
      <c r="C1225" s="1" t="s">
        <v>87</v>
      </c>
      <c r="D1225" s="1">
        <f>COUNTIFS('Raw Entries'!B:B,Table4[[#This Row],[Name]],'Raw Entries'!I:I,Table4[[#This Row],[BOOK No.]])</f>
        <v>0</v>
      </c>
      <c r="E1225" s="1">
        <f t="array" ref="E1225">IF(OR(Table4[[#This Row],[INSTALLMENT]]=1,Table4[[#This Row],[INSTALLMENT]]=2,Table4[[#This Row],[INSTALLMENT]]=3),1,0)</f>
        <v>0</v>
      </c>
      <c r="F1225" s="1">
        <f>IF(OR(Table4[[#This Row],[INSTALLMENT]]=2,Table4[[#This Row],[INSTALLMENT]]=3),2,0)</f>
        <v>0</v>
      </c>
      <c r="G1225" s="1">
        <f>IF(OR(Table4[[#This Row],[INSTALLMENT]]=3),3,0)</f>
        <v>0</v>
      </c>
    </row>
    <row r="1226" spans="1:7">
      <c r="A1226" s="1">
        <v>1584</v>
      </c>
      <c r="B1226" s="1" t="s">
        <v>2874</v>
      </c>
      <c r="C1226" s="1" t="s">
        <v>87</v>
      </c>
      <c r="D1226" s="1">
        <f>COUNTIFS('Raw Entries'!B:B,Table4[[#This Row],[Name]],'Raw Entries'!I:I,Table4[[#This Row],[BOOK No.]])</f>
        <v>0</v>
      </c>
      <c r="E1226" s="1">
        <f t="array" ref="E1226">IF(OR(Table4[[#This Row],[INSTALLMENT]]=1,Table4[[#This Row],[INSTALLMENT]]=2,Table4[[#This Row],[INSTALLMENT]]=3),1,0)</f>
        <v>0</v>
      </c>
      <c r="F1226" s="1">
        <f>IF(OR(Table4[[#This Row],[INSTALLMENT]]=2,Table4[[#This Row],[INSTALLMENT]]=3),2,0)</f>
        <v>0</v>
      </c>
      <c r="G1226" s="1">
        <f>IF(OR(Table4[[#This Row],[INSTALLMENT]]=3),3,0)</f>
        <v>0</v>
      </c>
    </row>
    <row r="1227" spans="1:7">
      <c r="A1227" s="1">
        <v>1585</v>
      </c>
      <c r="B1227" s="1" t="s">
        <v>94</v>
      </c>
      <c r="C1227" s="1" t="s">
        <v>87</v>
      </c>
      <c r="D1227" s="1">
        <f>COUNTIFS('Raw Entries'!B:B,Table4[[#This Row],[Name]],'Raw Entries'!I:I,Table4[[#This Row],[BOOK No.]])</f>
        <v>3</v>
      </c>
      <c r="E1227" s="1">
        <f t="array" ref="E1227">IF(OR(Table4[[#This Row],[INSTALLMENT]]=1,Table4[[#This Row],[INSTALLMENT]]=2,Table4[[#This Row],[INSTALLMENT]]=3),1,0)</f>
        <v>1</v>
      </c>
      <c r="F1227" s="1">
        <f>IF(OR(Table4[[#This Row],[INSTALLMENT]]=2,Table4[[#This Row],[INSTALLMENT]]=3),2,0)</f>
        <v>2</v>
      </c>
      <c r="G1227" s="1">
        <f>IF(OR(Table4[[#This Row],[INSTALLMENT]]=3),3,0)</f>
        <v>3</v>
      </c>
    </row>
    <row r="1228" spans="1:7">
      <c r="A1228" s="1">
        <v>1586</v>
      </c>
      <c r="B1228" s="1" t="s">
        <v>2875</v>
      </c>
      <c r="C1228" s="1" t="s">
        <v>87</v>
      </c>
      <c r="D1228" s="1">
        <f>COUNTIFS('Raw Entries'!B:B,Table4[[#This Row],[Name]],'Raw Entries'!I:I,Table4[[#This Row],[BOOK No.]])</f>
        <v>0</v>
      </c>
      <c r="E1228" s="1">
        <f t="array" ref="E1228">IF(OR(Table4[[#This Row],[INSTALLMENT]]=1,Table4[[#This Row],[INSTALLMENT]]=2,Table4[[#This Row],[INSTALLMENT]]=3),1,0)</f>
        <v>0</v>
      </c>
      <c r="F1228" s="1">
        <f>IF(OR(Table4[[#This Row],[INSTALLMENT]]=2,Table4[[#This Row],[INSTALLMENT]]=3),2,0)</f>
        <v>0</v>
      </c>
      <c r="G1228" s="1">
        <f>IF(OR(Table4[[#This Row],[INSTALLMENT]]=3),3,0)</f>
        <v>0</v>
      </c>
    </row>
    <row r="1229" spans="1:7">
      <c r="A1229" s="1">
        <v>1587</v>
      </c>
      <c r="B1229" s="1" t="s">
        <v>2876</v>
      </c>
      <c r="C1229" s="1" t="s">
        <v>87</v>
      </c>
      <c r="D1229" s="1">
        <f>COUNTIFS('Raw Entries'!B:B,Table4[[#This Row],[Name]],'Raw Entries'!I:I,Table4[[#This Row],[BOOK No.]])</f>
        <v>0</v>
      </c>
      <c r="E1229" s="1">
        <f t="array" ref="E1229">IF(OR(Table4[[#This Row],[INSTALLMENT]]=1,Table4[[#This Row],[INSTALLMENT]]=2,Table4[[#This Row],[INSTALLMENT]]=3),1,0)</f>
        <v>0</v>
      </c>
      <c r="F1229" s="1">
        <f>IF(OR(Table4[[#This Row],[INSTALLMENT]]=2,Table4[[#This Row],[INSTALLMENT]]=3),2,0)</f>
        <v>0</v>
      </c>
      <c r="G1229" s="1">
        <f>IF(OR(Table4[[#This Row],[INSTALLMENT]]=3),3,0)</f>
        <v>0</v>
      </c>
    </row>
    <row r="1230" spans="1:7">
      <c r="A1230" s="1">
        <v>1588</v>
      </c>
      <c r="B1230" s="1" t="s">
        <v>2627</v>
      </c>
      <c r="C1230" s="1" t="s">
        <v>87</v>
      </c>
      <c r="D1230" s="1">
        <f>COUNTIFS('Raw Entries'!B:B,Table4[[#This Row],[Name]],'Raw Entries'!I:I,Table4[[#This Row],[BOOK No.]])</f>
        <v>0</v>
      </c>
      <c r="E1230" s="1">
        <f t="array" ref="E1230">IF(OR(Table4[[#This Row],[INSTALLMENT]]=1,Table4[[#This Row],[INSTALLMENT]]=2,Table4[[#This Row],[INSTALLMENT]]=3),1,0)</f>
        <v>0</v>
      </c>
      <c r="F1230" s="1">
        <f>IF(OR(Table4[[#This Row],[INSTALLMENT]]=2,Table4[[#This Row],[INSTALLMENT]]=3),2,0)</f>
        <v>0</v>
      </c>
      <c r="G1230" s="1">
        <f>IF(OR(Table4[[#This Row],[INSTALLMENT]]=3),3,0)</f>
        <v>0</v>
      </c>
    </row>
    <row r="1231" spans="1:7">
      <c r="A1231" s="1">
        <v>1589</v>
      </c>
      <c r="B1231" s="1" t="s">
        <v>2877</v>
      </c>
      <c r="C1231" s="1" t="s">
        <v>87</v>
      </c>
      <c r="D1231" s="1">
        <f>COUNTIFS('Raw Entries'!B:B,Table4[[#This Row],[Name]],'Raw Entries'!I:I,Table4[[#This Row],[BOOK No.]])</f>
        <v>0</v>
      </c>
      <c r="E1231" s="1">
        <f t="array" ref="E1231">IF(OR(Table4[[#This Row],[INSTALLMENT]]=1,Table4[[#This Row],[INSTALLMENT]]=2,Table4[[#This Row],[INSTALLMENT]]=3),1,0)</f>
        <v>0</v>
      </c>
      <c r="F1231" s="1">
        <f>IF(OR(Table4[[#This Row],[INSTALLMENT]]=2,Table4[[#This Row],[INSTALLMENT]]=3),2,0)</f>
        <v>0</v>
      </c>
      <c r="G1231" s="1">
        <f>IF(OR(Table4[[#This Row],[INSTALLMENT]]=3),3,0)</f>
        <v>0</v>
      </c>
    </row>
    <row r="1232" spans="1:7">
      <c r="A1232" s="1">
        <v>1590</v>
      </c>
      <c r="B1232" s="1" t="s">
        <v>101</v>
      </c>
      <c r="C1232" s="1" t="s">
        <v>87</v>
      </c>
      <c r="D1232" s="1">
        <f>COUNTIFS('Raw Entries'!B:B,Table4[[#This Row],[Name]],'Raw Entries'!I:I,Table4[[#This Row],[BOOK No.]])</f>
        <v>1</v>
      </c>
      <c r="E1232" s="1">
        <f t="array" ref="E1232">IF(OR(Table4[[#This Row],[INSTALLMENT]]=1,Table4[[#This Row],[INSTALLMENT]]=2,Table4[[#This Row],[INSTALLMENT]]=3),1,0)</f>
        <v>1</v>
      </c>
      <c r="F1232" s="1">
        <f>IF(OR(Table4[[#This Row],[INSTALLMENT]]=2,Table4[[#This Row],[INSTALLMENT]]=3),2,0)</f>
        <v>0</v>
      </c>
      <c r="G1232" s="1">
        <f>IF(OR(Table4[[#This Row],[INSTALLMENT]]=3),3,0)</f>
        <v>0</v>
      </c>
    </row>
    <row r="1233" spans="1:7">
      <c r="A1233" s="1">
        <v>1591</v>
      </c>
      <c r="B1233" s="1" t="s">
        <v>95</v>
      </c>
      <c r="C1233" s="1" t="s">
        <v>87</v>
      </c>
      <c r="D1233" s="1">
        <f>COUNTIFS('Raw Entries'!B:B,Table4[[#This Row],[Name]],'Raw Entries'!I:I,Table4[[#This Row],[BOOK No.]])</f>
        <v>3</v>
      </c>
      <c r="E1233" s="1">
        <f t="array" ref="E1233">IF(OR(Table4[[#This Row],[INSTALLMENT]]=1,Table4[[#This Row],[INSTALLMENT]]=2,Table4[[#This Row],[INSTALLMENT]]=3),1,0)</f>
        <v>1</v>
      </c>
      <c r="F1233" s="1">
        <f>IF(OR(Table4[[#This Row],[INSTALLMENT]]=2,Table4[[#This Row],[INSTALLMENT]]=3),2,0)</f>
        <v>2</v>
      </c>
      <c r="G1233" s="1">
        <f>IF(OR(Table4[[#This Row],[INSTALLMENT]]=3),3,0)</f>
        <v>3</v>
      </c>
    </row>
    <row r="1234" spans="1:7">
      <c r="A1234" s="1">
        <v>1592</v>
      </c>
      <c r="B1234" s="1" t="s">
        <v>88</v>
      </c>
      <c r="C1234" s="1" t="s">
        <v>87</v>
      </c>
      <c r="D1234" s="1">
        <f>COUNTIFS('Raw Entries'!B:B,Table4[[#This Row],[Name]],'Raw Entries'!I:I,Table4[[#This Row],[BOOK No.]])</f>
        <v>1</v>
      </c>
      <c r="E1234" s="1">
        <f t="array" ref="E1234">IF(OR(Table4[[#This Row],[INSTALLMENT]]=1,Table4[[#This Row],[INSTALLMENT]]=2,Table4[[#This Row],[INSTALLMENT]]=3),1,0)</f>
        <v>1</v>
      </c>
      <c r="F1234" s="1">
        <f>IF(OR(Table4[[#This Row],[INSTALLMENT]]=2,Table4[[#This Row],[INSTALLMENT]]=3),2,0)</f>
        <v>0</v>
      </c>
      <c r="G1234" s="1">
        <f>IF(OR(Table4[[#This Row],[INSTALLMENT]]=3),3,0)</f>
        <v>0</v>
      </c>
    </row>
    <row r="1235" spans="1:7">
      <c r="A1235" s="1">
        <v>1593</v>
      </c>
      <c r="B1235" s="1" t="s">
        <v>2878</v>
      </c>
      <c r="C1235" s="1" t="s">
        <v>87</v>
      </c>
      <c r="D1235" s="1">
        <f>COUNTIFS('Raw Entries'!B:B,Table4[[#This Row],[Name]],'Raw Entries'!I:I,Table4[[#This Row],[BOOK No.]])</f>
        <v>0</v>
      </c>
      <c r="E1235" s="1">
        <f t="array" ref="E1235">IF(OR(Table4[[#This Row],[INSTALLMENT]]=1,Table4[[#This Row],[INSTALLMENT]]=2,Table4[[#This Row],[INSTALLMENT]]=3),1,0)</f>
        <v>0</v>
      </c>
      <c r="F1235" s="1">
        <f>IF(OR(Table4[[#This Row],[INSTALLMENT]]=2,Table4[[#This Row],[INSTALLMENT]]=3),2,0)</f>
        <v>0</v>
      </c>
      <c r="G1235" s="1">
        <f>IF(OR(Table4[[#This Row],[INSTALLMENT]]=3),3,0)</f>
        <v>0</v>
      </c>
    </row>
    <row r="1236" spans="1:7">
      <c r="A1236" s="1">
        <v>1594</v>
      </c>
      <c r="B1236" s="1" t="s">
        <v>2879</v>
      </c>
      <c r="C1236" s="1" t="s">
        <v>87</v>
      </c>
      <c r="D1236" s="1">
        <f>COUNTIFS('Raw Entries'!B:B,Table4[[#This Row],[Name]],'Raw Entries'!I:I,Table4[[#This Row],[BOOK No.]])</f>
        <v>0</v>
      </c>
      <c r="E1236" s="1">
        <f t="array" ref="E1236">IF(OR(Table4[[#This Row],[INSTALLMENT]]=1,Table4[[#This Row],[INSTALLMENT]]=2,Table4[[#This Row],[INSTALLMENT]]=3),1,0)</f>
        <v>0</v>
      </c>
      <c r="F1236" s="1">
        <f>IF(OR(Table4[[#This Row],[INSTALLMENT]]=2,Table4[[#This Row],[INSTALLMENT]]=3),2,0)</f>
        <v>0</v>
      </c>
      <c r="G1236" s="1">
        <f>IF(OR(Table4[[#This Row],[INSTALLMENT]]=3),3,0)</f>
        <v>0</v>
      </c>
    </row>
    <row r="1237" spans="1:7">
      <c r="A1237" s="1">
        <v>1595</v>
      </c>
      <c r="B1237" s="1" t="s">
        <v>2880</v>
      </c>
      <c r="C1237" s="1" t="s">
        <v>102</v>
      </c>
      <c r="D1237" s="1">
        <f>COUNTIFS('Raw Entries'!B:B,Table4[[#This Row],[Name]],'Raw Entries'!I:I,Table4[[#This Row],[BOOK No.]])</f>
        <v>0</v>
      </c>
      <c r="E1237" s="1">
        <f t="array" ref="E1237">IF(OR(Table4[[#This Row],[INSTALLMENT]]=1,Table4[[#This Row],[INSTALLMENT]]=2,Table4[[#This Row],[INSTALLMENT]]=3),1,0)</f>
        <v>0</v>
      </c>
      <c r="F1237" s="1">
        <f>IF(OR(Table4[[#This Row],[INSTALLMENT]]=2,Table4[[#This Row],[INSTALLMENT]]=3),2,0)</f>
        <v>0</v>
      </c>
      <c r="G1237" s="1">
        <f>IF(OR(Table4[[#This Row],[INSTALLMENT]]=3),3,0)</f>
        <v>0</v>
      </c>
    </row>
    <row r="1238" spans="1:7">
      <c r="A1238" s="1">
        <v>1596</v>
      </c>
      <c r="B1238" s="1" t="s">
        <v>2881</v>
      </c>
      <c r="C1238" s="1" t="s">
        <v>102</v>
      </c>
      <c r="D1238" s="1">
        <f>COUNTIFS('Raw Entries'!B:B,Table4[[#This Row],[Name]],'Raw Entries'!I:I,Table4[[#This Row],[BOOK No.]])</f>
        <v>0</v>
      </c>
      <c r="E1238" s="1">
        <f t="array" ref="E1238">IF(OR(Table4[[#This Row],[INSTALLMENT]]=1,Table4[[#This Row],[INSTALLMENT]]=2,Table4[[#This Row],[INSTALLMENT]]=3),1,0)</f>
        <v>0</v>
      </c>
      <c r="F1238" s="1">
        <f>IF(OR(Table4[[#This Row],[INSTALLMENT]]=2,Table4[[#This Row],[INSTALLMENT]]=3),2,0)</f>
        <v>0</v>
      </c>
      <c r="G1238" s="1">
        <f>IF(OR(Table4[[#This Row],[INSTALLMENT]]=3),3,0)</f>
        <v>0</v>
      </c>
    </row>
    <row r="1239" spans="1:7">
      <c r="A1239" s="1">
        <v>1597</v>
      </c>
      <c r="B1239" s="1" t="s">
        <v>2882</v>
      </c>
      <c r="C1239" s="1" t="s">
        <v>102</v>
      </c>
      <c r="D1239" s="1">
        <f>COUNTIFS('Raw Entries'!B:B,Table4[[#This Row],[Name]],'Raw Entries'!I:I,Table4[[#This Row],[BOOK No.]])</f>
        <v>0</v>
      </c>
      <c r="E1239" s="1">
        <f t="array" ref="E1239">IF(OR(Table4[[#This Row],[INSTALLMENT]]=1,Table4[[#This Row],[INSTALLMENT]]=2,Table4[[#This Row],[INSTALLMENT]]=3),1,0)</f>
        <v>0</v>
      </c>
      <c r="F1239" s="1">
        <f>IF(OR(Table4[[#This Row],[INSTALLMENT]]=2,Table4[[#This Row],[INSTALLMENT]]=3),2,0)</f>
        <v>0</v>
      </c>
      <c r="G1239" s="1">
        <f>IF(OR(Table4[[#This Row],[INSTALLMENT]]=3),3,0)</f>
        <v>0</v>
      </c>
    </row>
    <row r="1240" spans="1:7">
      <c r="A1240" s="1">
        <v>1598</v>
      </c>
      <c r="B1240" s="1" t="s">
        <v>2724</v>
      </c>
      <c r="C1240" s="1" t="s">
        <v>102</v>
      </c>
      <c r="D1240" s="1">
        <f>COUNTIFS('Raw Entries'!B:B,Table4[[#This Row],[Name]],'Raw Entries'!I:I,Table4[[#This Row],[BOOK No.]])</f>
        <v>0</v>
      </c>
      <c r="E1240" s="1">
        <f t="array" ref="E1240">IF(OR(Table4[[#This Row],[INSTALLMENT]]=1,Table4[[#This Row],[INSTALLMENT]]=2,Table4[[#This Row],[INSTALLMENT]]=3),1,0)</f>
        <v>0</v>
      </c>
      <c r="F1240" s="1">
        <f>IF(OR(Table4[[#This Row],[INSTALLMENT]]=2,Table4[[#This Row],[INSTALLMENT]]=3),2,0)</f>
        <v>0</v>
      </c>
      <c r="G1240" s="1">
        <f>IF(OR(Table4[[#This Row],[INSTALLMENT]]=3),3,0)</f>
        <v>0</v>
      </c>
    </row>
    <row r="1241" spans="1:7">
      <c r="A1241" s="1">
        <v>1599</v>
      </c>
      <c r="B1241" s="1" t="s">
        <v>1845</v>
      </c>
      <c r="C1241" s="1" t="s">
        <v>102</v>
      </c>
      <c r="D1241" s="1">
        <f>COUNTIFS('Raw Entries'!B:B,Table4[[#This Row],[Name]],'Raw Entries'!I:I,Table4[[#This Row],[BOOK No.]])</f>
        <v>1</v>
      </c>
      <c r="E1241" s="1">
        <f t="array" ref="E1241">IF(OR(Table4[[#This Row],[INSTALLMENT]]=1,Table4[[#This Row],[INSTALLMENT]]=2,Table4[[#This Row],[INSTALLMENT]]=3),1,0)</f>
        <v>1</v>
      </c>
      <c r="F1241" s="1">
        <f>IF(OR(Table4[[#This Row],[INSTALLMENT]]=2,Table4[[#This Row],[INSTALLMENT]]=3),2,0)</f>
        <v>0</v>
      </c>
      <c r="G1241" s="1">
        <f>IF(OR(Table4[[#This Row],[INSTALLMENT]]=3),3,0)</f>
        <v>0</v>
      </c>
    </row>
    <row r="1242" spans="1:7">
      <c r="A1242" s="1">
        <v>1600</v>
      </c>
      <c r="B1242" s="1" t="s">
        <v>108</v>
      </c>
      <c r="C1242" s="1" t="s">
        <v>102</v>
      </c>
      <c r="D1242" s="1">
        <f>COUNTIFS('Raw Entries'!B:B,Table4[[#This Row],[Name]],'Raw Entries'!I:I,Table4[[#This Row],[BOOK No.]])</f>
        <v>2</v>
      </c>
      <c r="E1242" s="1">
        <f t="array" ref="E1242">IF(OR(Table4[[#This Row],[INSTALLMENT]]=1,Table4[[#This Row],[INSTALLMENT]]=2,Table4[[#This Row],[INSTALLMENT]]=3),1,0)</f>
        <v>1</v>
      </c>
      <c r="F1242" s="1">
        <f>IF(OR(Table4[[#This Row],[INSTALLMENT]]=2,Table4[[#This Row],[INSTALLMENT]]=3),2,0)</f>
        <v>2</v>
      </c>
      <c r="G1242" s="1">
        <f>IF(OR(Table4[[#This Row],[INSTALLMENT]]=3),3,0)</f>
        <v>0</v>
      </c>
    </row>
    <row r="1243" spans="1:7">
      <c r="A1243" s="1">
        <v>1601</v>
      </c>
      <c r="B1243" s="1" t="s">
        <v>2883</v>
      </c>
      <c r="C1243" s="1" t="s">
        <v>102</v>
      </c>
      <c r="D1243" s="1">
        <f>COUNTIFS('Raw Entries'!B:B,Table4[[#This Row],[Name]],'Raw Entries'!I:I,Table4[[#This Row],[BOOK No.]])</f>
        <v>0</v>
      </c>
      <c r="E1243" s="1">
        <f t="array" ref="E1243">IF(OR(Table4[[#This Row],[INSTALLMENT]]=1,Table4[[#This Row],[INSTALLMENT]]=2,Table4[[#This Row],[INSTALLMENT]]=3),1,0)</f>
        <v>0</v>
      </c>
      <c r="F1243" s="1">
        <f>IF(OR(Table4[[#This Row],[INSTALLMENT]]=2,Table4[[#This Row],[INSTALLMENT]]=3),2,0)</f>
        <v>0</v>
      </c>
      <c r="G1243" s="1">
        <f>IF(OR(Table4[[#This Row],[INSTALLMENT]]=3),3,0)</f>
        <v>0</v>
      </c>
    </row>
    <row r="1244" spans="1:7">
      <c r="A1244" s="1">
        <v>1602</v>
      </c>
      <c r="B1244" s="1" t="s">
        <v>2884</v>
      </c>
      <c r="C1244" s="1" t="s">
        <v>102</v>
      </c>
      <c r="D1244" s="1">
        <f>COUNTIFS('Raw Entries'!B:B,Table4[[#This Row],[Name]],'Raw Entries'!I:I,Table4[[#This Row],[BOOK No.]])</f>
        <v>0</v>
      </c>
      <c r="E1244" s="1">
        <f t="array" ref="E1244">IF(OR(Table4[[#This Row],[INSTALLMENT]]=1,Table4[[#This Row],[INSTALLMENT]]=2,Table4[[#This Row],[INSTALLMENT]]=3),1,0)</f>
        <v>0</v>
      </c>
      <c r="F1244" s="1">
        <f>IF(OR(Table4[[#This Row],[INSTALLMENT]]=2,Table4[[#This Row],[INSTALLMENT]]=3),2,0)</f>
        <v>0</v>
      </c>
      <c r="G1244" s="1">
        <f>IF(OR(Table4[[#This Row],[INSTALLMENT]]=3),3,0)</f>
        <v>0</v>
      </c>
    </row>
    <row r="1245" spans="1:7">
      <c r="A1245" s="1">
        <v>1603</v>
      </c>
      <c r="B1245" s="1" t="s">
        <v>2885</v>
      </c>
      <c r="C1245" s="1" t="s">
        <v>102</v>
      </c>
      <c r="D1245" s="1">
        <f>COUNTIFS('Raw Entries'!B:B,Table4[[#This Row],[Name]],'Raw Entries'!I:I,Table4[[#This Row],[BOOK No.]])</f>
        <v>0</v>
      </c>
      <c r="E1245" s="1">
        <f t="array" ref="E1245">IF(OR(Table4[[#This Row],[INSTALLMENT]]=1,Table4[[#This Row],[INSTALLMENT]]=2,Table4[[#This Row],[INSTALLMENT]]=3),1,0)</f>
        <v>0</v>
      </c>
      <c r="F1245" s="1">
        <f>IF(OR(Table4[[#This Row],[INSTALLMENT]]=2,Table4[[#This Row],[INSTALLMENT]]=3),2,0)</f>
        <v>0</v>
      </c>
      <c r="G1245" s="1">
        <f>IF(OR(Table4[[#This Row],[INSTALLMENT]]=3),3,0)</f>
        <v>0</v>
      </c>
    </row>
    <row r="1246" spans="1:7">
      <c r="A1246" s="1">
        <v>1604</v>
      </c>
      <c r="B1246" s="1" t="s">
        <v>2886</v>
      </c>
      <c r="C1246" s="1" t="s">
        <v>102</v>
      </c>
      <c r="D1246" s="1">
        <f>COUNTIFS('Raw Entries'!B:B,Table4[[#This Row],[Name]],'Raw Entries'!I:I,Table4[[#This Row],[BOOK No.]])</f>
        <v>0</v>
      </c>
      <c r="E1246" s="1">
        <f t="array" ref="E1246">IF(OR(Table4[[#This Row],[INSTALLMENT]]=1,Table4[[#This Row],[INSTALLMENT]]=2,Table4[[#This Row],[INSTALLMENT]]=3),1,0)</f>
        <v>0</v>
      </c>
      <c r="F1246" s="1">
        <f>IF(OR(Table4[[#This Row],[INSTALLMENT]]=2,Table4[[#This Row],[INSTALLMENT]]=3),2,0)</f>
        <v>0</v>
      </c>
      <c r="G1246" s="1">
        <f>IF(OR(Table4[[#This Row],[INSTALLMENT]]=3),3,0)</f>
        <v>0</v>
      </c>
    </row>
    <row r="1247" spans="1:7">
      <c r="A1247" s="1">
        <v>1605</v>
      </c>
      <c r="B1247" s="1" t="s">
        <v>2887</v>
      </c>
      <c r="C1247" s="1" t="s">
        <v>102</v>
      </c>
      <c r="D1247" s="1">
        <f>COUNTIFS('Raw Entries'!B:B,Table4[[#This Row],[Name]],'Raw Entries'!I:I,Table4[[#This Row],[BOOK No.]])</f>
        <v>0</v>
      </c>
      <c r="E1247" s="1">
        <f t="array" ref="E1247">IF(OR(Table4[[#This Row],[INSTALLMENT]]=1,Table4[[#This Row],[INSTALLMENT]]=2,Table4[[#This Row],[INSTALLMENT]]=3),1,0)</f>
        <v>0</v>
      </c>
      <c r="F1247" s="1">
        <f>IF(OR(Table4[[#This Row],[INSTALLMENT]]=2,Table4[[#This Row],[INSTALLMENT]]=3),2,0)</f>
        <v>0</v>
      </c>
      <c r="G1247" s="1">
        <f>IF(OR(Table4[[#This Row],[INSTALLMENT]]=3),3,0)</f>
        <v>0</v>
      </c>
    </row>
    <row r="1248" spans="1:7">
      <c r="A1248" s="1">
        <v>1606</v>
      </c>
      <c r="B1248" s="1" t="s">
        <v>2888</v>
      </c>
      <c r="C1248" s="1" t="s">
        <v>102</v>
      </c>
      <c r="D1248" s="1">
        <f>COUNTIFS('Raw Entries'!B:B,Table4[[#This Row],[Name]],'Raw Entries'!I:I,Table4[[#This Row],[BOOK No.]])</f>
        <v>0</v>
      </c>
      <c r="E1248" s="1">
        <f t="array" ref="E1248">IF(OR(Table4[[#This Row],[INSTALLMENT]]=1,Table4[[#This Row],[INSTALLMENT]]=2,Table4[[#This Row],[INSTALLMENT]]=3),1,0)</f>
        <v>0</v>
      </c>
      <c r="F1248" s="1">
        <f>IF(OR(Table4[[#This Row],[INSTALLMENT]]=2,Table4[[#This Row],[INSTALLMENT]]=3),2,0)</f>
        <v>0</v>
      </c>
      <c r="G1248" s="1">
        <f>IF(OR(Table4[[#This Row],[INSTALLMENT]]=3),3,0)</f>
        <v>0</v>
      </c>
    </row>
    <row r="1249" spans="1:7">
      <c r="A1249" s="1">
        <v>1607</v>
      </c>
      <c r="B1249" s="1" t="s">
        <v>2889</v>
      </c>
      <c r="C1249" s="1" t="s">
        <v>102</v>
      </c>
      <c r="D1249" s="1">
        <f>COUNTIFS('Raw Entries'!B:B,Table4[[#This Row],[Name]],'Raw Entries'!I:I,Table4[[#This Row],[BOOK No.]])</f>
        <v>0</v>
      </c>
      <c r="E1249" s="1">
        <f t="array" ref="E1249">IF(OR(Table4[[#This Row],[INSTALLMENT]]=1,Table4[[#This Row],[INSTALLMENT]]=2,Table4[[#This Row],[INSTALLMENT]]=3),1,0)</f>
        <v>0</v>
      </c>
      <c r="F1249" s="1">
        <f>IF(OR(Table4[[#This Row],[INSTALLMENT]]=2,Table4[[#This Row],[INSTALLMENT]]=3),2,0)</f>
        <v>0</v>
      </c>
      <c r="G1249" s="1">
        <f>IF(OR(Table4[[#This Row],[INSTALLMENT]]=3),3,0)</f>
        <v>0</v>
      </c>
    </row>
    <row r="1250" spans="1:7">
      <c r="A1250" s="1">
        <v>1608</v>
      </c>
      <c r="B1250" s="1" t="s">
        <v>604</v>
      </c>
      <c r="C1250" s="1" t="s">
        <v>102</v>
      </c>
      <c r="D1250" s="1">
        <f>COUNTIFS('Raw Entries'!B:B,Table4[[#This Row],[Name]],'Raw Entries'!I:I,Table4[[#This Row],[BOOK No.]])</f>
        <v>1</v>
      </c>
      <c r="E1250" s="1">
        <f t="array" ref="E1250">IF(OR(Table4[[#This Row],[INSTALLMENT]]=1,Table4[[#This Row],[INSTALLMENT]]=2,Table4[[#This Row],[INSTALLMENT]]=3),1,0)</f>
        <v>1</v>
      </c>
      <c r="F1250" s="1">
        <f>IF(OR(Table4[[#This Row],[INSTALLMENT]]=2,Table4[[#This Row],[INSTALLMENT]]=3),2,0)</f>
        <v>0</v>
      </c>
      <c r="G1250" s="1">
        <f>IF(OR(Table4[[#This Row],[INSTALLMENT]]=3),3,0)</f>
        <v>0</v>
      </c>
    </row>
    <row r="1251" spans="1:7">
      <c r="A1251" s="1">
        <v>1609</v>
      </c>
      <c r="B1251" s="1" t="s">
        <v>2890</v>
      </c>
      <c r="C1251" s="1" t="s">
        <v>102</v>
      </c>
      <c r="D1251" s="1">
        <f>COUNTIFS('Raw Entries'!B:B,Table4[[#This Row],[Name]],'Raw Entries'!I:I,Table4[[#This Row],[BOOK No.]])</f>
        <v>0</v>
      </c>
      <c r="E1251" s="1">
        <f t="array" ref="E1251">IF(OR(Table4[[#This Row],[INSTALLMENT]]=1,Table4[[#This Row],[INSTALLMENT]]=2,Table4[[#This Row],[INSTALLMENT]]=3),1,0)</f>
        <v>0</v>
      </c>
      <c r="F1251" s="1">
        <f>IF(OR(Table4[[#This Row],[INSTALLMENT]]=2,Table4[[#This Row],[INSTALLMENT]]=3),2,0)</f>
        <v>0</v>
      </c>
      <c r="G1251" s="1">
        <f>IF(OR(Table4[[#This Row],[INSTALLMENT]]=3),3,0)</f>
        <v>0</v>
      </c>
    </row>
    <row r="1252" spans="1:7">
      <c r="A1252" s="1">
        <v>1610</v>
      </c>
      <c r="B1252" s="1" t="s">
        <v>2891</v>
      </c>
      <c r="C1252" s="1" t="s">
        <v>102</v>
      </c>
      <c r="D1252" s="1">
        <f>COUNTIFS('Raw Entries'!B:B,Table4[[#This Row],[Name]],'Raw Entries'!I:I,Table4[[#This Row],[BOOK No.]])</f>
        <v>0</v>
      </c>
      <c r="E1252" s="1">
        <f t="array" ref="E1252">IF(OR(Table4[[#This Row],[INSTALLMENT]]=1,Table4[[#This Row],[INSTALLMENT]]=2,Table4[[#This Row],[INSTALLMENT]]=3),1,0)</f>
        <v>0</v>
      </c>
      <c r="F1252" s="1">
        <f>IF(OR(Table4[[#This Row],[INSTALLMENT]]=2,Table4[[#This Row],[INSTALLMENT]]=3),2,0)</f>
        <v>0</v>
      </c>
      <c r="G1252" s="1">
        <f>IF(OR(Table4[[#This Row],[INSTALLMENT]]=3),3,0)</f>
        <v>0</v>
      </c>
    </row>
    <row r="1253" spans="1:7">
      <c r="A1253" s="1">
        <v>1611</v>
      </c>
      <c r="B1253" s="1" t="s">
        <v>2892</v>
      </c>
      <c r="C1253" s="1" t="s">
        <v>102</v>
      </c>
      <c r="D1253" s="1">
        <f>COUNTIFS('Raw Entries'!B:B,Table4[[#This Row],[Name]],'Raw Entries'!I:I,Table4[[#This Row],[BOOK No.]])</f>
        <v>0</v>
      </c>
      <c r="E1253" s="1">
        <f t="array" ref="E1253">IF(OR(Table4[[#This Row],[INSTALLMENT]]=1,Table4[[#This Row],[INSTALLMENT]]=2,Table4[[#This Row],[INSTALLMENT]]=3),1,0)</f>
        <v>0</v>
      </c>
      <c r="F1253" s="1">
        <f>IF(OR(Table4[[#This Row],[INSTALLMENT]]=2,Table4[[#This Row],[INSTALLMENT]]=3),2,0)</f>
        <v>0</v>
      </c>
      <c r="G1253" s="1">
        <f>IF(OR(Table4[[#This Row],[INSTALLMENT]]=3),3,0)</f>
        <v>0</v>
      </c>
    </row>
    <row r="1254" spans="1:7">
      <c r="A1254" s="1">
        <v>1612</v>
      </c>
      <c r="B1254" s="1" t="s">
        <v>2893</v>
      </c>
      <c r="C1254" s="1" t="s">
        <v>102</v>
      </c>
      <c r="D1254" s="1">
        <f>COUNTIFS('Raw Entries'!B:B,Table4[[#This Row],[Name]],'Raw Entries'!I:I,Table4[[#This Row],[BOOK No.]])</f>
        <v>0</v>
      </c>
      <c r="E1254" s="1">
        <f t="array" ref="E1254">IF(OR(Table4[[#This Row],[INSTALLMENT]]=1,Table4[[#This Row],[INSTALLMENT]]=2,Table4[[#This Row],[INSTALLMENT]]=3),1,0)</f>
        <v>0</v>
      </c>
      <c r="F1254" s="1">
        <f>IF(OR(Table4[[#This Row],[INSTALLMENT]]=2,Table4[[#This Row],[INSTALLMENT]]=3),2,0)</f>
        <v>0</v>
      </c>
      <c r="G1254" s="1">
        <f>IF(OR(Table4[[#This Row],[INSTALLMENT]]=3),3,0)</f>
        <v>0</v>
      </c>
    </row>
    <row r="1255" spans="1:7">
      <c r="A1255" s="1">
        <v>1613</v>
      </c>
      <c r="B1255" s="1" t="s">
        <v>105</v>
      </c>
      <c r="C1255" s="1" t="s">
        <v>102</v>
      </c>
      <c r="D1255" s="1">
        <f>COUNTIFS('Raw Entries'!B:B,Table4[[#This Row],[Name]],'Raw Entries'!I:I,Table4[[#This Row],[BOOK No.]])</f>
        <v>1</v>
      </c>
      <c r="E1255" s="1">
        <f t="array" ref="E1255">IF(OR(Table4[[#This Row],[INSTALLMENT]]=1,Table4[[#This Row],[INSTALLMENT]]=2,Table4[[#This Row],[INSTALLMENT]]=3),1,0)</f>
        <v>1</v>
      </c>
      <c r="F1255" s="1">
        <f>IF(OR(Table4[[#This Row],[INSTALLMENT]]=2,Table4[[#This Row],[INSTALLMENT]]=3),2,0)</f>
        <v>0</v>
      </c>
      <c r="G1255" s="1">
        <f>IF(OR(Table4[[#This Row],[INSTALLMENT]]=3),3,0)</f>
        <v>0</v>
      </c>
    </row>
    <row r="1256" spans="1:7">
      <c r="A1256" s="1">
        <v>1614</v>
      </c>
      <c r="B1256" s="1" t="s">
        <v>103</v>
      </c>
      <c r="C1256" s="1" t="s">
        <v>102</v>
      </c>
      <c r="D1256" s="1">
        <f>COUNTIFS('Raw Entries'!B:B,Table4[[#This Row],[Name]],'Raw Entries'!I:I,Table4[[#This Row],[BOOK No.]])</f>
        <v>1</v>
      </c>
      <c r="E1256" s="1">
        <f t="array" ref="E1256">IF(OR(Table4[[#This Row],[INSTALLMENT]]=1,Table4[[#This Row],[INSTALLMENT]]=2,Table4[[#This Row],[INSTALLMENT]]=3),1,0)</f>
        <v>1</v>
      </c>
      <c r="F1256" s="1">
        <f>IF(OR(Table4[[#This Row],[INSTALLMENT]]=2,Table4[[#This Row],[INSTALLMENT]]=3),2,0)</f>
        <v>0</v>
      </c>
      <c r="G1256" s="1">
        <f>IF(OR(Table4[[#This Row],[INSTALLMENT]]=3),3,0)</f>
        <v>0</v>
      </c>
    </row>
    <row r="1257" spans="1:7">
      <c r="A1257" s="1">
        <v>1615</v>
      </c>
      <c r="B1257" s="1" t="s">
        <v>2894</v>
      </c>
      <c r="C1257" s="1" t="s">
        <v>102</v>
      </c>
      <c r="D1257" s="1">
        <f>COUNTIFS('Raw Entries'!B:B,Table4[[#This Row],[Name]],'Raw Entries'!I:I,Table4[[#This Row],[BOOK No.]])</f>
        <v>0</v>
      </c>
      <c r="E1257" s="1">
        <f t="array" ref="E1257">IF(OR(Table4[[#This Row],[INSTALLMENT]]=1,Table4[[#This Row],[INSTALLMENT]]=2,Table4[[#This Row],[INSTALLMENT]]=3),1,0)</f>
        <v>0</v>
      </c>
      <c r="F1257" s="1">
        <f>IF(OR(Table4[[#This Row],[INSTALLMENT]]=2,Table4[[#This Row],[INSTALLMENT]]=3),2,0)</f>
        <v>0</v>
      </c>
      <c r="G1257" s="1">
        <f>IF(OR(Table4[[#This Row],[INSTALLMENT]]=3),3,0)</f>
        <v>0</v>
      </c>
    </row>
    <row r="1258" spans="1:7">
      <c r="A1258" s="1">
        <v>1616</v>
      </c>
      <c r="B1258" s="1" t="s">
        <v>107</v>
      </c>
      <c r="C1258" s="1" t="s">
        <v>102</v>
      </c>
      <c r="D1258" s="1">
        <f>COUNTIFS('Raw Entries'!B:B,Table4[[#This Row],[Name]],'Raw Entries'!I:I,Table4[[#This Row],[BOOK No.]])</f>
        <v>1</v>
      </c>
      <c r="E1258" s="1">
        <f t="array" ref="E1258">IF(OR(Table4[[#This Row],[INSTALLMENT]]=1,Table4[[#This Row],[INSTALLMENT]]=2,Table4[[#This Row],[INSTALLMENT]]=3),1,0)</f>
        <v>1</v>
      </c>
      <c r="F1258" s="1">
        <f>IF(OR(Table4[[#This Row],[INSTALLMENT]]=2,Table4[[#This Row],[INSTALLMENT]]=3),2,0)</f>
        <v>0</v>
      </c>
      <c r="G1258" s="1">
        <f>IF(OR(Table4[[#This Row],[INSTALLMENT]]=3),3,0)</f>
        <v>0</v>
      </c>
    </row>
    <row r="1259" spans="1:7">
      <c r="A1259" s="1">
        <v>1617</v>
      </c>
      <c r="B1259" s="1" t="s">
        <v>2895</v>
      </c>
      <c r="C1259" s="1" t="s">
        <v>102</v>
      </c>
      <c r="D1259" s="1">
        <f>COUNTIFS('Raw Entries'!B:B,Table4[[#This Row],[Name]],'Raw Entries'!I:I,Table4[[#This Row],[BOOK No.]])</f>
        <v>0</v>
      </c>
      <c r="E1259" s="1">
        <f t="array" ref="E1259">IF(OR(Table4[[#This Row],[INSTALLMENT]]=1,Table4[[#This Row],[INSTALLMENT]]=2,Table4[[#This Row],[INSTALLMENT]]=3),1,0)</f>
        <v>0</v>
      </c>
      <c r="F1259" s="1">
        <f>IF(OR(Table4[[#This Row],[INSTALLMENT]]=2,Table4[[#This Row],[INSTALLMENT]]=3),2,0)</f>
        <v>0</v>
      </c>
      <c r="G1259" s="1">
        <f>IF(OR(Table4[[#This Row],[INSTALLMENT]]=3),3,0)</f>
        <v>0</v>
      </c>
    </row>
    <row r="1260" spans="1:7">
      <c r="A1260" s="1">
        <v>1618</v>
      </c>
      <c r="B1260" s="1" t="s">
        <v>2896</v>
      </c>
      <c r="C1260" s="1" t="s">
        <v>102</v>
      </c>
      <c r="D1260" s="1">
        <f>COUNTIFS('Raw Entries'!B:B,Table4[[#This Row],[Name]],'Raw Entries'!I:I,Table4[[#This Row],[BOOK No.]])</f>
        <v>0</v>
      </c>
      <c r="E1260" s="1">
        <f t="array" ref="E1260">IF(OR(Table4[[#This Row],[INSTALLMENT]]=1,Table4[[#This Row],[INSTALLMENT]]=2,Table4[[#This Row],[INSTALLMENT]]=3),1,0)</f>
        <v>0</v>
      </c>
      <c r="F1260" s="1">
        <f>IF(OR(Table4[[#This Row],[INSTALLMENT]]=2,Table4[[#This Row],[INSTALLMENT]]=3),2,0)</f>
        <v>0</v>
      </c>
      <c r="G1260" s="1">
        <f>IF(OR(Table4[[#This Row],[INSTALLMENT]]=3),3,0)</f>
        <v>0</v>
      </c>
    </row>
    <row r="1261" spans="1:7">
      <c r="A1261" s="1">
        <v>1619</v>
      </c>
      <c r="B1261" s="1" t="s">
        <v>2897</v>
      </c>
      <c r="C1261" s="1" t="s">
        <v>102</v>
      </c>
      <c r="D1261" s="1">
        <f>COUNTIFS('Raw Entries'!B:B,Table4[[#This Row],[Name]],'Raw Entries'!I:I,Table4[[#This Row],[BOOK No.]])</f>
        <v>0</v>
      </c>
      <c r="E1261" s="1">
        <f t="array" ref="E1261">IF(OR(Table4[[#This Row],[INSTALLMENT]]=1,Table4[[#This Row],[INSTALLMENT]]=2,Table4[[#This Row],[INSTALLMENT]]=3),1,0)</f>
        <v>0</v>
      </c>
      <c r="F1261" s="1">
        <f>IF(OR(Table4[[#This Row],[INSTALLMENT]]=2,Table4[[#This Row],[INSTALLMENT]]=3),2,0)</f>
        <v>0</v>
      </c>
      <c r="G1261" s="1">
        <f>IF(OR(Table4[[#This Row],[INSTALLMENT]]=3),3,0)</f>
        <v>0</v>
      </c>
    </row>
    <row r="1262" spans="1:7">
      <c r="A1262" s="1">
        <v>1620</v>
      </c>
      <c r="B1262" s="1" t="s">
        <v>111</v>
      </c>
      <c r="C1262" s="1" t="s">
        <v>102</v>
      </c>
      <c r="D1262" s="1">
        <f>COUNTIFS('Raw Entries'!B:B,Table4[[#This Row],[Name]],'Raw Entries'!I:I,Table4[[#This Row],[BOOK No.]])</f>
        <v>2</v>
      </c>
      <c r="E1262" s="1">
        <f t="array" ref="E1262">IF(OR(Table4[[#This Row],[INSTALLMENT]]=1,Table4[[#This Row],[INSTALLMENT]]=2,Table4[[#This Row],[INSTALLMENT]]=3),1,0)</f>
        <v>1</v>
      </c>
      <c r="F1262" s="1">
        <f>IF(OR(Table4[[#This Row],[INSTALLMENT]]=2,Table4[[#This Row],[INSTALLMENT]]=3),2,0)</f>
        <v>2</v>
      </c>
      <c r="G1262" s="1">
        <f>IF(OR(Table4[[#This Row],[INSTALLMENT]]=3),3,0)</f>
        <v>0</v>
      </c>
    </row>
    <row r="1263" spans="1:7">
      <c r="A1263" s="1">
        <v>1621</v>
      </c>
      <c r="B1263" s="1" t="s">
        <v>104</v>
      </c>
      <c r="C1263" s="1" t="s">
        <v>102</v>
      </c>
      <c r="D1263" s="1">
        <f>COUNTIFS('Raw Entries'!B:B,Table4[[#This Row],[Name]],'Raw Entries'!I:I,Table4[[#This Row],[BOOK No.]])</f>
        <v>3</v>
      </c>
      <c r="E1263" s="1">
        <f t="array" ref="E1263">IF(OR(Table4[[#This Row],[INSTALLMENT]]=1,Table4[[#This Row],[INSTALLMENT]]=2,Table4[[#This Row],[INSTALLMENT]]=3),1,0)</f>
        <v>1</v>
      </c>
      <c r="F1263" s="1">
        <f>IF(OR(Table4[[#This Row],[INSTALLMENT]]=2,Table4[[#This Row],[INSTALLMENT]]=3),2,0)</f>
        <v>2</v>
      </c>
      <c r="G1263" s="1">
        <f>IF(OR(Table4[[#This Row],[INSTALLMENT]]=3),3,0)</f>
        <v>3</v>
      </c>
    </row>
    <row r="1264" spans="1:7">
      <c r="A1264" s="1">
        <v>1622</v>
      </c>
      <c r="B1264" s="1" t="s">
        <v>2898</v>
      </c>
      <c r="C1264" s="1" t="s">
        <v>102</v>
      </c>
      <c r="D1264" s="1">
        <f>COUNTIFS('Raw Entries'!B:B,Table4[[#This Row],[Name]],'Raw Entries'!I:I,Table4[[#This Row],[BOOK No.]])</f>
        <v>0</v>
      </c>
      <c r="E1264" s="1">
        <f t="array" ref="E1264">IF(OR(Table4[[#This Row],[INSTALLMENT]]=1,Table4[[#This Row],[INSTALLMENT]]=2,Table4[[#This Row],[INSTALLMENT]]=3),1,0)</f>
        <v>0</v>
      </c>
      <c r="F1264" s="1">
        <f>IF(OR(Table4[[#This Row],[INSTALLMENT]]=2,Table4[[#This Row],[INSTALLMENT]]=3),2,0)</f>
        <v>0</v>
      </c>
      <c r="G1264" s="1">
        <f>IF(OR(Table4[[#This Row],[INSTALLMENT]]=3),3,0)</f>
        <v>0</v>
      </c>
    </row>
    <row r="1265" spans="1:7">
      <c r="A1265" s="1">
        <v>1623</v>
      </c>
      <c r="B1265" s="1" t="s">
        <v>2899</v>
      </c>
      <c r="C1265" s="1" t="s">
        <v>102</v>
      </c>
      <c r="D1265" s="1">
        <f>COUNTIFS('Raw Entries'!B:B,Table4[[#This Row],[Name]],'Raw Entries'!I:I,Table4[[#This Row],[BOOK No.]])</f>
        <v>0</v>
      </c>
      <c r="E1265" s="1">
        <f t="array" ref="E1265">IF(OR(Table4[[#This Row],[INSTALLMENT]]=1,Table4[[#This Row],[INSTALLMENT]]=2,Table4[[#This Row],[INSTALLMENT]]=3),1,0)</f>
        <v>0</v>
      </c>
      <c r="F1265" s="1">
        <f>IF(OR(Table4[[#This Row],[INSTALLMENT]]=2,Table4[[#This Row],[INSTALLMENT]]=3),2,0)</f>
        <v>0</v>
      </c>
      <c r="G1265" s="1">
        <f>IF(OR(Table4[[#This Row],[INSTALLMENT]]=3),3,0)</f>
        <v>0</v>
      </c>
    </row>
    <row r="1266" spans="1:7">
      <c r="A1266" s="1">
        <v>1624</v>
      </c>
      <c r="B1266" s="1" t="s">
        <v>222</v>
      </c>
      <c r="C1266" s="1" t="s">
        <v>102</v>
      </c>
      <c r="D1266" s="1">
        <f>COUNTIFS('Raw Entries'!B:B,Table4[[#This Row],[Name]],'Raw Entries'!I:I,Table4[[#This Row],[BOOK No.]])</f>
        <v>0</v>
      </c>
      <c r="E1266" s="1">
        <f t="array" ref="E1266">IF(OR(Table4[[#This Row],[INSTALLMENT]]=1,Table4[[#This Row],[INSTALLMENT]]=2,Table4[[#This Row],[INSTALLMENT]]=3),1,0)</f>
        <v>0</v>
      </c>
      <c r="F1266" s="1">
        <f>IF(OR(Table4[[#This Row],[INSTALLMENT]]=2,Table4[[#This Row],[INSTALLMENT]]=3),2,0)</f>
        <v>0</v>
      </c>
      <c r="G1266" s="1">
        <f>IF(OR(Table4[[#This Row],[INSTALLMENT]]=3),3,0)</f>
        <v>0</v>
      </c>
    </row>
    <row r="1267" spans="1:7">
      <c r="A1267" s="1">
        <v>1625</v>
      </c>
      <c r="B1267" s="1" t="s">
        <v>106</v>
      </c>
      <c r="C1267" s="1" t="s">
        <v>102</v>
      </c>
      <c r="D1267" s="1">
        <f>COUNTIFS('Raw Entries'!B:B,Table4[[#This Row],[Name]],'Raw Entries'!I:I,Table4[[#This Row],[BOOK No.]])</f>
        <v>1</v>
      </c>
      <c r="E1267" s="1">
        <f t="array" ref="E1267">IF(OR(Table4[[#This Row],[INSTALLMENT]]=1,Table4[[#This Row],[INSTALLMENT]]=2,Table4[[#This Row],[INSTALLMENT]]=3),1,0)</f>
        <v>1</v>
      </c>
      <c r="F1267" s="1">
        <f>IF(OR(Table4[[#This Row],[INSTALLMENT]]=2,Table4[[#This Row],[INSTALLMENT]]=3),2,0)</f>
        <v>0</v>
      </c>
      <c r="G1267" s="1">
        <f>IF(OR(Table4[[#This Row],[INSTALLMENT]]=3),3,0)</f>
        <v>0</v>
      </c>
    </row>
    <row r="1268" spans="1:7">
      <c r="A1268" s="1">
        <v>1626</v>
      </c>
      <c r="B1268" s="1" t="s">
        <v>2900</v>
      </c>
      <c r="C1268" s="1" t="s">
        <v>102</v>
      </c>
      <c r="D1268" s="1">
        <f>COUNTIFS('Raw Entries'!B:B,Table4[[#This Row],[Name]],'Raw Entries'!I:I,Table4[[#This Row],[BOOK No.]])</f>
        <v>0</v>
      </c>
      <c r="E1268" s="1">
        <f t="array" ref="E1268">IF(OR(Table4[[#This Row],[INSTALLMENT]]=1,Table4[[#This Row],[INSTALLMENT]]=2,Table4[[#This Row],[INSTALLMENT]]=3),1,0)</f>
        <v>0</v>
      </c>
      <c r="F1268" s="1">
        <f>IF(OR(Table4[[#This Row],[INSTALLMENT]]=2,Table4[[#This Row],[INSTALLMENT]]=3),2,0)</f>
        <v>0</v>
      </c>
      <c r="G1268" s="1">
        <f>IF(OR(Table4[[#This Row],[INSTALLMENT]]=3),3,0)</f>
        <v>0</v>
      </c>
    </row>
    <row r="1269" spans="1:7">
      <c r="A1269" s="1">
        <v>1627</v>
      </c>
      <c r="B1269" s="1" t="s">
        <v>2901</v>
      </c>
      <c r="C1269" s="1" t="s">
        <v>102</v>
      </c>
      <c r="D1269" s="1">
        <f>COUNTIFS('Raw Entries'!B:B,Table4[[#This Row],[Name]],'Raw Entries'!I:I,Table4[[#This Row],[BOOK No.]])</f>
        <v>0</v>
      </c>
      <c r="E1269" s="1">
        <f t="array" ref="E1269">IF(OR(Table4[[#This Row],[INSTALLMENT]]=1,Table4[[#This Row],[INSTALLMENT]]=2,Table4[[#This Row],[INSTALLMENT]]=3),1,0)</f>
        <v>0</v>
      </c>
      <c r="F1269" s="1">
        <f>IF(OR(Table4[[#This Row],[INSTALLMENT]]=2,Table4[[#This Row],[INSTALLMENT]]=3),2,0)</f>
        <v>0</v>
      </c>
      <c r="G1269" s="1">
        <f>IF(OR(Table4[[#This Row],[INSTALLMENT]]=3),3,0)</f>
        <v>0</v>
      </c>
    </row>
    <row r="1270" spans="1:7">
      <c r="A1270" s="1">
        <v>1628</v>
      </c>
      <c r="B1270" s="1" t="s">
        <v>2902</v>
      </c>
      <c r="C1270" s="1" t="s">
        <v>113</v>
      </c>
      <c r="D1270" s="1">
        <f>COUNTIFS('Raw Entries'!B:B,Table4[[#This Row],[Name]],'Raw Entries'!I:I,Table4[[#This Row],[BOOK No.]])</f>
        <v>0</v>
      </c>
      <c r="E1270" s="1">
        <f t="array" ref="E1270">IF(OR(Table4[[#This Row],[INSTALLMENT]]=1,Table4[[#This Row],[INSTALLMENT]]=2,Table4[[#This Row],[INSTALLMENT]]=3),1,0)</f>
        <v>0</v>
      </c>
      <c r="F1270" s="1">
        <f>IF(OR(Table4[[#This Row],[INSTALLMENT]]=2,Table4[[#This Row],[INSTALLMENT]]=3),2,0)</f>
        <v>0</v>
      </c>
      <c r="G1270" s="1">
        <f>IF(OR(Table4[[#This Row],[INSTALLMENT]]=3),3,0)</f>
        <v>0</v>
      </c>
    </row>
    <row r="1271" spans="1:7">
      <c r="A1271" s="1">
        <v>1629</v>
      </c>
      <c r="B1271" s="1" t="s">
        <v>118</v>
      </c>
      <c r="C1271" s="1" t="s">
        <v>113</v>
      </c>
      <c r="D1271" s="1">
        <f>COUNTIFS('Raw Entries'!B:B,Table4[[#This Row],[Name]],'Raw Entries'!I:I,Table4[[#This Row],[BOOK No.]])</f>
        <v>3</v>
      </c>
      <c r="E1271" s="1">
        <f t="array" ref="E1271">IF(OR(Table4[[#This Row],[INSTALLMENT]]=1,Table4[[#This Row],[INSTALLMENT]]=2,Table4[[#This Row],[INSTALLMENT]]=3),1,0)</f>
        <v>1</v>
      </c>
      <c r="F1271" s="1">
        <f>IF(OR(Table4[[#This Row],[INSTALLMENT]]=2,Table4[[#This Row],[INSTALLMENT]]=3),2,0)</f>
        <v>2</v>
      </c>
      <c r="G1271" s="1">
        <f>IF(OR(Table4[[#This Row],[INSTALLMENT]]=3),3,0)</f>
        <v>3</v>
      </c>
    </row>
    <row r="1272" spans="1:7">
      <c r="A1272" s="1">
        <v>1630</v>
      </c>
      <c r="B1272" s="1" t="s">
        <v>2903</v>
      </c>
      <c r="C1272" s="1" t="s">
        <v>113</v>
      </c>
      <c r="D1272" s="1">
        <f>COUNTIFS('Raw Entries'!B:B,Table4[[#This Row],[Name]],'Raw Entries'!I:I,Table4[[#This Row],[BOOK No.]])</f>
        <v>0</v>
      </c>
      <c r="E1272" s="1">
        <f t="array" ref="E1272">IF(OR(Table4[[#This Row],[INSTALLMENT]]=1,Table4[[#This Row],[INSTALLMENT]]=2,Table4[[#This Row],[INSTALLMENT]]=3),1,0)</f>
        <v>0</v>
      </c>
      <c r="F1272" s="1">
        <f>IF(OR(Table4[[#This Row],[INSTALLMENT]]=2,Table4[[#This Row],[INSTALLMENT]]=3),2,0)</f>
        <v>0</v>
      </c>
      <c r="G1272" s="1">
        <f>IF(OR(Table4[[#This Row],[INSTALLMENT]]=3),3,0)</f>
        <v>0</v>
      </c>
    </row>
    <row r="1273" spans="1:7">
      <c r="A1273" s="1">
        <v>1631</v>
      </c>
      <c r="B1273" s="1" t="s">
        <v>660</v>
      </c>
      <c r="C1273" s="1" t="s">
        <v>113</v>
      </c>
      <c r="D1273" s="1">
        <f>COUNTIFS('Raw Entries'!B:B,Table4[[#This Row],[Name]],'Raw Entries'!I:I,Table4[[#This Row],[BOOK No.]])</f>
        <v>1</v>
      </c>
      <c r="E1273" s="1">
        <f t="array" ref="E1273">IF(OR(Table4[[#This Row],[INSTALLMENT]]=1,Table4[[#This Row],[INSTALLMENT]]=2,Table4[[#This Row],[INSTALLMENT]]=3),1,0)</f>
        <v>1</v>
      </c>
      <c r="F1273" s="1">
        <f>IF(OR(Table4[[#This Row],[INSTALLMENT]]=2,Table4[[#This Row],[INSTALLMENT]]=3),2,0)</f>
        <v>0</v>
      </c>
      <c r="G1273" s="1">
        <f>IF(OR(Table4[[#This Row],[INSTALLMENT]]=3),3,0)</f>
        <v>0</v>
      </c>
    </row>
    <row r="1274" spans="1:7">
      <c r="A1274" s="1">
        <v>1632</v>
      </c>
      <c r="B1274" s="1" t="s">
        <v>2904</v>
      </c>
      <c r="C1274" s="1" t="s">
        <v>113</v>
      </c>
      <c r="D1274" s="1">
        <f>COUNTIFS('Raw Entries'!B:B,Table4[[#This Row],[Name]],'Raw Entries'!I:I,Table4[[#This Row],[BOOK No.]])</f>
        <v>0</v>
      </c>
      <c r="E1274" s="1">
        <f t="array" ref="E1274">IF(OR(Table4[[#This Row],[INSTALLMENT]]=1,Table4[[#This Row],[INSTALLMENT]]=2,Table4[[#This Row],[INSTALLMENT]]=3),1,0)</f>
        <v>0</v>
      </c>
      <c r="F1274" s="1">
        <f>IF(OR(Table4[[#This Row],[INSTALLMENT]]=2,Table4[[#This Row],[INSTALLMENT]]=3),2,0)</f>
        <v>0</v>
      </c>
      <c r="G1274" s="1">
        <f>IF(OR(Table4[[#This Row],[INSTALLMENT]]=3),3,0)</f>
        <v>0</v>
      </c>
    </row>
    <row r="1275" spans="1:7">
      <c r="A1275" s="1">
        <v>1633</v>
      </c>
      <c r="B1275" s="1" t="s">
        <v>2905</v>
      </c>
      <c r="C1275" s="1" t="s">
        <v>113</v>
      </c>
      <c r="D1275" s="1">
        <f>COUNTIFS('Raw Entries'!B:B,Table4[[#This Row],[Name]],'Raw Entries'!I:I,Table4[[#This Row],[BOOK No.]])</f>
        <v>0</v>
      </c>
      <c r="E1275" s="1">
        <f t="array" ref="E1275">IF(OR(Table4[[#This Row],[INSTALLMENT]]=1,Table4[[#This Row],[INSTALLMENT]]=2,Table4[[#This Row],[INSTALLMENT]]=3),1,0)</f>
        <v>0</v>
      </c>
      <c r="F1275" s="1">
        <f>IF(OR(Table4[[#This Row],[INSTALLMENT]]=2,Table4[[#This Row],[INSTALLMENT]]=3),2,0)</f>
        <v>0</v>
      </c>
      <c r="G1275" s="1">
        <f>IF(OR(Table4[[#This Row],[INSTALLMENT]]=3),3,0)</f>
        <v>0</v>
      </c>
    </row>
    <row r="1276" spans="1:7">
      <c r="A1276" s="1">
        <v>1634</v>
      </c>
      <c r="B1276" s="1" t="s">
        <v>2906</v>
      </c>
      <c r="C1276" s="1" t="s">
        <v>113</v>
      </c>
      <c r="D1276" s="1">
        <f>COUNTIFS('Raw Entries'!B:B,Table4[[#This Row],[Name]],'Raw Entries'!I:I,Table4[[#This Row],[BOOK No.]])</f>
        <v>0</v>
      </c>
      <c r="E1276" s="1">
        <f t="array" ref="E1276">IF(OR(Table4[[#This Row],[INSTALLMENT]]=1,Table4[[#This Row],[INSTALLMENT]]=2,Table4[[#This Row],[INSTALLMENT]]=3),1,0)</f>
        <v>0</v>
      </c>
      <c r="F1276" s="1">
        <f>IF(OR(Table4[[#This Row],[INSTALLMENT]]=2,Table4[[#This Row],[INSTALLMENT]]=3),2,0)</f>
        <v>0</v>
      </c>
      <c r="G1276" s="1">
        <f>IF(OR(Table4[[#This Row],[INSTALLMENT]]=3),3,0)</f>
        <v>0</v>
      </c>
    </row>
    <row r="1277" spans="1:7">
      <c r="A1277" s="1">
        <v>1635</v>
      </c>
      <c r="B1277" s="1" t="s">
        <v>2907</v>
      </c>
      <c r="C1277" s="1" t="s">
        <v>113</v>
      </c>
      <c r="D1277" s="1">
        <f>COUNTIFS('Raw Entries'!B:B,Table4[[#This Row],[Name]],'Raw Entries'!I:I,Table4[[#This Row],[BOOK No.]])</f>
        <v>0</v>
      </c>
      <c r="E1277" s="1">
        <f t="array" ref="E1277">IF(OR(Table4[[#This Row],[INSTALLMENT]]=1,Table4[[#This Row],[INSTALLMENT]]=2,Table4[[#This Row],[INSTALLMENT]]=3),1,0)</f>
        <v>0</v>
      </c>
      <c r="F1277" s="1">
        <f>IF(OR(Table4[[#This Row],[INSTALLMENT]]=2,Table4[[#This Row],[INSTALLMENT]]=3),2,0)</f>
        <v>0</v>
      </c>
      <c r="G1277" s="1">
        <f>IF(OR(Table4[[#This Row],[INSTALLMENT]]=3),3,0)</f>
        <v>0</v>
      </c>
    </row>
    <row r="1278" spans="1:7">
      <c r="A1278" s="1">
        <v>1636</v>
      </c>
      <c r="B1278" s="1" t="s">
        <v>114</v>
      </c>
      <c r="C1278" s="1" t="s">
        <v>113</v>
      </c>
      <c r="D1278" s="1">
        <f>COUNTIFS('Raw Entries'!B:B,Table4[[#This Row],[Name]],'Raw Entries'!I:I,Table4[[#This Row],[BOOK No.]])</f>
        <v>3</v>
      </c>
      <c r="E1278" s="1">
        <f t="array" ref="E1278">IF(OR(Table4[[#This Row],[INSTALLMENT]]=1,Table4[[#This Row],[INSTALLMENT]]=2,Table4[[#This Row],[INSTALLMENT]]=3),1,0)</f>
        <v>1</v>
      </c>
      <c r="F1278" s="1">
        <f>IF(OR(Table4[[#This Row],[INSTALLMENT]]=2,Table4[[#This Row],[INSTALLMENT]]=3),2,0)</f>
        <v>2</v>
      </c>
      <c r="G1278" s="1">
        <f>IF(OR(Table4[[#This Row],[INSTALLMENT]]=3),3,0)</f>
        <v>3</v>
      </c>
    </row>
    <row r="1279" spans="1:7">
      <c r="A1279" s="1">
        <v>1637</v>
      </c>
      <c r="B1279" s="1" t="s">
        <v>2908</v>
      </c>
      <c r="C1279" s="1" t="s">
        <v>113</v>
      </c>
      <c r="D1279" s="1">
        <f>COUNTIFS('Raw Entries'!B:B,Table4[[#This Row],[Name]],'Raw Entries'!I:I,Table4[[#This Row],[BOOK No.]])</f>
        <v>1</v>
      </c>
      <c r="E1279" s="1">
        <f t="array" ref="E1279">IF(OR(Table4[[#This Row],[INSTALLMENT]]=1,Table4[[#This Row],[INSTALLMENT]]=2,Table4[[#This Row],[INSTALLMENT]]=3),1,0)</f>
        <v>1</v>
      </c>
      <c r="F1279" s="1">
        <f>IF(OR(Table4[[#This Row],[INSTALLMENT]]=2,Table4[[#This Row],[INSTALLMENT]]=3),2,0)</f>
        <v>0</v>
      </c>
      <c r="G1279" s="1">
        <f>IF(OR(Table4[[#This Row],[INSTALLMENT]]=3),3,0)</f>
        <v>0</v>
      </c>
    </row>
    <row r="1280" spans="1:7">
      <c r="A1280" s="1">
        <v>1638</v>
      </c>
      <c r="B1280" s="1" t="s">
        <v>2909</v>
      </c>
      <c r="C1280" s="1" t="s">
        <v>113</v>
      </c>
      <c r="D1280" s="1">
        <f>COUNTIFS('Raw Entries'!B:B,Table4[[#This Row],[Name]],'Raw Entries'!I:I,Table4[[#This Row],[BOOK No.]])</f>
        <v>1</v>
      </c>
      <c r="E1280" s="1">
        <f t="array" ref="E1280">IF(OR(Table4[[#This Row],[INSTALLMENT]]=1,Table4[[#This Row],[INSTALLMENT]]=2,Table4[[#This Row],[INSTALLMENT]]=3),1,0)</f>
        <v>1</v>
      </c>
      <c r="F1280" s="1">
        <f>IF(OR(Table4[[#This Row],[INSTALLMENT]]=2,Table4[[#This Row],[INSTALLMENT]]=3),2,0)</f>
        <v>0</v>
      </c>
      <c r="G1280" s="1">
        <f>IF(OR(Table4[[#This Row],[INSTALLMENT]]=3),3,0)</f>
        <v>0</v>
      </c>
    </row>
    <row r="1281" spans="1:7">
      <c r="A1281" s="1">
        <v>1639</v>
      </c>
      <c r="B1281" s="1" t="s">
        <v>2910</v>
      </c>
      <c r="C1281" s="1" t="s">
        <v>113</v>
      </c>
      <c r="D1281" s="1">
        <f>COUNTIFS('Raw Entries'!B:B,Table4[[#This Row],[Name]],'Raw Entries'!I:I,Table4[[#This Row],[BOOK No.]])</f>
        <v>0</v>
      </c>
      <c r="E1281" s="1">
        <f t="array" ref="E1281">IF(OR(Table4[[#This Row],[INSTALLMENT]]=1,Table4[[#This Row],[INSTALLMENT]]=2,Table4[[#This Row],[INSTALLMENT]]=3),1,0)</f>
        <v>0</v>
      </c>
      <c r="F1281" s="1">
        <f>IF(OR(Table4[[#This Row],[INSTALLMENT]]=2,Table4[[#This Row],[INSTALLMENT]]=3),2,0)</f>
        <v>0</v>
      </c>
      <c r="G1281" s="1">
        <f>IF(OR(Table4[[#This Row],[INSTALLMENT]]=3),3,0)</f>
        <v>0</v>
      </c>
    </row>
    <row r="1282" spans="1:7">
      <c r="A1282" s="1">
        <v>1640</v>
      </c>
      <c r="B1282" s="1" t="s">
        <v>2911</v>
      </c>
      <c r="C1282" s="1" t="s">
        <v>113</v>
      </c>
      <c r="D1282" s="1">
        <f>COUNTIFS('Raw Entries'!B:B,Table4[[#This Row],[Name]],'Raw Entries'!I:I,Table4[[#This Row],[BOOK No.]])</f>
        <v>0</v>
      </c>
      <c r="E1282" s="1">
        <f t="array" ref="E1282">IF(OR(Table4[[#This Row],[INSTALLMENT]]=1,Table4[[#This Row],[INSTALLMENT]]=2,Table4[[#This Row],[INSTALLMENT]]=3),1,0)</f>
        <v>0</v>
      </c>
      <c r="F1282" s="1">
        <f>IF(OR(Table4[[#This Row],[INSTALLMENT]]=2,Table4[[#This Row],[INSTALLMENT]]=3),2,0)</f>
        <v>0</v>
      </c>
      <c r="G1282" s="1">
        <f>IF(OR(Table4[[#This Row],[INSTALLMENT]]=3),3,0)</f>
        <v>0</v>
      </c>
    </row>
    <row r="1283" spans="1:7">
      <c r="A1283" s="1">
        <v>1641</v>
      </c>
      <c r="B1283" s="1" t="s">
        <v>2912</v>
      </c>
      <c r="C1283" s="1" t="s">
        <v>113</v>
      </c>
      <c r="D1283" s="1">
        <f>COUNTIFS('Raw Entries'!B:B,Table4[[#This Row],[Name]],'Raw Entries'!I:I,Table4[[#This Row],[BOOK No.]])</f>
        <v>0</v>
      </c>
      <c r="E1283" s="1">
        <f t="array" ref="E1283">IF(OR(Table4[[#This Row],[INSTALLMENT]]=1,Table4[[#This Row],[INSTALLMENT]]=2,Table4[[#This Row],[INSTALLMENT]]=3),1,0)</f>
        <v>0</v>
      </c>
      <c r="F1283" s="1">
        <f>IF(OR(Table4[[#This Row],[INSTALLMENT]]=2,Table4[[#This Row],[INSTALLMENT]]=3),2,0)</f>
        <v>0</v>
      </c>
      <c r="G1283" s="1">
        <f>IF(OR(Table4[[#This Row],[INSTALLMENT]]=3),3,0)</f>
        <v>0</v>
      </c>
    </row>
    <row r="1284" spans="1:7">
      <c r="A1284" s="1">
        <v>1642</v>
      </c>
      <c r="B1284" s="1" t="s">
        <v>2913</v>
      </c>
      <c r="C1284" s="1" t="s">
        <v>113</v>
      </c>
      <c r="D1284" s="1">
        <f>COUNTIFS('Raw Entries'!B:B,Table4[[#This Row],[Name]],'Raw Entries'!I:I,Table4[[#This Row],[BOOK No.]])</f>
        <v>1</v>
      </c>
      <c r="E1284" s="1">
        <f t="array" ref="E1284">IF(OR(Table4[[#This Row],[INSTALLMENT]]=1,Table4[[#This Row],[INSTALLMENT]]=2,Table4[[#This Row],[INSTALLMENT]]=3),1,0)</f>
        <v>1</v>
      </c>
      <c r="F1284" s="1">
        <f>IF(OR(Table4[[#This Row],[INSTALLMENT]]=2,Table4[[#This Row],[INSTALLMENT]]=3),2,0)</f>
        <v>0</v>
      </c>
      <c r="G1284" s="1">
        <f>IF(OR(Table4[[#This Row],[INSTALLMENT]]=3),3,0)</f>
        <v>0</v>
      </c>
    </row>
    <row r="1285" spans="1:7">
      <c r="A1285" s="1">
        <v>1643</v>
      </c>
      <c r="B1285" s="1" t="s">
        <v>2914</v>
      </c>
      <c r="C1285" s="1" t="s">
        <v>113</v>
      </c>
      <c r="D1285" s="1">
        <f>COUNTIFS('Raw Entries'!B:B,Table4[[#This Row],[Name]],'Raw Entries'!I:I,Table4[[#This Row],[BOOK No.]])</f>
        <v>0</v>
      </c>
      <c r="E1285" s="1">
        <f t="array" ref="E1285">IF(OR(Table4[[#This Row],[INSTALLMENT]]=1,Table4[[#This Row],[INSTALLMENT]]=2,Table4[[#This Row],[INSTALLMENT]]=3),1,0)</f>
        <v>0</v>
      </c>
      <c r="F1285" s="1">
        <f>IF(OR(Table4[[#This Row],[INSTALLMENT]]=2,Table4[[#This Row],[INSTALLMENT]]=3),2,0)</f>
        <v>0</v>
      </c>
      <c r="G1285" s="1">
        <f>IF(OR(Table4[[#This Row],[INSTALLMENT]]=3),3,0)</f>
        <v>0</v>
      </c>
    </row>
    <row r="1286" spans="1:7">
      <c r="A1286" s="1">
        <v>1644</v>
      </c>
      <c r="B1286" s="1" t="s">
        <v>2915</v>
      </c>
      <c r="C1286" s="1" t="s">
        <v>113</v>
      </c>
      <c r="D1286" s="1">
        <f>COUNTIFS('Raw Entries'!B:B,Table4[[#This Row],[Name]],'Raw Entries'!I:I,Table4[[#This Row],[BOOK No.]])</f>
        <v>0</v>
      </c>
      <c r="E1286" s="1">
        <f t="array" ref="E1286">IF(OR(Table4[[#This Row],[INSTALLMENT]]=1,Table4[[#This Row],[INSTALLMENT]]=2,Table4[[#This Row],[INSTALLMENT]]=3),1,0)</f>
        <v>0</v>
      </c>
      <c r="F1286" s="1">
        <f>IF(OR(Table4[[#This Row],[INSTALLMENT]]=2,Table4[[#This Row],[INSTALLMENT]]=3),2,0)</f>
        <v>0</v>
      </c>
      <c r="G1286" s="1">
        <f>IF(OR(Table4[[#This Row],[INSTALLMENT]]=3),3,0)</f>
        <v>0</v>
      </c>
    </row>
    <row r="1287" spans="1:7">
      <c r="A1287" s="1">
        <v>1645</v>
      </c>
      <c r="B1287" s="1" t="s">
        <v>2916</v>
      </c>
      <c r="C1287" s="1" t="s">
        <v>113</v>
      </c>
      <c r="D1287" s="1">
        <f>COUNTIFS('Raw Entries'!B:B,Table4[[#This Row],[Name]],'Raw Entries'!I:I,Table4[[#This Row],[BOOK No.]])</f>
        <v>0</v>
      </c>
      <c r="E1287" s="1">
        <f t="array" ref="E1287">IF(OR(Table4[[#This Row],[INSTALLMENT]]=1,Table4[[#This Row],[INSTALLMENT]]=2,Table4[[#This Row],[INSTALLMENT]]=3),1,0)</f>
        <v>0</v>
      </c>
      <c r="F1287" s="1">
        <f>IF(OR(Table4[[#This Row],[INSTALLMENT]]=2,Table4[[#This Row],[INSTALLMENT]]=3),2,0)</f>
        <v>0</v>
      </c>
      <c r="G1287" s="1">
        <f>IF(OR(Table4[[#This Row],[INSTALLMENT]]=3),3,0)</f>
        <v>0</v>
      </c>
    </row>
    <row r="1288" spans="1:7">
      <c r="A1288" s="1">
        <v>1646</v>
      </c>
      <c r="B1288" s="1" t="s">
        <v>3953</v>
      </c>
      <c r="C1288" s="1" t="s">
        <v>113</v>
      </c>
      <c r="D1288" s="1">
        <f>COUNTIFS('Raw Entries'!B:B,Table4[[#This Row],[Name]],'Raw Entries'!I:I,Table4[[#This Row],[BOOK No.]])</f>
        <v>1</v>
      </c>
      <c r="E1288" s="1">
        <f t="array" ref="E1288">IF(OR(Table4[[#This Row],[INSTALLMENT]]=1,Table4[[#This Row],[INSTALLMENT]]=2,Table4[[#This Row],[INSTALLMENT]]=3),1,0)</f>
        <v>1</v>
      </c>
      <c r="F1288" s="1">
        <f>IF(OR(Table4[[#This Row],[INSTALLMENT]]=2,Table4[[#This Row],[INSTALLMENT]]=3),2,0)</f>
        <v>0</v>
      </c>
      <c r="G1288" s="1">
        <f>IF(OR(Table4[[#This Row],[INSTALLMENT]]=3),3,0)</f>
        <v>0</v>
      </c>
    </row>
    <row r="1289" spans="1:7">
      <c r="A1289" s="1">
        <v>1647</v>
      </c>
      <c r="B1289" s="1" t="s">
        <v>2917</v>
      </c>
      <c r="C1289" s="1" t="s">
        <v>113</v>
      </c>
      <c r="D1289" s="1">
        <f>COUNTIFS('Raw Entries'!B:B,Table4[[#This Row],[Name]],'Raw Entries'!I:I,Table4[[#This Row],[BOOK No.]])</f>
        <v>0</v>
      </c>
      <c r="E1289" s="1">
        <f t="array" ref="E1289">IF(OR(Table4[[#This Row],[INSTALLMENT]]=1,Table4[[#This Row],[INSTALLMENT]]=2,Table4[[#This Row],[INSTALLMENT]]=3),1,0)</f>
        <v>0</v>
      </c>
      <c r="F1289" s="1">
        <f>IF(OR(Table4[[#This Row],[INSTALLMENT]]=2,Table4[[#This Row],[INSTALLMENT]]=3),2,0)</f>
        <v>0</v>
      </c>
      <c r="G1289" s="1">
        <f>IF(OR(Table4[[#This Row],[INSTALLMENT]]=3),3,0)</f>
        <v>0</v>
      </c>
    </row>
    <row r="1290" spans="1:7">
      <c r="A1290" s="1">
        <v>1648</v>
      </c>
      <c r="B1290" s="1" t="s">
        <v>2918</v>
      </c>
      <c r="C1290" s="1" t="s">
        <v>113</v>
      </c>
      <c r="D1290" s="1">
        <f>COUNTIFS('Raw Entries'!B:B,Table4[[#This Row],[Name]],'Raw Entries'!I:I,Table4[[#This Row],[BOOK No.]])</f>
        <v>0</v>
      </c>
      <c r="E1290" s="1">
        <f t="array" ref="E1290">IF(OR(Table4[[#This Row],[INSTALLMENT]]=1,Table4[[#This Row],[INSTALLMENT]]=2,Table4[[#This Row],[INSTALLMENT]]=3),1,0)</f>
        <v>0</v>
      </c>
      <c r="F1290" s="1">
        <f>IF(OR(Table4[[#This Row],[INSTALLMENT]]=2,Table4[[#This Row],[INSTALLMENT]]=3),2,0)</f>
        <v>0</v>
      </c>
      <c r="G1290" s="1">
        <f>IF(OR(Table4[[#This Row],[INSTALLMENT]]=3),3,0)</f>
        <v>0</v>
      </c>
    </row>
    <row r="1291" spans="1:7">
      <c r="A1291" s="1">
        <v>1649</v>
      </c>
      <c r="B1291" s="1" t="s">
        <v>2919</v>
      </c>
      <c r="C1291" s="1" t="s">
        <v>113</v>
      </c>
      <c r="D1291" s="1">
        <f>COUNTIFS('Raw Entries'!B:B,Table4[[#This Row],[Name]],'Raw Entries'!I:I,Table4[[#This Row],[BOOK No.]])</f>
        <v>0</v>
      </c>
      <c r="E1291" s="1">
        <f t="array" ref="E1291">IF(OR(Table4[[#This Row],[INSTALLMENT]]=1,Table4[[#This Row],[INSTALLMENT]]=2,Table4[[#This Row],[INSTALLMENT]]=3),1,0)</f>
        <v>0</v>
      </c>
      <c r="F1291" s="1">
        <f>IF(OR(Table4[[#This Row],[INSTALLMENT]]=2,Table4[[#This Row],[INSTALLMENT]]=3),2,0)</f>
        <v>0</v>
      </c>
      <c r="G1291" s="1">
        <f>IF(OR(Table4[[#This Row],[INSTALLMENT]]=3),3,0)</f>
        <v>0</v>
      </c>
    </row>
    <row r="1292" spans="1:7">
      <c r="A1292" s="1">
        <v>1650</v>
      </c>
      <c r="B1292" s="1" t="s">
        <v>650</v>
      </c>
      <c r="C1292" s="1" t="s">
        <v>113</v>
      </c>
      <c r="D1292" s="1">
        <f>COUNTIFS('Raw Entries'!B:B,Table4[[#This Row],[Name]],'Raw Entries'!I:I,Table4[[#This Row],[BOOK No.]])</f>
        <v>3</v>
      </c>
      <c r="E1292" s="1">
        <f t="array" ref="E1292">IF(OR(Table4[[#This Row],[INSTALLMENT]]=1,Table4[[#This Row],[INSTALLMENT]]=2,Table4[[#This Row],[INSTALLMENT]]=3),1,0)</f>
        <v>1</v>
      </c>
      <c r="F1292" s="1">
        <f>IF(OR(Table4[[#This Row],[INSTALLMENT]]=2,Table4[[#This Row],[INSTALLMENT]]=3),2,0)</f>
        <v>2</v>
      </c>
      <c r="G1292" s="1">
        <f>IF(OR(Table4[[#This Row],[INSTALLMENT]]=3),3,0)</f>
        <v>3</v>
      </c>
    </row>
    <row r="1293" spans="1:7">
      <c r="A1293" s="1">
        <v>1651</v>
      </c>
      <c r="B1293" s="1" t="s">
        <v>2920</v>
      </c>
      <c r="C1293" s="1" t="s">
        <v>113</v>
      </c>
      <c r="D1293" s="1">
        <f>COUNTIFS('Raw Entries'!B:B,Table4[[#This Row],[Name]],'Raw Entries'!I:I,Table4[[#This Row],[BOOK No.]])</f>
        <v>0</v>
      </c>
      <c r="E1293" s="1">
        <f t="array" ref="E1293">IF(OR(Table4[[#This Row],[INSTALLMENT]]=1,Table4[[#This Row],[INSTALLMENT]]=2,Table4[[#This Row],[INSTALLMENT]]=3),1,0)</f>
        <v>0</v>
      </c>
      <c r="F1293" s="1">
        <f>IF(OR(Table4[[#This Row],[INSTALLMENT]]=2,Table4[[#This Row],[INSTALLMENT]]=3),2,0)</f>
        <v>0</v>
      </c>
      <c r="G1293" s="1">
        <f>IF(OR(Table4[[#This Row],[INSTALLMENT]]=3),3,0)</f>
        <v>0</v>
      </c>
    </row>
    <row r="1294" spans="1:7">
      <c r="A1294" s="1">
        <v>1652</v>
      </c>
      <c r="B1294" s="1" t="s">
        <v>2921</v>
      </c>
      <c r="C1294" s="1" t="s">
        <v>113</v>
      </c>
      <c r="D1294" s="1">
        <f>COUNTIFS('Raw Entries'!B:B,Table4[[#This Row],[Name]],'Raw Entries'!I:I,Table4[[#This Row],[BOOK No.]])</f>
        <v>0</v>
      </c>
      <c r="E1294" s="1">
        <f t="array" ref="E1294">IF(OR(Table4[[#This Row],[INSTALLMENT]]=1,Table4[[#This Row],[INSTALLMENT]]=2,Table4[[#This Row],[INSTALLMENT]]=3),1,0)</f>
        <v>0</v>
      </c>
      <c r="F1294" s="1">
        <f>IF(OR(Table4[[#This Row],[INSTALLMENT]]=2,Table4[[#This Row],[INSTALLMENT]]=3),2,0)</f>
        <v>0</v>
      </c>
      <c r="G1294" s="1">
        <f>IF(OR(Table4[[#This Row],[INSTALLMENT]]=3),3,0)</f>
        <v>0</v>
      </c>
    </row>
    <row r="1295" spans="1:7">
      <c r="A1295" s="1">
        <v>1653</v>
      </c>
      <c r="B1295" s="1" t="s">
        <v>600</v>
      </c>
      <c r="C1295" s="1" t="s">
        <v>113</v>
      </c>
      <c r="D1295" s="1">
        <f>COUNTIFS('Raw Entries'!B:B,Table4[[#This Row],[Name]],'Raw Entries'!I:I,Table4[[#This Row],[BOOK No.]])</f>
        <v>1</v>
      </c>
      <c r="E1295" s="1">
        <f t="array" ref="E1295">IF(OR(Table4[[#This Row],[INSTALLMENT]]=1,Table4[[#This Row],[INSTALLMENT]]=2,Table4[[#This Row],[INSTALLMENT]]=3),1,0)</f>
        <v>1</v>
      </c>
      <c r="F1295" s="1">
        <f>IF(OR(Table4[[#This Row],[INSTALLMENT]]=2,Table4[[#This Row],[INSTALLMENT]]=3),2,0)</f>
        <v>0</v>
      </c>
      <c r="G1295" s="1">
        <f>IF(OR(Table4[[#This Row],[INSTALLMENT]]=3),3,0)</f>
        <v>0</v>
      </c>
    </row>
    <row r="1296" spans="1:7">
      <c r="A1296" s="1">
        <v>1654</v>
      </c>
      <c r="B1296" s="1" t="s">
        <v>116</v>
      </c>
      <c r="C1296" s="1" t="s">
        <v>113</v>
      </c>
      <c r="D1296" s="1">
        <f>COUNTIFS('Raw Entries'!B:B,Table4[[#This Row],[Name]],'Raw Entries'!I:I,Table4[[#This Row],[BOOK No.]])</f>
        <v>3</v>
      </c>
      <c r="E1296" s="1">
        <f t="array" ref="E1296">IF(OR(Table4[[#This Row],[INSTALLMENT]]=1,Table4[[#This Row],[INSTALLMENT]]=2,Table4[[#This Row],[INSTALLMENT]]=3),1,0)</f>
        <v>1</v>
      </c>
      <c r="F1296" s="1">
        <f>IF(OR(Table4[[#This Row],[INSTALLMENT]]=2,Table4[[#This Row],[INSTALLMENT]]=3),2,0)</f>
        <v>2</v>
      </c>
      <c r="G1296" s="1">
        <f>IF(OR(Table4[[#This Row],[INSTALLMENT]]=3),3,0)</f>
        <v>3</v>
      </c>
    </row>
    <row r="1297" spans="1:7">
      <c r="A1297" s="1">
        <v>1655</v>
      </c>
      <c r="B1297" s="1" t="s">
        <v>2922</v>
      </c>
      <c r="C1297" s="1" t="s">
        <v>113</v>
      </c>
      <c r="D1297" s="1">
        <f>COUNTIFS('Raw Entries'!B:B,Table4[[#This Row],[Name]],'Raw Entries'!I:I,Table4[[#This Row],[BOOK No.]])</f>
        <v>0</v>
      </c>
      <c r="E1297" s="1">
        <f t="array" ref="E1297">IF(OR(Table4[[#This Row],[INSTALLMENT]]=1,Table4[[#This Row],[INSTALLMENT]]=2,Table4[[#This Row],[INSTALLMENT]]=3),1,0)</f>
        <v>0</v>
      </c>
      <c r="F1297" s="1">
        <f>IF(OR(Table4[[#This Row],[INSTALLMENT]]=2,Table4[[#This Row],[INSTALLMENT]]=3),2,0)</f>
        <v>0</v>
      </c>
      <c r="G1297" s="1">
        <f>IF(OR(Table4[[#This Row],[INSTALLMENT]]=3),3,0)</f>
        <v>0</v>
      </c>
    </row>
    <row r="1298" spans="1:7">
      <c r="A1298" s="1">
        <v>1656</v>
      </c>
      <c r="B1298" s="1" t="s">
        <v>2923</v>
      </c>
      <c r="C1298" s="1" t="s">
        <v>113</v>
      </c>
      <c r="D1298" s="1">
        <f>COUNTIFS('Raw Entries'!B:B,Table4[[#This Row],[Name]],'Raw Entries'!I:I,Table4[[#This Row],[BOOK No.]])</f>
        <v>0</v>
      </c>
      <c r="E1298" s="1">
        <f t="array" ref="E1298">IF(OR(Table4[[#This Row],[INSTALLMENT]]=1,Table4[[#This Row],[INSTALLMENT]]=2,Table4[[#This Row],[INSTALLMENT]]=3),1,0)</f>
        <v>0</v>
      </c>
      <c r="F1298" s="1">
        <f>IF(OR(Table4[[#This Row],[INSTALLMENT]]=2,Table4[[#This Row],[INSTALLMENT]]=3),2,0)</f>
        <v>0</v>
      </c>
      <c r="G1298" s="1">
        <f>IF(OR(Table4[[#This Row],[INSTALLMENT]]=3),3,0)</f>
        <v>0</v>
      </c>
    </row>
    <row r="1299" spans="1:7">
      <c r="A1299" s="1">
        <v>1657</v>
      </c>
      <c r="B1299" s="1" t="s">
        <v>2924</v>
      </c>
      <c r="C1299" s="1" t="s">
        <v>113</v>
      </c>
      <c r="D1299" s="1">
        <f>COUNTIFS('Raw Entries'!B:B,Table4[[#This Row],[Name]],'Raw Entries'!I:I,Table4[[#This Row],[BOOK No.]])</f>
        <v>0</v>
      </c>
      <c r="E1299" s="1">
        <f t="array" ref="E1299">IF(OR(Table4[[#This Row],[INSTALLMENT]]=1,Table4[[#This Row],[INSTALLMENT]]=2,Table4[[#This Row],[INSTALLMENT]]=3),1,0)</f>
        <v>0</v>
      </c>
      <c r="F1299" s="1">
        <f>IF(OR(Table4[[#This Row],[INSTALLMENT]]=2,Table4[[#This Row],[INSTALLMENT]]=3),2,0)</f>
        <v>0</v>
      </c>
      <c r="G1299" s="1">
        <f>IF(OR(Table4[[#This Row],[INSTALLMENT]]=3),3,0)</f>
        <v>0</v>
      </c>
    </row>
    <row r="1300" spans="1:7">
      <c r="A1300" s="1">
        <v>1658</v>
      </c>
      <c r="B1300" s="1" t="s">
        <v>117</v>
      </c>
      <c r="C1300" s="1" t="s">
        <v>113</v>
      </c>
      <c r="D1300" s="1">
        <f>COUNTIFS('Raw Entries'!B:B,Table4[[#This Row],[Name]],'Raw Entries'!I:I,Table4[[#This Row],[BOOK No.]])</f>
        <v>1</v>
      </c>
      <c r="E1300" s="1">
        <f t="array" ref="E1300">IF(OR(Table4[[#This Row],[INSTALLMENT]]=1,Table4[[#This Row],[INSTALLMENT]]=2,Table4[[#This Row],[INSTALLMENT]]=3),1,0)</f>
        <v>1</v>
      </c>
      <c r="F1300" s="1">
        <f>IF(OR(Table4[[#This Row],[INSTALLMENT]]=2,Table4[[#This Row],[INSTALLMENT]]=3),2,0)</f>
        <v>0</v>
      </c>
      <c r="G1300" s="1">
        <f>IF(OR(Table4[[#This Row],[INSTALLMENT]]=3),3,0)</f>
        <v>0</v>
      </c>
    </row>
    <row r="1301" spans="1:7">
      <c r="A1301" s="1">
        <v>1659</v>
      </c>
      <c r="B1301" s="1" t="s">
        <v>2925</v>
      </c>
      <c r="C1301" s="1" t="s">
        <v>113</v>
      </c>
      <c r="D1301" s="1">
        <f>COUNTIFS('Raw Entries'!B:B,Table4[[#This Row],[Name]],'Raw Entries'!I:I,Table4[[#This Row],[BOOK No.]])</f>
        <v>0</v>
      </c>
      <c r="E1301" s="1">
        <f t="array" ref="E1301">IF(OR(Table4[[#This Row],[INSTALLMENT]]=1,Table4[[#This Row],[INSTALLMENT]]=2,Table4[[#This Row],[INSTALLMENT]]=3),1,0)</f>
        <v>0</v>
      </c>
      <c r="F1301" s="1">
        <f>IF(OR(Table4[[#This Row],[INSTALLMENT]]=2,Table4[[#This Row],[INSTALLMENT]]=3),2,0)</f>
        <v>0</v>
      </c>
      <c r="G1301" s="1">
        <f>IF(OR(Table4[[#This Row],[INSTALLMENT]]=3),3,0)</f>
        <v>0</v>
      </c>
    </row>
    <row r="1302" spans="1:7">
      <c r="A1302" s="1">
        <v>1660</v>
      </c>
      <c r="B1302" s="1" t="s">
        <v>2926</v>
      </c>
      <c r="C1302" s="1" t="s">
        <v>113</v>
      </c>
      <c r="D1302" s="1">
        <f>COUNTIFS('Raw Entries'!B:B,Table4[[#This Row],[Name]],'Raw Entries'!I:I,Table4[[#This Row],[BOOK No.]])</f>
        <v>0</v>
      </c>
      <c r="E1302" s="1">
        <f t="array" ref="E1302">IF(OR(Table4[[#This Row],[INSTALLMENT]]=1,Table4[[#This Row],[INSTALLMENT]]=2,Table4[[#This Row],[INSTALLMENT]]=3),1,0)</f>
        <v>0</v>
      </c>
      <c r="F1302" s="1">
        <f>IF(OR(Table4[[#This Row],[INSTALLMENT]]=2,Table4[[#This Row],[INSTALLMENT]]=3),2,0)</f>
        <v>0</v>
      </c>
      <c r="G1302" s="1">
        <f>IF(OR(Table4[[#This Row],[INSTALLMENT]]=3),3,0)</f>
        <v>0</v>
      </c>
    </row>
    <row r="1303" spans="1:7">
      <c r="A1303" s="1">
        <v>1661</v>
      </c>
      <c r="B1303" s="1" t="s">
        <v>2927</v>
      </c>
      <c r="C1303" s="1" t="s">
        <v>113</v>
      </c>
      <c r="D1303" s="1">
        <f>COUNTIFS('Raw Entries'!B:B,Table4[[#This Row],[Name]],'Raw Entries'!I:I,Table4[[#This Row],[BOOK No.]])</f>
        <v>0</v>
      </c>
      <c r="E1303" s="1">
        <f t="array" ref="E1303">IF(OR(Table4[[#This Row],[INSTALLMENT]]=1,Table4[[#This Row],[INSTALLMENT]]=2,Table4[[#This Row],[INSTALLMENT]]=3),1,0)</f>
        <v>0</v>
      </c>
      <c r="F1303" s="1">
        <f>IF(OR(Table4[[#This Row],[INSTALLMENT]]=2,Table4[[#This Row],[INSTALLMENT]]=3),2,0)</f>
        <v>0</v>
      </c>
      <c r="G1303" s="1">
        <f>IF(OR(Table4[[#This Row],[INSTALLMENT]]=3),3,0)</f>
        <v>0</v>
      </c>
    </row>
    <row r="1304" spans="1:7">
      <c r="A1304" s="1">
        <v>1662</v>
      </c>
      <c r="B1304" s="1" t="s">
        <v>115</v>
      </c>
      <c r="C1304" s="1" t="s">
        <v>113</v>
      </c>
      <c r="D1304" s="1">
        <f>COUNTIFS('Raw Entries'!B:B,Table4[[#This Row],[Name]],'Raw Entries'!I:I,Table4[[#This Row],[BOOK No.]])</f>
        <v>2</v>
      </c>
      <c r="E1304" s="1">
        <f t="array" ref="E1304">IF(OR(Table4[[#This Row],[INSTALLMENT]]=1,Table4[[#This Row],[INSTALLMENT]]=2,Table4[[#This Row],[INSTALLMENT]]=3),1,0)</f>
        <v>1</v>
      </c>
      <c r="F1304" s="1">
        <f>IF(OR(Table4[[#This Row],[INSTALLMENT]]=2,Table4[[#This Row],[INSTALLMENT]]=3),2,0)</f>
        <v>2</v>
      </c>
      <c r="G1304" s="1">
        <f>IF(OR(Table4[[#This Row],[INSTALLMENT]]=3),3,0)</f>
        <v>0</v>
      </c>
    </row>
    <row r="1305" spans="1:7">
      <c r="A1305" s="1">
        <v>1663</v>
      </c>
      <c r="B1305" s="1" t="s">
        <v>2928</v>
      </c>
      <c r="C1305" s="1" t="s">
        <v>113</v>
      </c>
      <c r="D1305" s="1">
        <f>COUNTIFS('Raw Entries'!B:B,Table4[[#This Row],[Name]],'Raw Entries'!I:I,Table4[[#This Row],[BOOK No.]])</f>
        <v>0</v>
      </c>
      <c r="E1305" s="1">
        <f t="array" ref="E1305">IF(OR(Table4[[#This Row],[INSTALLMENT]]=1,Table4[[#This Row],[INSTALLMENT]]=2,Table4[[#This Row],[INSTALLMENT]]=3),1,0)</f>
        <v>0</v>
      </c>
      <c r="F1305" s="1">
        <f>IF(OR(Table4[[#This Row],[INSTALLMENT]]=2,Table4[[#This Row],[INSTALLMENT]]=3),2,0)</f>
        <v>0</v>
      </c>
      <c r="G1305" s="1">
        <f>IF(OR(Table4[[#This Row],[INSTALLMENT]]=3),3,0)</f>
        <v>0</v>
      </c>
    </row>
    <row r="1306" spans="1:7">
      <c r="A1306" s="1">
        <v>1664</v>
      </c>
      <c r="B1306" s="1" t="s">
        <v>2929</v>
      </c>
      <c r="C1306" s="1" t="s">
        <v>113</v>
      </c>
      <c r="D1306" s="1">
        <f>COUNTIFS('Raw Entries'!B:B,Table4[[#This Row],[Name]],'Raw Entries'!I:I,Table4[[#This Row],[BOOK No.]])</f>
        <v>0</v>
      </c>
      <c r="E1306" s="1">
        <f t="array" ref="E1306">IF(OR(Table4[[#This Row],[INSTALLMENT]]=1,Table4[[#This Row],[INSTALLMENT]]=2,Table4[[#This Row],[INSTALLMENT]]=3),1,0)</f>
        <v>0</v>
      </c>
      <c r="F1306" s="1">
        <f>IF(OR(Table4[[#This Row],[INSTALLMENT]]=2,Table4[[#This Row],[INSTALLMENT]]=3),2,0)</f>
        <v>0</v>
      </c>
      <c r="G1306" s="1">
        <f>IF(OR(Table4[[#This Row],[INSTALLMENT]]=3),3,0)</f>
        <v>0</v>
      </c>
    </row>
    <row r="1307" spans="1:7">
      <c r="A1307" s="1">
        <v>1665</v>
      </c>
      <c r="B1307" s="1" t="s">
        <v>2930</v>
      </c>
      <c r="C1307" s="1" t="s">
        <v>119</v>
      </c>
      <c r="D1307" s="1">
        <f>COUNTIFS('Raw Entries'!B:B,Table4[[#This Row],[Name]],'Raw Entries'!I:I,Table4[[#This Row],[BOOK No.]])</f>
        <v>0</v>
      </c>
      <c r="E1307" s="1">
        <f t="array" ref="E1307">IF(OR(Table4[[#This Row],[INSTALLMENT]]=1,Table4[[#This Row],[INSTALLMENT]]=2,Table4[[#This Row],[INSTALLMENT]]=3),1,0)</f>
        <v>0</v>
      </c>
      <c r="F1307" s="1">
        <f>IF(OR(Table4[[#This Row],[INSTALLMENT]]=2,Table4[[#This Row],[INSTALLMENT]]=3),2,0)</f>
        <v>0</v>
      </c>
      <c r="G1307" s="1">
        <f>IF(OR(Table4[[#This Row],[INSTALLMENT]]=3),3,0)</f>
        <v>0</v>
      </c>
    </row>
    <row r="1308" spans="1:7">
      <c r="A1308" s="1">
        <v>1666</v>
      </c>
      <c r="B1308" s="1" t="s">
        <v>271</v>
      </c>
      <c r="C1308" s="1" t="s">
        <v>119</v>
      </c>
      <c r="D1308" s="1">
        <f>COUNTIFS('Raw Entries'!B:B,Table4[[#This Row],[Name]],'Raw Entries'!I:I,Table4[[#This Row],[BOOK No.]])</f>
        <v>3</v>
      </c>
      <c r="E1308" s="1">
        <f t="array" ref="E1308">IF(OR(Table4[[#This Row],[INSTALLMENT]]=1,Table4[[#This Row],[INSTALLMENT]]=2,Table4[[#This Row],[INSTALLMENT]]=3),1,0)</f>
        <v>1</v>
      </c>
      <c r="F1308" s="1">
        <f>IF(OR(Table4[[#This Row],[INSTALLMENT]]=2,Table4[[#This Row],[INSTALLMENT]]=3),2,0)</f>
        <v>2</v>
      </c>
      <c r="G1308" s="1">
        <f>IF(OR(Table4[[#This Row],[INSTALLMENT]]=3),3,0)</f>
        <v>3</v>
      </c>
    </row>
    <row r="1309" spans="1:7">
      <c r="A1309" s="1">
        <v>1667</v>
      </c>
      <c r="B1309" s="1" t="s">
        <v>2931</v>
      </c>
      <c r="C1309" s="1" t="s">
        <v>119</v>
      </c>
      <c r="D1309" s="1">
        <f>COUNTIFS('Raw Entries'!B:B,Table4[[#This Row],[Name]],'Raw Entries'!I:I,Table4[[#This Row],[BOOK No.]])</f>
        <v>0</v>
      </c>
      <c r="E1309" s="1">
        <f t="array" ref="E1309">IF(OR(Table4[[#This Row],[INSTALLMENT]]=1,Table4[[#This Row],[INSTALLMENT]]=2,Table4[[#This Row],[INSTALLMENT]]=3),1,0)</f>
        <v>0</v>
      </c>
      <c r="F1309" s="1">
        <f>IF(OR(Table4[[#This Row],[INSTALLMENT]]=2,Table4[[#This Row],[INSTALLMENT]]=3),2,0)</f>
        <v>0</v>
      </c>
      <c r="G1309" s="1">
        <f>IF(OR(Table4[[#This Row],[INSTALLMENT]]=3),3,0)</f>
        <v>0</v>
      </c>
    </row>
    <row r="1310" spans="1:7">
      <c r="A1310" s="1">
        <v>1668</v>
      </c>
      <c r="B1310" s="1" t="s">
        <v>2932</v>
      </c>
      <c r="C1310" s="1" t="s">
        <v>119</v>
      </c>
      <c r="D1310" s="1">
        <f>COUNTIFS('Raw Entries'!B:B,Table4[[#This Row],[Name]],'Raw Entries'!I:I,Table4[[#This Row],[BOOK No.]])</f>
        <v>0</v>
      </c>
      <c r="E1310" s="1">
        <f t="array" ref="E1310">IF(OR(Table4[[#This Row],[INSTALLMENT]]=1,Table4[[#This Row],[INSTALLMENT]]=2,Table4[[#This Row],[INSTALLMENT]]=3),1,0)</f>
        <v>0</v>
      </c>
      <c r="F1310" s="1">
        <f>IF(OR(Table4[[#This Row],[INSTALLMENT]]=2,Table4[[#This Row],[INSTALLMENT]]=3),2,0)</f>
        <v>0</v>
      </c>
      <c r="G1310" s="1">
        <f>IF(OR(Table4[[#This Row],[INSTALLMENT]]=3),3,0)</f>
        <v>0</v>
      </c>
    </row>
    <row r="1311" spans="1:7">
      <c r="A1311" s="1">
        <v>1669</v>
      </c>
      <c r="B1311" s="1" t="s">
        <v>2933</v>
      </c>
      <c r="C1311" s="1" t="s">
        <v>119</v>
      </c>
      <c r="D1311" s="1">
        <f>COUNTIFS('Raw Entries'!B:B,Table4[[#This Row],[Name]],'Raw Entries'!I:I,Table4[[#This Row],[BOOK No.]])</f>
        <v>0</v>
      </c>
      <c r="E1311" s="1">
        <f t="array" ref="E1311">IF(OR(Table4[[#This Row],[INSTALLMENT]]=1,Table4[[#This Row],[INSTALLMENT]]=2,Table4[[#This Row],[INSTALLMENT]]=3),1,0)</f>
        <v>0</v>
      </c>
      <c r="F1311" s="1">
        <f>IF(OR(Table4[[#This Row],[INSTALLMENT]]=2,Table4[[#This Row],[INSTALLMENT]]=3),2,0)</f>
        <v>0</v>
      </c>
      <c r="G1311" s="1">
        <f>IF(OR(Table4[[#This Row],[INSTALLMENT]]=3),3,0)</f>
        <v>0</v>
      </c>
    </row>
    <row r="1312" spans="1:7">
      <c r="A1312" s="1">
        <v>1670</v>
      </c>
      <c r="B1312" s="1" t="s">
        <v>2934</v>
      </c>
      <c r="C1312" s="1" t="s">
        <v>119</v>
      </c>
      <c r="D1312" s="1">
        <f>COUNTIFS('Raw Entries'!B:B,Table4[[#This Row],[Name]],'Raw Entries'!I:I,Table4[[#This Row],[BOOK No.]])</f>
        <v>0</v>
      </c>
      <c r="E1312" s="1">
        <f t="array" ref="E1312">IF(OR(Table4[[#This Row],[INSTALLMENT]]=1,Table4[[#This Row],[INSTALLMENT]]=2,Table4[[#This Row],[INSTALLMENT]]=3),1,0)</f>
        <v>0</v>
      </c>
      <c r="F1312" s="1">
        <f>IF(OR(Table4[[#This Row],[INSTALLMENT]]=2,Table4[[#This Row],[INSTALLMENT]]=3),2,0)</f>
        <v>0</v>
      </c>
      <c r="G1312" s="1">
        <f>IF(OR(Table4[[#This Row],[INSTALLMENT]]=3),3,0)</f>
        <v>0</v>
      </c>
    </row>
    <row r="1313" spans="1:7">
      <c r="A1313" s="1">
        <v>1671</v>
      </c>
      <c r="B1313" s="1" t="s">
        <v>123</v>
      </c>
      <c r="C1313" s="1" t="s">
        <v>119</v>
      </c>
      <c r="D1313" s="1">
        <f>COUNTIFS('Raw Entries'!B:B,Table4[[#This Row],[Name]],'Raw Entries'!I:I,Table4[[#This Row],[BOOK No.]])</f>
        <v>1</v>
      </c>
      <c r="E1313" s="1">
        <f t="array" ref="E1313">IF(OR(Table4[[#This Row],[INSTALLMENT]]=1,Table4[[#This Row],[INSTALLMENT]]=2,Table4[[#This Row],[INSTALLMENT]]=3),1,0)</f>
        <v>1</v>
      </c>
      <c r="F1313" s="1">
        <f>IF(OR(Table4[[#This Row],[INSTALLMENT]]=2,Table4[[#This Row],[INSTALLMENT]]=3),2,0)</f>
        <v>0</v>
      </c>
      <c r="G1313" s="1">
        <f>IF(OR(Table4[[#This Row],[INSTALLMENT]]=3),3,0)</f>
        <v>0</v>
      </c>
    </row>
    <row r="1314" spans="1:7">
      <c r="A1314" s="1">
        <v>1672</v>
      </c>
      <c r="B1314" s="1" t="s">
        <v>127</v>
      </c>
      <c r="C1314" s="1" t="s">
        <v>119</v>
      </c>
      <c r="D1314" s="1">
        <f>COUNTIFS('Raw Entries'!B:B,Table4[[#This Row],[Name]],'Raw Entries'!I:I,Table4[[#This Row],[BOOK No.]])</f>
        <v>2</v>
      </c>
      <c r="E1314" s="1">
        <f t="array" ref="E1314">IF(OR(Table4[[#This Row],[INSTALLMENT]]=1,Table4[[#This Row],[INSTALLMENT]]=2,Table4[[#This Row],[INSTALLMENT]]=3),1,0)</f>
        <v>1</v>
      </c>
      <c r="F1314" s="1">
        <f>IF(OR(Table4[[#This Row],[INSTALLMENT]]=2,Table4[[#This Row],[INSTALLMENT]]=3),2,0)</f>
        <v>2</v>
      </c>
      <c r="G1314" s="1">
        <f>IF(OR(Table4[[#This Row],[INSTALLMENT]]=3),3,0)</f>
        <v>0</v>
      </c>
    </row>
    <row r="1315" spans="1:7">
      <c r="A1315" s="1">
        <v>1673</v>
      </c>
      <c r="B1315" s="1" t="s">
        <v>121</v>
      </c>
      <c r="C1315" s="1" t="s">
        <v>119</v>
      </c>
      <c r="D1315" s="1">
        <f>COUNTIFS('Raw Entries'!B:B,Table4[[#This Row],[Name]],'Raw Entries'!I:I,Table4[[#This Row],[BOOK No.]])</f>
        <v>3</v>
      </c>
      <c r="E1315" s="1">
        <f t="array" ref="E1315">IF(OR(Table4[[#This Row],[INSTALLMENT]]=1,Table4[[#This Row],[INSTALLMENT]]=2,Table4[[#This Row],[INSTALLMENT]]=3),1,0)</f>
        <v>1</v>
      </c>
      <c r="F1315" s="1">
        <f>IF(OR(Table4[[#This Row],[INSTALLMENT]]=2,Table4[[#This Row],[INSTALLMENT]]=3),2,0)</f>
        <v>2</v>
      </c>
      <c r="G1315" s="1">
        <f>IF(OR(Table4[[#This Row],[INSTALLMENT]]=3),3,0)</f>
        <v>3</v>
      </c>
    </row>
    <row r="1316" spans="1:7">
      <c r="A1316" s="1">
        <v>1674</v>
      </c>
      <c r="B1316" s="1" t="s">
        <v>2935</v>
      </c>
      <c r="C1316" s="1" t="s">
        <v>119</v>
      </c>
      <c r="D1316" s="1">
        <f>COUNTIFS('Raw Entries'!B:B,Table4[[#This Row],[Name]],'Raw Entries'!I:I,Table4[[#This Row],[BOOK No.]])</f>
        <v>0</v>
      </c>
      <c r="E1316" s="1">
        <f t="array" ref="E1316">IF(OR(Table4[[#This Row],[INSTALLMENT]]=1,Table4[[#This Row],[INSTALLMENT]]=2,Table4[[#This Row],[INSTALLMENT]]=3),1,0)</f>
        <v>0</v>
      </c>
      <c r="F1316" s="1">
        <f>IF(OR(Table4[[#This Row],[INSTALLMENT]]=2,Table4[[#This Row],[INSTALLMENT]]=3),2,0)</f>
        <v>0</v>
      </c>
      <c r="G1316" s="1">
        <f>IF(OR(Table4[[#This Row],[INSTALLMENT]]=3),3,0)</f>
        <v>0</v>
      </c>
    </row>
    <row r="1317" spans="1:7">
      <c r="A1317" s="1">
        <v>1675</v>
      </c>
      <c r="B1317" s="1" t="s">
        <v>2936</v>
      </c>
      <c r="C1317" s="1" t="s">
        <v>119</v>
      </c>
      <c r="D1317" s="1">
        <f>COUNTIFS('Raw Entries'!B:B,Table4[[#This Row],[Name]],'Raw Entries'!I:I,Table4[[#This Row],[BOOK No.]])</f>
        <v>0</v>
      </c>
      <c r="E1317" s="1">
        <f t="array" ref="E1317">IF(OR(Table4[[#This Row],[INSTALLMENT]]=1,Table4[[#This Row],[INSTALLMENT]]=2,Table4[[#This Row],[INSTALLMENT]]=3),1,0)</f>
        <v>0</v>
      </c>
      <c r="F1317" s="1">
        <f>IF(OR(Table4[[#This Row],[INSTALLMENT]]=2,Table4[[#This Row],[INSTALLMENT]]=3),2,0)</f>
        <v>0</v>
      </c>
      <c r="G1317" s="1">
        <f>IF(OR(Table4[[#This Row],[INSTALLMENT]]=3),3,0)</f>
        <v>0</v>
      </c>
    </row>
    <row r="1318" spans="1:7">
      <c r="A1318" s="1">
        <v>1676</v>
      </c>
      <c r="B1318" s="1" t="s">
        <v>2937</v>
      </c>
      <c r="C1318" s="1" t="s">
        <v>119</v>
      </c>
      <c r="D1318" s="1">
        <f>COUNTIFS('Raw Entries'!B:B,Table4[[#This Row],[Name]],'Raw Entries'!I:I,Table4[[#This Row],[BOOK No.]])</f>
        <v>0</v>
      </c>
      <c r="E1318" s="1">
        <f t="array" ref="E1318">IF(OR(Table4[[#This Row],[INSTALLMENT]]=1,Table4[[#This Row],[INSTALLMENT]]=2,Table4[[#This Row],[INSTALLMENT]]=3),1,0)</f>
        <v>0</v>
      </c>
      <c r="F1318" s="1">
        <f>IF(OR(Table4[[#This Row],[INSTALLMENT]]=2,Table4[[#This Row],[INSTALLMENT]]=3),2,0)</f>
        <v>0</v>
      </c>
      <c r="G1318" s="1">
        <f>IF(OR(Table4[[#This Row],[INSTALLMENT]]=3),3,0)</f>
        <v>0</v>
      </c>
    </row>
    <row r="1319" spans="1:7">
      <c r="A1319" s="1">
        <v>1677</v>
      </c>
      <c r="B1319" s="1" t="s">
        <v>2724</v>
      </c>
      <c r="C1319" s="1" t="s">
        <v>119</v>
      </c>
      <c r="D1319" s="1">
        <f>COUNTIFS('Raw Entries'!B:B,Table4[[#This Row],[Name]],'Raw Entries'!I:I,Table4[[#This Row],[BOOK No.]])</f>
        <v>0</v>
      </c>
      <c r="E1319" s="1">
        <f t="array" ref="E1319">IF(OR(Table4[[#This Row],[INSTALLMENT]]=1,Table4[[#This Row],[INSTALLMENT]]=2,Table4[[#This Row],[INSTALLMENT]]=3),1,0)</f>
        <v>0</v>
      </c>
      <c r="F1319" s="1">
        <f>IF(OR(Table4[[#This Row],[INSTALLMENT]]=2,Table4[[#This Row],[INSTALLMENT]]=3),2,0)</f>
        <v>0</v>
      </c>
      <c r="G1319" s="1">
        <f>IF(OR(Table4[[#This Row],[INSTALLMENT]]=3),3,0)</f>
        <v>0</v>
      </c>
    </row>
    <row r="1320" spans="1:7">
      <c r="A1320" s="1">
        <v>1678</v>
      </c>
      <c r="B1320" s="1" t="s">
        <v>126</v>
      </c>
      <c r="C1320" s="1" t="s">
        <v>119</v>
      </c>
      <c r="D1320" s="1">
        <f>COUNTIFS('Raw Entries'!B:B,Table4[[#This Row],[Name]],'Raw Entries'!I:I,Table4[[#This Row],[BOOK No.]])</f>
        <v>1</v>
      </c>
      <c r="E1320" s="1">
        <f t="array" ref="E1320">IF(OR(Table4[[#This Row],[INSTALLMENT]]=1,Table4[[#This Row],[INSTALLMENT]]=2,Table4[[#This Row],[INSTALLMENT]]=3),1,0)</f>
        <v>1</v>
      </c>
      <c r="F1320" s="1">
        <f>IF(OR(Table4[[#This Row],[INSTALLMENT]]=2,Table4[[#This Row],[INSTALLMENT]]=3),2,0)</f>
        <v>0</v>
      </c>
      <c r="G1320" s="1">
        <f>IF(OR(Table4[[#This Row],[INSTALLMENT]]=3),3,0)</f>
        <v>0</v>
      </c>
    </row>
    <row r="1321" spans="1:7">
      <c r="A1321" s="1">
        <v>1679</v>
      </c>
      <c r="B1321" s="1" t="s">
        <v>120</v>
      </c>
      <c r="C1321" s="1" t="s">
        <v>119</v>
      </c>
      <c r="D1321" s="1">
        <f>COUNTIFS('Raw Entries'!B:B,Table4[[#This Row],[Name]],'Raw Entries'!I:I,Table4[[#This Row],[BOOK No.]])</f>
        <v>1</v>
      </c>
      <c r="E1321" s="1">
        <f t="array" ref="E1321">IF(OR(Table4[[#This Row],[INSTALLMENT]]=1,Table4[[#This Row],[INSTALLMENT]]=2,Table4[[#This Row],[INSTALLMENT]]=3),1,0)</f>
        <v>1</v>
      </c>
      <c r="F1321" s="1">
        <f>IF(OR(Table4[[#This Row],[INSTALLMENT]]=2,Table4[[#This Row],[INSTALLMENT]]=3),2,0)</f>
        <v>0</v>
      </c>
      <c r="G1321" s="1">
        <f>IF(OR(Table4[[#This Row],[INSTALLMENT]]=3),3,0)</f>
        <v>0</v>
      </c>
    </row>
    <row r="1322" spans="1:7">
      <c r="A1322" s="1">
        <v>1680</v>
      </c>
      <c r="B1322" s="1" t="s">
        <v>2938</v>
      </c>
      <c r="C1322" s="1" t="s">
        <v>119</v>
      </c>
      <c r="D1322" s="1">
        <f>COUNTIFS('Raw Entries'!B:B,Table4[[#This Row],[Name]],'Raw Entries'!I:I,Table4[[#This Row],[BOOK No.]])</f>
        <v>0</v>
      </c>
      <c r="E1322" s="1">
        <f t="array" ref="E1322">IF(OR(Table4[[#This Row],[INSTALLMENT]]=1,Table4[[#This Row],[INSTALLMENT]]=2,Table4[[#This Row],[INSTALLMENT]]=3),1,0)</f>
        <v>0</v>
      </c>
      <c r="F1322" s="1">
        <f>IF(OR(Table4[[#This Row],[INSTALLMENT]]=2,Table4[[#This Row],[INSTALLMENT]]=3),2,0)</f>
        <v>0</v>
      </c>
      <c r="G1322" s="1">
        <f>IF(OR(Table4[[#This Row],[INSTALLMENT]]=3),3,0)</f>
        <v>0</v>
      </c>
    </row>
    <row r="1323" spans="1:7">
      <c r="A1323" s="1">
        <v>1681</v>
      </c>
      <c r="B1323" s="1" t="s">
        <v>2939</v>
      </c>
      <c r="C1323" s="1" t="s">
        <v>119</v>
      </c>
      <c r="D1323" s="1">
        <f>COUNTIFS('Raw Entries'!B:B,Table4[[#This Row],[Name]],'Raw Entries'!I:I,Table4[[#This Row],[BOOK No.]])</f>
        <v>0</v>
      </c>
      <c r="E1323" s="1">
        <f t="array" ref="E1323">IF(OR(Table4[[#This Row],[INSTALLMENT]]=1,Table4[[#This Row],[INSTALLMENT]]=2,Table4[[#This Row],[INSTALLMENT]]=3),1,0)</f>
        <v>0</v>
      </c>
      <c r="F1323" s="1">
        <f>IF(OR(Table4[[#This Row],[INSTALLMENT]]=2,Table4[[#This Row],[INSTALLMENT]]=3),2,0)</f>
        <v>0</v>
      </c>
      <c r="G1323" s="1">
        <f>IF(OR(Table4[[#This Row],[INSTALLMENT]]=3),3,0)</f>
        <v>0</v>
      </c>
    </row>
    <row r="1324" spans="1:7">
      <c r="A1324" s="1">
        <v>1682</v>
      </c>
      <c r="B1324" s="1" t="s">
        <v>2940</v>
      </c>
      <c r="C1324" s="1" t="s">
        <v>119</v>
      </c>
      <c r="D1324" s="1">
        <f>COUNTIFS('Raw Entries'!B:B,Table4[[#This Row],[Name]],'Raw Entries'!I:I,Table4[[#This Row],[BOOK No.]])</f>
        <v>0</v>
      </c>
      <c r="E1324" s="1">
        <f t="array" ref="E1324">IF(OR(Table4[[#This Row],[INSTALLMENT]]=1,Table4[[#This Row],[INSTALLMENT]]=2,Table4[[#This Row],[INSTALLMENT]]=3),1,0)</f>
        <v>0</v>
      </c>
      <c r="F1324" s="1">
        <f>IF(OR(Table4[[#This Row],[INSTALLMENT]]=2,Table4[[#This Row],[INSTALLMENT]]=3),2,0)</f>
        <v>0</v>
      </c>
      <c r="G1324" s="1">
        <f>IF(OR(Table4[[#This Row],[INSTALLMENT]]=3),3,0)</f>
        <v>0</v>
      </c>
    </row>
    <row r="1325" spans="1:7">
      <c r="A1325" s="1">
        <v>1683</v>
      </c>
      <c r="B1325" s="1" t="s">
        <v>639</v>
      </c>
      <c r="C1325" s="1" t="s">
        <v>119</v>
      </c>
      <c r="D1325" s="1">
        <f>COUNTIFS('Raw Entries'!B:B,Table4[[#This Row],[Name]],'Raw Entries'!I:I,Table4[[#This Row],[BOOK No.]])</f>
        <v>3</v>
      </c>
      <c r="E1325" s="1">
        <f t="array" ref="E1325">IF(OR(Table4[[#This Row],[INSTALLMENT]]=1,Table4[[#This Row],[INSTALLMENT]]=2,Table4[[#This Row],[INSTALLMENT]]=3),1,0)</f>
        <v>1</v>
      </c>
      <c r="F1325" s="1">
        <f>IF(OR(Table4[[#This Row],[INSTALLMENT]]=2,Table4[[#This Row],[INSTALLMENT]]=3),2,0)</f>
        <v>2</v>
      </c>
      <c r="G1325" s="1">
        <f>IF(OR(Table4[[#This Row],[INSTALLMENT]]=3),3,0)</f>
        <v>3</v>
      </c>
    </row>
    <row r="1326" spans="1:7">
      <c r="A1326" s="1">
        <v>1684</v>
      </c>
      <c r="B1326" s="1" t="s">
        <v>2869</v>
      </c>
      <c r="C1326" s="1" t="s">
        <v>119</v>
      </c>
      <c r="D1326" s="1">
        <f>COUNTIFS('Raw Entries'!B:B,Table4[[#This Row],[Name]],'Raw Entries'!I:I,Table4[[#This Row],[BOOK No.]])</f>
        <v>0</v>
      </c>
      <c r="E1326" s="1">
        <f t="array" ref="E1326">IF(OR(Table4[[#This Row],[INSTALLMENT]]=1,Table4[[#This Row],[INSTALLMENT]]=2,Table4[[#This Row],[INSTALLMENT]]=3),1,0)</f>
        <v>0</v>
      </c>
      <c r="F1326" s="1">
        <f>IF(OR(Table4[[#This Row],[INSTALLMENT]]=2,Table4[[#This Row],[INSTALLMENT]]=3),2,0)</f>
        <v>0</v>
      </c>
      <c r="G1326" s="1">
        <f>IF(OR(Table4[[#This Row],[INSTALLMENT]]=3),3,0)</f>
        <v>0</v>
      </c>
    </row>
    <row r="1327" spans="1:7">
      <c r="A1327" s="1">
        <v>1685</v>
      </c>
      <c r="B1327" s="1" t="s">
        <v>2941</v>
      </c>
      <c r="C1327" s="1" t="s">
        <v>119</v>
      </c>
      <c r="D1327" s="1">
        <f>COUNTIFS('Raw Entries'!B:B,Table4[[#This Row],[Name]],'Raw Entries'!I:I,Table4[[#This Row],[BOOK No.]])</f>
        <v>0</v>
      </c>
      <c r="E1327" s="1">
        <f t="array" ref="E1327">IF(OR(Table4[[#This Row],[INSTALLMENT]]=1,Table4[[#This Row],[INSTALLMENT]]=2,Table4[[#This Row],[INSTALLMENT]]=3),1,0)</f>
        <v>0</v>
      </c>
      <c r="F1327" s="1">
        <f>IF(OR(Table4[[#This Row],[INSTALLMENT]]=2,Table4[[#This Row],[INSTALLMENT]]=3),2,0)</f>
        <v>0</v>
      </c>
      <c r="G1327" s="1">
        <f>IF(OR(Table4[[#This Row],[INSTALLMENT]]=3),3,0)</f>
        <v>0</v>
      </c>
    </row>
    <row r="1328" spans="1:7">
      <c r="A1328" s="1">
        <v>1686</v>
      </c>
      <c r="B1328" s="1" t="s">
        <v>2942</v>
      </c>
      <c r="C1328" s="1" t="s">
        <v>119</v>
      </c>
      <c r="D1328" s="1">
        <f>COUNTIFS('Raw Entries'!B:B,Table4[[#This Row],[Name]],'Raw Entries'!I:I,Table4[[#This Row],[BOOK No.]])</f>
        <v>0</v>
      </c>
      <c r="E1328" s="1">
        <f t="array" ref="E1328">IF(OR(Table4[[#This Row],[INSTALLMENT]]=1,Table4[[#This Row],[INSTALLMENT]]=2,Table4[[#This Row],[INSTALLMENT]]=3),1,0)</f>
        <v>0</v>
      </c>
      <c r="F1328" s="1">
        <f>IF(OR(Table4[[#This Row],[INSTALLMENT]]=2,Table4[[#This Row],[INSTALLMENT]]=3),2,0)</f>
        <v>0</v>
      </c>
      <c r="G1328" s="1">
        <f>IF(OR(Table4[[#This Row],[INSTALLMENT]]=3),3,0)</f>
        <v>0</v>
      </c>
    </row>
    <row r="1329" spans="1:7">
      <c r="A1329" s="1">
        <v>1687</v>
      </c>
      <c r="B1329" s="1" t="s">
        <v>124</v>
      </c>
      <c r="C1329" s="1" t="s">
        <v>119</v>
      </c>
      <c r="D1329" s="1">
        <f>COUNTIFS('Raw Entries'!B:B,Table4[[#This Row],[Name]],'Raw Entries'!I:I,Table4[[#This Row],[BOOK No.]])</f>
        <v>3</v>
      </c>
      <c r="E1329" s="1">
        <f t="array" ref="E1329">IF(OR(Table4[[#This Row],[INSTALLMENT]]=1,Table4[[#This Row],[INSTALLMENT]]=2,Table4[[#This Row],[INSTALLMENT]]=3),1,0)</f>
        <v>1</v>
      </c>
      <c r="F1329" s="1">
        <f>IF(OR(Table4[[#This Row],[INSTALLMENT]]=2,Table4[[#This Row],[INSTALLMENT]]=3),2,0)</f>
        <v>2</v>
      </c>
      <c r="G1329" s="1">
        <f>IF(OR(Table4[[#This Row],[INSTALLMENT]]=3),3,0)</f>
        <v>3</v>
      </c>
    </row>
    <row r="1330" spans="1:7">
      <c r="A1330" s="1">
        <v>1688</v>
      </c>
      <c r="B1330" s="1" t="s">
        <v>2943</v>
      </c>
      <c r="C1330" s="1" t="s">
        <v>119</v>
      </c>
      <c r="D1330" s="1">
        <f>COUNTIFS('Raw Entries'!B:B,Table4[[#This Row],[Name]],'Raw Entries'!I:I,Table4[[#This Row],[BOOK No.]])</f>
        <v>0</v>
      </c>
      <c r="E1330" s="1">
        <f t="array" ref="E1330">IF(OR(Table4[[#This Row],[INSTALLMENT]]=1,Table4[[#This Row],[INSTALLMENT]]=2,Table4[[#This Row],[INSTALLMENT]]=3),1,0)</f>
        <v>0</v>
      </c>
      <c r="F1330" s="1">
        <f>IF(OR(Table4[[#This Row],[INSTALLMENT]]=2,Table4[[#This Row],[INSTALLMENT]]=3),2,0)</f>
        <v>0</v>
      </c>
      <c r="G1330" s="1">
        <f>IF(OR(Table4[[#This Row],[INSTALLMENT]]=3),3,0)</f>
        <v>0</v>
      </c>
    </row>
    <row r="1331" spans="1:7">
      <c r="A1331" s="1">
        <v>1689</v>
      </c>
      <c r="B1331" s="1" t="s">
        <v>125</v>
      </c>
      <c r="C1331" s="1" t="s">
        <v>119</v>
      </c>
      <c r="D1331" s="1">
        <f>COUNTIFS('Raw Entries'!B:B,Table4[[#This Row],[Name]],'Raw Entries'!I:I,Table4[[#This Row],[BOOK No.]])</f>
        <v>2</v>
      </c>
      <c r="E1331" s="1">
        <f t="array" ref="E1331">IF(OR(Table4[[#This Row],[INSTALLMENT]]=1,Table4[[#This Row],[INSTALLMENT]]=2,Table4[[#This Row],[INSTALLMENT]]=3),1,0)</f>
        <v>1</v>
      </c>
      <c r="F1331" s="1">
        <f>IF(OR(Table4[[#This Row],[INSTALLMENT]]=2,Table4[[#This Row],[INSTALLMENT]]=3),2,0)</f>
        <v>2</v>
      </c>
      <c r="G1331" s="1">
        <f>IF(OR(Table4[[#This Row],[INSTALLMENT]]=3),3,0)</f>
        <v>0</v>
      </c>
    </row>
    <row r="1332" spans="1:7">
      <c r="A1332" s="1">
        <v>1690</v>
      </c>
      <c r="B1332" s="1" t="s">
        <v>2944</v>
      </c>
      <c r="C1332" s="1" t="s">
        <v>119</v>
      </c>
      <c r="D1332" s="1">
        <f>COUNTIFS('Raw Entries'!B:B,Table4[[#This Row],[Name]],'Raw Entries'!I:I,Table4[[#This Row],[BOOK No.]])</f>
        <v>0</v>
      </c>
      <c r="E1332" s="1">
        <f t="array" ref="E1332">IF(OR(Table4[[#This Row],[INSTALLMENT]]=1,Table4[[#This Row],[INSTALLMENT]]=2,Table4[[#This Row],[INSTALLMENT]]=3),1,0)</f>
        <v>0</v>
      </c>
      <c r="F1332" s="1">
        <f>IF(OR(Table4[[#This Row],[INSTALLMENT]]=2,Table4[[#This Row],[INSTALLMENT]]=3),2,0)</f>
        <v>0</v>
      </c>
      <c r="G1332" s="1">
        <f>IF(OR(Table4[[#This Row],[INSTALLMENT]]=3),3,0)</f>
        <v>0</v>
      </c>
    </row>
    <row r="1333" spans="1:7">
      <c r="A1333" s="1">
        <v>1691</v>
      </c>
      <c r="B1333" s="1" t="s">
        <v>122</v>
      </c>
      <c r="C1333" s="1" t="s">
        <v>119</v>
      </c>
      <c r="D1333" s="1">
        <f>COUNTIFS('Raw Entries'!B:B,Table4[[#This Row],[Name]],'Raw Entries'!I:I,Table4[[#This Row],[BOOK No.]])</f>
        <v>2</v>
      </c>
      <c r="E1333" s="1">
        <f t="array" ref="E1333">IF(OR(Table4[[#This Row],[INSTALLMENT]]=1,Table4[[#This Row],[INSTALLMENT]]=2,Table4[[#This Row],[INSTALLMENT]]=3),1,0)</f>
        <v>1</v>
      </c>
      <c r="F1333" s="1">
        <f>IF(OR(Table4[[#This Row],[INSTALLMENT]]=2,Table4[[#This Row],[INSTALLMENT]]=3),2,0)</f>
        <v>2</v>
      </c>
      <c r="G1333" s="1">
        <f>IF(OR(Table4[[#This Row],[INSTALLMENT]]=3),3,0)</f>
        <v>0</v>
      </c>
    </row>
    <row r="1334" spans="1:7">
      <c r="A1334" s="1">
        <v>1692</v>
      </c>
      <c r="B1334" s="1" t="s">
        <v>2945</v>
      </c>
      <c r="C1334" s="1" t="s">
        <v>119</v>
      </c>
      <c r="D1334" s="1">
        <f>COUNTIFS('Raw Entries'!B:B,Table4[[#This Row],[Name]],'Raw Entries'!I:I,Table4[[#This Row],[BOOK No.]])</f>
        <v>0</v>
      </c>
      <c r="E1334" s="1">
        <f t="array" ref="E1334">IF(OR(Table4[[#This Row],[INSTALLMENT]]=1,Table4[[#This Row],[INSTALLMENT]]=2,Table4[[#This Row],[INSTALLMENT]]=3),1,0)</f>
        <v>0</v>
      </c>
      <c r="F1334" s="1">
        <f>IF(OR(Table4[[#This Row],[INSTALLMENT]]=2,Table4[[#This Row],[INSTALLMENT]]=3),2,0)</f>
        <v>0</v>
      </c>
      <c r="G1334" s="1">
        <f>IF(OR(Table4[[#This Row],[INSTALLMENT]]=3),3,0)</f>
        <v>0</v>
      </c>
    </row>
    <row r="1335" spans="1:7">
      <c r="A1335" s="1">
        <v>1693</v>
      </c>
      <c r="B1335" s="1" t="s">
        <v>2946</v>
      </c>
      <c r="C1335" s="1" t="s">
        <v>119</v>
      </c>
      <c r="D1335" s="1">
        <f>COUNTIFS('Raw Entries'!B:B,Table4[[#This Row],[Name]],'Raw Entries'!I:I,Table4[[#This Row],[BOOK No.]])</f>
        <v>0</v>
      </c>
      <c r="E1335" s="1">
        <f t="array" ref="E1335">IF(OR(Table4[[#This Row],[INSTALLMENT]]=1,Table4[[#This Row],[INSTALLMENT]]=2,Table4[[#This Row],[INSTALLMENT]]=3),1,0)</f>
        <v>0</v>
      </c>
      <c r="F1335" s="1">
        <f>IF(OR(Table4[[#This Row],[INSTALLMENT]]=2,Table4[[#This Row],[INSTALLMENT]]=3),2,0)</f>
        <v>0</v>
      </c>
      <c r="G1335" s="1">
        <f>IF(OR(Table4[[#This Row],[INSTALLMENT]]=3),3,0)</f>
        <v>0</v>
      </c>
    </row>
    <row r="1336" spans="1:7">
      <c r="A1336" s="1">
        <v>1694</v>
      </c>
      <c r="B1336" s="1" t="s">
        <v>2947</v>
      </c>
      <c r="C1336" s="1" t="s">
        <v>119</v>
      </c>
      <c r="D1336" s="1">
        <f>COUNTIFS('Raw Entries'!B:B,Table4[[#This Row],[Name]],'Raw Entries'!I:I,Table4[[#This Row],[BOOK No.]])</f>
        <v>3</v>
      </c>
      <c r="E1336" s="1">
        <f t="array" ref="E1336">IF(OR(Table4[[#This Row],[INSTALLMENT]]=1,Table4[[#This Row],[INSTALLMENT]]=2,Table4[[#This Row],[INSTALLMENT]]=3),1,0)</f>
        <v>1</v>
      </c>
      <c r="F1336" s="1">
        <f>IF(OR(Table4[[#This Row],[INSTALLMENT]]=2,Table4[[#This Row],[INSTALLMENT]]=3),2,0)</f>
        <v>2</v>
      </c>
      <c r="G1336" s="1">
        <f>IF(OR(Table4[[#This Row],[INSTALLMENT]]=3),3,0)</f>
        <v>3</v>
      </c>
    </row>
    <row r="1337" spans="1:7">
      <c r="A1337" s="1">
        <v>1695</v>
      </c>
      <c r="B1337" s="1" t="s">
        <v>2948</v>
      </c>
      <c r="C1337" s="1" t="s">
        <v>119</v>
      </c>
      <c r="D1337" s="1">
        <f>COUNTIFS('Raw Entries'!B:B,Table4[[#This Row],[Name]],'Raw Entries'!I:I,Table4[[#This Row],[BOOK No.]])</f>
        <v>0</v>
      </c>
      <c r="E1337" s="1">
        <f t="array" ref="E1337">IF(OR(Table4[[#This Row],[INSTALLMENT]]=1,Table4[[#This Row],[INSTALLMENT]]=2,Table4[[#This Row],[INSTALLMENT]]=3),1,0)</f>
        <v>0</v>
      </c>
      <c r="F1337" s="1">
        <f>IF(OR(Table4[[#This Row],[INSTALLMENT]]=2,Table4[[#This Row],[INSTALLMENT]]=3),2,0)</f>
        <v>0</v>
      </c>
      <c r="G1337" s="1">
        <f>IF(OR(Table4[[#This Row],[INSTALLMENT]]=3),3,0)</f>
        <v>0</v>
      </c>
    </row>
    <row r="1338" spans="1:7">
      <c r="A1338" s="1">
        <v>1696</v>
      </c>
      <c r="B1338" s="1" t="s">
        <v>2949</v>
      </c>
      <c r="C1338" s="1" t="s">
        <v>119</v>
      </c>
      <c r="D1338" s="1">
        <f>COUNTIFS('Raw Entries'!B:B,Table4[[#This Row],[Name]],'Raw Entries'!I:I,Table4[[#This Row],[BOOK No.]])</f>
        <v>0</v>
      </c>
      <c r="E1338" s="1">
        <f t="array" ref="E1338">IF(OR(Table4[[#This Row],[INSTALLMENT]]=1,Table4[[#This Row],[INSTALLMENT]]=2,Table4[[#This Row],[INSTALLMENT]]=3),1,0)</f>
        <v>0</v>
      </c>
      <c r="F1338" s="1">
        <f>IF(OR(Table4[[#This Row],[INSTALLMENT]]=2,Table4[[#This Row],[INSTALLMENT]]=3),2,0)</f>
        <v>0</v>
      </c>
      <c r="G1338" s="1">
        <f>IF(OR(Table4[[#This Row],[INSTALLMENT]]=3),3,0)</f>
        <v>0</v>
      </c>
    </row>
    <row r="1339" spans="1:7">
      <c r="A1339" s="1">
        <v>1697</v>
      </c>
      <c r="B1339" s="1" t="s">
        <v>610</v>
      </c>
      <c r="C1339" s="1" t="s">
        <v>119</v>
      </c>
      <c r="D1339" s="1">
        <f>COUNTIFS('Raw Entries'!B:B,Table4[[#This Row],[Name]],'Raw Entries'!I:I,Table4[[#This Row],[BOOK No.]])</f>
        <v>3</v>
      </c>
      <c r="E1339" s="1">
        <f t="array" ref="E1339">IF(OR(Table4[[#This Row],[INSTALLMENT]]=1,Table4[[#This Row],[INSTALLMENT]]=2,Table4[[#This Row],[INSTALLMENT]]=3),1,0)</f>
        <v>1</v>
      </c>
      <c r="F1339" s="1">
        <f>IF(OR(Table4[[#This Row],[INSTALLMENT]]=2,Table4[[#This Row],[INSTALLMENT]]=3),2,0)</f>
        <v>2</v>
      </c>
      <c r="G1339" s="1">
        <f>IF(OR(Table4[[#This Row],[INSTALLMENT]]=3),3,0)</f>
        <v>3</v>
      </c>
    </row>
    <row r="1340" spans="1:7">
      <c r="A1340" s="1">
        <v>1698</v>
      </c>
      <c r="B1340" s="1" t="s">
        <v>2950</v>
      </c>
      <c r="C1340" s="1" t="s">
        <v>119</v>
      </c>
      <c r="D1340" s="1">
        <f>COUNTIFS('Raw Entries'!B:B,Table4[[#This Row],[Name]],'Raw Entries'!I:I,Table4[[#This Row],[BOOK No.]])</f>
        <v>0</v>
      </c>
      <c r="E1340" s="1">
        <f t="array" ref="E1340">IF(OR(Table4[[#This Row],[INSTALLMENT]]=1,Table4[[#This Row],[INSTALLMENT]]=2,Table4[[#This Row],[INSTALLMENT]]=3),1,0)</f>
        <v>0</v>
      </c>
      <c r="F1340" s="1">
        <f>IF(OR(Table4[[#This Row],[INSTALLMENT]]=2,Table4[[#This Row],[INSTALLMENT]]=3),2,0)</f>
        <v>0</v>
      </c>
      <c r="G1340" s="1">
        <f>IF(OR(Table4[[#This Row],[INSTALLMENT]]=3),3,0)</f>
        <v>0</v>
      </c>
    </row>
    <row r="1341" spans="1:7">
      <c r="A1341" s="1">
        <v>1699</v>
      </c>
      <c r="B1341" s="1" t="s">
        <v>2951</v>
      </c>
      <c r="C1341" s="1" t="s">
        <v>119</v>
      </c>
      <c r="D1341" s="1">
        <f>COUNTIFS('Raw Entries'!B:B,Table4[[#This Row],[Name]],'Raw Entries'!I:I,Table4[[#This Row],[BOOK No.]])</f>
        <v>0</v>
      </c>
      <c r="E1341" s="1">
        <f t="array" ref="E1341">IF(OR(Table4[[#This Row],[INSTALLMENT]]=1,Table4[[#This Row],[INSTALLMENT]]=2,Table4[[#This Row],[INSTALLMENT]]=3),1,0)</f>
        <v>0</v>
      </c>
      <c r="F1341" s="1">
        <f>IF(OR(Table4[[#This Row],[INSTALLMENT]]=2,Table4[[#This Row],[INSTALLMENT]]=3),2,0)</f>
        <v>0</v>
      </c>
      <c r="G1341" s="1">
        <f>IF(OR(Table4[[#This Row],[INSTALLMENT]]=3),3,0)</f>
        <v>0</v>
      </c>
    </row>
    <row r="1342" spans="1:7">
      <c r="A1342" s="1">
        <v>1700</v>
      </c>
      <c r="B1342" s="1" t="s">
        <v>2952</v>
      </c>
      <c r="C1342" s="1" t="s">
        <v>119</v>
      </c>
      <c r="D1342" s="1">
        <f>COUNTIFS('Raw Entries'!B:B,Table4[[#This Row],[Name]],'Raw Entries'!I:I,Table4[[#This Row],[BOOK No.]])</f>
        <v>0</v>
      </c>
      <c r="E1342" s="1">
        <f t="array" ref="E1342">IF(OR(Table4[[#This Row],[INSTALLMENT]]=1,Table4[[#This Row],[INSTALLMENT]]=2,Table4[[#This Row],[INSTALLMENT]]=3),1,0)</f>
        <v>0</v>
      </c>
      <c r="F1342" s="1">
        <f>IF(OR(Table4[[#This Row],[INSTALLMENT]]=2,Table4[[#This Row],[INSTALLMENT]]=3),2,0)</f>
        <v>0</v>
      </c>
      <c r="G1342" s="1">
        <f>IF(OR(Table4[[#This Row],[INSTALLMENT]]=3),3,0)</f>
        <v>0</v>
      </c>
    </row>
    <row r="1343" spans="1:7">
      <c r="A1343" s="1">
        <v>1701</v>
      </c>
      <c r="B1343" s="1" t="s">
        <v>2953</v>
      </c>
      <c r="C1343" s="1" t="s">
        <v>119</v>
      </c>
      <c r="D1343" s="1">
        <f>COUNTIFS('Raw Entries'!B:B,Table4[[#This Row],[Name]],'Raw Entries'!I:I,Table4[[#This Row],[BOOK No.]])</f>
        <v>0</v>
      </c>
      <c r="E1343" s="1">
        <f t="array" ref="E1343">IF(OR(Table4[[#This Row],[INSTALLMENT]]=1,Table4[[#This Row],[INSTALLMENT]]=2,Table4[[#This Row],[INSTALLMENT]]=3),1,0)</f>
        <v>0</v>
      </c>
      <c r="F1343" s="1">
        <f>IF(OR(Table4[[#This Row],[INSTALLMENT]]=2,Table4[[#This Row],[INSTALLMENT]]=3),2,0)</f>
        <v>0</v>
      </c>
      <c r="G1343" s="1">
        <f>IF(OR(Table4[[#This Row],[INSTALLMENT]]=3),3,0)</f>
        <v>0</v>
      </c>
    </row>
    <row r="1344" spans="1:7">
      <c r="A1344" s="1">
        <v>1702</v>
      </c>
      <c r="B1344" s="1" t="s">
        <v>2954</v>
      </c>
      <c r="C1344" s="1" t="s">
        <v>128</v>
      </c>
      <c r="D1344" s="1">
        <f>COUNTIFS('Raw Entries'!B:B,Table4[[#This Row],[Name]],'Raw Entries'!I:I,Table4[[#This Row],[BOOK No.]])</f>
        <v>0</v>
      </c>
      <c r="E1344" s="1">
        <f t="array" ref="E1344">IF(OR(Table4[[#This Row],[INSTALLMENT]]=1,Table4[[#This Row],[INSTALLMENT]]=2,Table4[[#This Row],[INSTALLMENT]]=3),1,0)</f>
        <v>0</v>
      </c>
      <c r="F1344" s="1">
        <f>IF(OR(Table4[[#This Row],[INSTALLMENT]]=2,Table4[[#This Row],[INSTALLMENT]]=3),2,0)</f>
        <v>0</v>
      </c>
      <c r="G1344" s="1">
        <f>IF(OR(Table4[[#This Row],[INSTALLMENT]]=3),3,0)</f>
        <v>0</v>
      </c>
    </row>
    <row r="1345" spans="1:7">
      <c r="A1345" s="1">
        <v>1703</v>
      </c>
      <c r="B1345" s="1" t="s">
        <v>2955</v>
      </c>
      <c r="C1345" s="1" t="s">
        <v>128</v>
      </c>
      <c r="D1345" s="1">
        <f>COUNTIFS('Raw Entries'!B:B,Table4[[#This Row],[Name]],'Raw Entries'!I:I,Table4[[#This Row],[BOOK No.]])</f>
        <v>0</v>
      </c>
      <c r="E1345" s="1">
        <f t="array" ref="E1345">IF(OR(Table4[[#This Row],[INSTALLMENT]]=1,Table4[[#This Row],[INSTALLMENT]]=2,Table4[[#This Row],[INSTALLMENT]]=3),1,0)</f>
        <v>0</v>
      </c>
      <c r="F1345" s="1">
        <f>IF(OR(Table4[[#This Row],[INSTALLMENT]]=2,Table4[[#This Row],[INSTALLMENT]]=3),2,0)</f>
        <v>0</v>
      </c>
      <c r="G1345" s="1">
        <f>IF(OR(Table4[[#This Row],[INSTALLMENT]]=3),3,0)</f>
        <v>0</v>
      </c>
    </row>
    <row r="1346" spans="1:7">
      <c r="A1346" s="1">
        <v>1704</v>
      </c>
      <c r="B1346" s="1" t="s">
        <v>2956</v>
      </c>
      <c r="C1346" s="1" t="s">
        <v>128</v>
      </c>
      <c r="D1346" s="1">
        <f>COUNTIFS('Raw Entries'!B:B,Table4[[#This Row],[Name]],'Raw Entries'!I:I,Table4[[#This Row],[BOOK No.]])</f>
        <v>0</v>
      </c>
      <c r="E1346" s="1">
        <f t="array" ref="E1346">IF(OR(Table4[[#This Row],[INSTALLMENT]]=1,Table4[[#This Row],[INSTALLMENT]]=2,Table4[[#This Row],[INSTALLMENT]]=3),1,0)</f>
        <v>0</v>
      </c>
      <c r="F1346" s="1">
        <f>IF(OR(Table4[[#This Row],[INSTALLMENT]]=2,Table4[[#This Row],[INSTALLMENT]]=3),2,0)</f>
        <v>0</v>
      </c>
      <c r="G1346" s="1">
        <f>IF(OR(Table4[[#This Row],[INSTALLMENT]]=3),3,0)</f>
        <v>0</v>
      </c>
    </row>
    <row r="1347" spans="1:7">
      <c r="A1347" s="1">
        <v>1705</v>
      </c>
      <c r="B1347" s="1" t="s">
        <v>137</v>
      </c>
      <c r="C1347" s="1" t="s">
        <v>128</v>
      </c>
      <c r="D1347" s="1">
        <f>COUNTIFS('Raw Entries'!B:B,Table4[[#This Row],[Name]],'Raw Entries'!I:I,Table4[[#This Row],[BOOK No.]])</f>
        <v>1</v>
      </c>
      <c r="E1347" s="1">
        <f t="array" ref="E1347">IF(OR(Table4[[#This Row],[INSTALLMENT]]=1,Table4[[#This Row],[INSTALLMENT]]=2,Table4[[#This Row],[INSTALLMENT]]=3),1,0)</f>
        <v>1</v>
      </c>
      <c r="F1347" s="1">
        <f>IF(OR(Table4[[#This Row],[INSTALLMENT]]=2,Table4[[#This Row],[INSTALLMENT]]=3),2,0)</f>
        <v>0</v>
      </c>
      <c r="G1347" s="1">
        <f>IF(OR(Table4[[#This Row],[INSTALLMENT]]=3),3,0)</f>
        <v>0</v>
      </c>
    </row>
    <row r="1348" spans="1:7">
      <c r="A1348" s="1">
        <v>1706</v>
      </c>
      <c r="B1348" s="1" t="s">
        <v>2957</v>
      </c>
      <c r="C1348" s="1" t="s">
        <v>128</v>
      </c>
      <c r="D1348" s="1">
        <f>COUNTIFS('Raw Entries'!B:B,Table4[[#This Row],[Name]],'Raw Entries'!I:I,Table4[[#This Row],[BOOK No.]])</f>
        <v>0</v>
      </c>
      <c r="E1348" s="1">
        <f t="array" ref="E1348">IF(OR(Table4[[#This Row],[INSTALLMENT]]=1,Table4[[#This Row],[INSTALLMENT]]=2,Table4[[#This Row],[INSTALLMENT]]=3),1,0)</f>
        <v>0</v>
      </c>
      <c r="F1348" s="1">
        <f>IF(OR(Table4[[#This Row],[INSTALLMENT]]=2,Table4[[#This Row],[INSTALLMENT]]=3),2,0)</f>
        <v>0</v>
      </c>
      <c r="G1348" s="1">
        <f>IF(OR(Table4[[#This Row],[INSTALLMENT]]=3),3,0)</f>
        <v>0</v>
      </c>
    </row>
    <row r="1349" spans="1:7">
      <c r="A1349" s="1">
        <v>1707</v>
      </c>
      <c r="B1349" s="1" t="s">
        <v>2958</v>
      </c>
      <c r="C1349" s="1" t="s">
        <v>128</v>
      </c>
      <c r="D1349" s="1">
        <f>COUNTIFS('Raw Entries'!B:B,Table4[[#This Row],[Name]],'Raw Entries'!I:I,Table4[[#This Row],[BOOK No.]])</f>
        <v>0</v>
      </c>
      <c r="E1349" s="1">
        <f t="array" ref="E1349">IF(OR(Table4[[#This Row],[INSTALLMENT]]=1,Table4[[#This Row],[INSTALLMENT]]=2,Table4[[#This Row],[INSTALLMENT]]=3),1,0)</f>
        <v>0</v>
      </c>
      <c r="F1349" s="1">
        <f>IF(OR(Table4[[#This Row],[INSTALLMENT]]=2,Table4[[#This Row],[INSTALLMENT]]=3),2,0)</f>
        <v>0</v>
      </c>
      <c r="G1349" s="1">
        <f>IF(OR(Table4[[#This Row],[INSTALLMENT]]=3),3,0)</f>
        <v>0</v>
      </c>
    </row>
    <row r="1350" spans="1:7">
      <c r="A1350" s="1">
        <v>1708</v>
      </c>
      <c r="B1350" s="1" t="s">
        <v>2959</v>
      </c>
      <c r="C1350" s="1" t="s">
        <v>128</v>
      </c>
      <c r="D1350" s="1">
        <f>COUNTIFS('Raw Entries'!B:B,Table4[[#This Row],[Name]],'Raw Entries'!I:I,Table4[[#This Row],[BOOK No.]])</f>
        <v>0</v>
      </c>
      <c r="E1350" s="1">
        <f t="array" ref="E1350">IF(OR(Table4[[#This Row],[INSTALLMENT]]=1,Table4[[#This Row],[INSTALLMENT]]=2,Table4[[#This Row],[INSTALLMENT]]=3),1,0)</f>
        <v>0</v>
      </c>
      <c r="F1350" s="1">
        <f>IF(OR(Table4[[#This Row],[INSTALLMENT]]=2,Table4[[#This Row],[INSTALLMENT]]=3),2,0)</f>
        <v>0</v>
      </c>
      <c r="G1350" s="1">
        <f>IF(OR(Table4[[#This Row],[INSTALLMENT]]=3),3,0)</f>
        <v>0</v>
      </c>
    </row>
    <row r="1351" spans="1:7">
      <c r="A1351" s="1">
        <v>1709</v>
      </c>
      <c r="B1351" s="1" t="s">
        <v>134</v>
      </c>
      <c r="C1351" s="1" t="s">
        <v>128</v>
      </c>
      <c r="D1351" s="1">
        <f>COUNTIFS('Raw Entries'!B:B,Table4[[#This Row],[Name]],'Raw Entries'!I:I,Table4[[#This Row],[BOOK No.]])</f>
        <v>1</v>
      </c>
      <c r="E1351" s="1">
        <f t="array" ref="E1351">IF(OR(Table4[[#This Row],[INSTALLMENT]]=1,Table4[[#This Row],[INSTALLMENT]]=2,Table4[[#This Row],[INSTALLMENT]]=3),1,0)</f>
        <v>1</v>
      </c>
      <c r="F1351" s="1">
        <f>IF(OR(Table4[[#This Row],[INSTALLMENT]]=2,Table4[[#This Row],[INSTALLMENT]]=3),2,0)</f>
        <v>0</v>
      </c>
      <c r="G1351" s="1">
        <f>IF(OR(Table4[[#This Row],[INSTALLMENT]]=3),3,0)</f>
        <v>0</v>
      </c>
    </row>
    <row r="1352" spans="1:7">
      <c r="A1352" s="1">
        <v>1710</v>
      </c>
      <c r="B1352" s="1" t="s">
        <v>1906</v>
      </c>
      <c r="C1352" s="1" t="s">
        <v>128</v>
      </c>
      <c r="D1352" s="1">
        <f>COUNTIFS('Raw Entries'!B:B,Table4[[#This Row],[Name]],'Raw Entries'!I:I,Table4[[#This Row],[BOOK No.]])</f>
        <v>3</v>
      </c>
      <c r="E1352" s="1">
        <f t="array" ref="E1352">IF(OR(Table4[[#This Row],[INSTALLMENT]]=1,Table4[[#This Row],[INSTALLMENT]]=2,Table4[[#This Row],[INSTALLMENT]]=3),1,0)</f>
        <v>1</v>
      </c>
      <c r="F1352" s="1">
        <f>IF(OR(Table4[[#This Row],[INSTALLMENT]]=2,Table4[[#This Row],[INSTALLMENT]]=3),2,0)</f>
        <v>2</v>
      </c>
      <c r="G1352" s="1">
        <f>IF(OR(Table4[[#This Row],[INSTALLMENT]]=3),3,0)</f>
        <v>3</v>
      </c>
    </row>
    <row r="1353" spans="1:7">
      <c r="A1353" s="1">
        <v>1711</v>
      </c>
      <c r="B1353" s="1" t="s">
        <v>133</v>
      </c>
      <c r="C1353" s="1" t="s">
        <v>128</v>
      </c>
      <c r="D1353" s="1">
        <f>COUNTIFS('Raw Entries'!B:B,Table4[[#This Row],[Name]],'Raw Entries'!I:I,Table4[[#This Row],[BOOK No.]])</f>
        <v>1</v>
      </c>
      <c r="E1353" s="1">
        <f t="array" ref="E1353">IF(OR(Table4[[#This Row],[INSTALLMENT]]=1,Table4[[#This Row],[INSTALLMENT]]=2,Table4[[#This Row],[INSTALLMENT]]=3),1,0)</f>
        <v>1</v>
      </c>
      <c r="F1353" s="1">
        <f>IF(OR(Table4[[#This Row],[INSTALLMENT]]=2,Table4[[#This Row],[INSTALLMENT]]=3),2,0)</f>
        <v>0</v>
      </c>
      <c r="G1353" s="1">
        <f>IF(OR(Table4[[#This Row],[INSTALLMENT]]=3),3,0)</f>
        <v>0</v>
      </c>
    </row>
    <row r="1354" spans="1:7">
      <c r="A1354" s="1">
        <v>1712</v>
      </c>
      <c r="B1354" s="1" t="s">
        <v>2960</v>
      </c>
      <c r="C1354" s="1" t="s">
        <v>128</v>
      </c>
      <c r="D1354" s="1">
        <f>COUNTIFS('Raw Entries'!B:B,Table4[[#This Row],[Name]],'Raw Entries'!I:I,Table4[[#This Row],[BOOK No.]])</f>
        <v>0</v>
      </c>
      <c r="E1354" s="1">
        <f t="array" ref="E1354">IF(OR(Table4[[#This Row],[INSTALLMENT]]=1,Table4[[#This Row],[INSTALLMENT]]=2,Table4[[#This Row],[INSTALLMENT]]=3),1,0)</f>
        <v>0</v>
      </c>
      <c r="F1354" s="1">
        <f>IF(OR(Table4[[#This Row],[INSTALLMENT]]=2,Table4[[#This Row],[INSTALLMENT]]=3),2,0)</f>
        <v>0</v>
      </c>
      <c r="G1354" s="1">
        <f>IF(OR(Table4[[#This Row],[INSTALLMENT]]=3),3,0)</f>
        <v>0</v>
      </c>
    </row>
    <row r="1355" spans="1:7">
      <c r="A1355" s="1">
        <v>1713</v>
      </c>
      <c r="B1355" s="1" t="s">
        <v>135</v>
      </c>
      <c r="C1355" s="1" t="s">
        <v>128</v>
      </c>
      <c r="D1355" s="1">
        <f>COUNTIFS('Raw Entries'!B:B,Table4[[#This Row],[Name]],'Raw Entries'!I:I,Table4[[#This Row],[BOOK No.]])</f>
        <v>3</v>
      </c>
      <c r="E1355" s="1">
        <f t="array" ref="E1355">IF(OR(Table4[[#This Row],[INSTALLMENT]]=1,Table4[[#This Row],[INSTALLMENT]]=2,Table4[[#This Row],[INSTALLMENT]]=3),1,0)</f>
        <v>1</v>
      </c>
      <c r="F1355" s="1">
        <f>IF(OR(Table4[[#This Row],[INSTALLMENT]]=2,Table4[[#This Row],[INSTALLMENT]]=3),2,0)</f>
        <v>2</v>
      </c>
      <c r="G1355" s="1">
        <f>IF(OR(Table4[[#This Row],[INSTALLMENT]]=3),3,0)</f>
        <v>3</v>
      </c>
    </row>
    <row r="1356" spans="1:7">
      <c r="A1356" s="1">
        <v>1714</v>
      </c>
      <c r="B1356" s="1" t="s">
        <v>2961</v>
      </c>
      <c r="C1356" s="1" t="s">
        <v>128</v>
      </c>
      <c r="D1356" s="1">
        <f>COUNTIFS('Raw Entries'!B:B,Table4[[#This Row],[Name]],'Raw Entries'!I:I,Table4[[#This Row],[BOOK No.]])</f>
        <v>3</v>
      </c>
      <c r="E1356" s="1">
        <f t="array" ref="E1356">IF(OR(Table4[[#This Row],[INSTALLMENT]]=1,Table4[[#This Row],[INSTALLMENT]]=2,Table4[[#This Row],[INSTALLMENT]]=3),1,0)</f>
        <v>1</v>
      </c>
      <c r="F1356" s="1">
        <f>IF(OR(Table4[[#This Row],[INSTALLMENT]]=2,Table4[[#This Row],[INSTALLMENT]]=3),2,0)</f>
        <v>2</v>
      </c>
      <c r="G1356" s="1">
        <f>IF(OR(Table4[[#This Row],[INSTALLMENT]]=3),3,0)</f>
        <v>3</v>
      </c>
    </row>
    <row r="1357" spans="1:7">
      <c r="A1357" s="1">
        <v>1715</v>
      </c>
      <c r="B1357" s="1" t="s">
        <v>2962</v>
      </c>
      <c r="C1357" s="1" t="s">
        <v>128</v>
      </c>
      <c r="D1357" s="1">
        <f>COUNTIFS('Raw Entries'!B:B,Table4[[#This Row],[Name]],'Raw Entries'!I:I,Table4[[#This Row],[BOOK No.]])</f>
        <v>0</v>
      </c>
      <c r="E1357" s="1">
        <f t="array" ref="E1357">IF(OR(Table4[[#This Row],[INSTALLMENT]]=1,Table4[[#This Row],[INSTALLMENT]]=2,Table4[[#This Row],[INSTALLMENT]]=3),1,0)</f>
        <v>0</v>
      </c>
      <c r="F1357" s="1">
        <f>IF(OR(Table4[[#This Row],[INSTALLMENT]]=2,Table4[[#This Row],[INSTALLMENT]]=3),2,0)</f>
        <v>0</v>
      </c>
      <c r="G1357" s="1">
        <f>IF(OR(Table4[[#This Row],[INSTALLMENT]]=3),3,0)</f>
        <v>0</v>
      </c>
    </row>
    <row r="1358" spans="1:7">
      <c r="A1358" s="1">
        <v>1716</v>
      </c>
      <c r="B1358" s="1" t="s">
        <v>136</v>
      </c>
      <c r="C1358" s="1" t="s">
        <v>128</v>
      </c>
      <c r="D1358" s="1">
        <f>COUNTIFS('Raw Entries'!B:B,Table4[[#This Row],[Name]],'Raw Entries'!I:I,Table4[[#This Row],[BOOK No.]])</f>
        <v>1</v>
      </c>
      <c r="E1358" s="1">
        <f t="array" ref="E1358">IF(OR(Table4[[#This Row],[INSTALLMENT]]=1,Table4[[#This Row],[INSTALLMENT]]=2,Table4[[#This Row],[INSTALLMENT]]=3),1,0)</f>
        <v>1</v>
      </c>
      <c r="F1358" s="1">
        <f>IF(OR(Table4[[#This Row],[INSTALLMENT]]=2,Table4[[#This Row],[INSTALLMENT]]=3),2,0)</f>
        <v>0</v>
      </c>
      <c r="G1358" s="1">
        <f>IF(OR(Table4[[#This Row],[INSTALLMENT]]=3),3,0)</f>
        <v>0</v>
      </c>
    </row>
    <row r="1359" spans="1:7">
      <c r="A1359" s="1">
        <v>1717</v>
      </c>
      <c r="B1359" s="1" t="s">
        <v>2963</v>
      </c>
      <c r="C1359" s="1" t="s">
        <v>128</v>
      </c>
      <c r="D1359" s="1">
        <f>COUNTIFS('Raw Entries'!B:B,Table4[[#This Row],[Name]],'Raw Entries'!I:I,Table4[[#This Row],[BOOK No.]])</f>
        <v>0</v>
      </c>
      <c r="E1359" s="1">
        <f t="array" ref="E1359">IF(OR(Table4[[#This Row],[INSTALLMENT]]=1,Table4[[#This Row],[INSTALLMENT]]=2,Table4[[#This Row],[INSTALLMENT]]=3),1,0)</f>
        <v>0</v>
      </c>
      <c r="F1359" s="1">
        <f>IF(OR(Table4[[#This Row],[INSTALLMENT]]=2,Table4[[#This Row],[INSTALLMENT]]=3),2,0)</f>
        <v>0</v>
      </c>
      <c r="G1359" s="1">
        <f>IF(OR(Table4[[#This Row],[INSTALLMENT]]=3),3,0)</f>
        <v>0</v>
      </c>
    </row>
    <row r="1360" spans="1:7">
      <c r="A1360" s="1">
        <v>1718</v>
      </c>
      <c r="B1360" s="1" t="s">
        <v>2964</v>
      </c>
      <c r="C1360" s="1" t="s">
        <v>128</v>
      </c>
      <c r="D1360" s="1">
        <f>COUNTIFS('Raw Entries'!B:B,Table4[[#This Row],[Name]],'Raw Entries'!I:I,Table4[[#This Row],[BOOK No.]])</f>
        <v>3</v>
      </c>
      <c r="E1360" s="1">
        <f t="array" ref="E1360">IF(OR(Table4[[#This Row],[INSTALLMENT]]=1,Table4[[#This Row],[INSTALLMENT]]=2,Table4[[#This Row],[INSTALLMENT]]=3),1,0)</f>
        <v>1</v>
      </c>
      <c r="F1360" s="1">
        <f>IF(OR(Table4[[#This Row],[INSTALLMENT]]=2,Table4[[#This Row],[INSTALLMENT]]=3),2,0)</f>
        <v>2</v>
      </c>
      <c r="G1360" s="1">
        <f>IF(OR(Table4[[#This Row],[INSTALLMENT]]=3),3,0)</f>
        <v>3</v>
      </c>
    </row>
    <row r="1361" spans="1:7">
      <c r="A1361" s="1">
        <v>1719</v>
      </c>
      <c r="B1361" s="1" t="s">
        <v>2965</v>
      </c>
      <c r="C1361" s="1" t="s">
        <v>128</v>
      </c>
      <c r="D1361" s="1">
        <f>COUNTIFS('Raw Entries'!B:B,Table4[[#This Row],[Name]],'Raw Entries'!I:I,Table4[[#This Row],[BOOK No.]])</f>
        <v>0</v>
      </c>
      <c r="E1361" s="1">
        <f t="array" ref="E1361">IF(OR(Table4[[#This Row],[INSTALLMENT]]=1,Table4[[#This Row],[INSTALLMENT]]=2,Table4[[#This Row],[INSTALLMENT]]=3),1,0)</f>
        <v>0</v>
      </c>
      <c r="F1361" s="1">
        <f>IF(OR(Table4[[#This Row],[INSTALLMENT]]=2,Table4[[#This Row],[INSTALLMENT]]=3),2,0)</f>
        <v>0</v>
      </c>
      <c r="G1361" s="1">
        <f>IF(OR(Table4[[#This Row],[INSTALLMENT]]=3),3,0)</f>
        <v>0</v>
      </c>
    </row>
    <row r="1362" spans="1:7">
      <c r="A1362" s="1">
        <v>1720</v>
      </c>
      <c r="B1362" s="1" t="s">
        <v>2966</v>
      </c>
      <c r="C1362" s="1" t="s">
        <v>128</v>
      </c>
      <c r="D1362" s="1">
        <f>COUNTIFS('Raw Entries'!B:B,Table4[[#This Row],[Name]],'Raw Entries'!I:I,Table4[[#This Row],[BOOK No.]])</f>
        <v>0</v>
      </c>
      <c r="E1362" s="1">
        <f t="array" ref="E1362">IF(OR(Table4[[#This Row],[INSTALLMENT]]=1,Table4[[#This Row],[INSTALLMENT]]=2,Table4[[#This Row],[INSTALLMENT]]=3),1,0)</f>
        <v>0</v>
      </c>
      <c r="F1362" s="1">
        <f>IF(OR(Table4[[#This Row],[INSTALLMENT]]=2,Table4[[#This Row],[INSTALLMENT]]=3),2,0)</f>
        <v>0</v>
      </c>
      <c r="G1362" s="1">
        <f>IF(OR(Table4[[#This Row],[INSTALLMENT]]=3),3,0)</f>
        <v>0</v>
      </c>
    </row>
    <row r="1363" spans="1:7">
      <c r="A1363" s="1">
        <v>1721</v>
      </c>
      <c r="B1363" s="1" t="s">
        <v>2967</v>
      </c>
      <c r="C1363" s="1" t="s">
        <v>128</v>
      </c>
      <c r="D1363" s="1">
        <f>COUNTIFS('Raw Entries'!B:B,Table4[[#This Row],[Name]],'Raw Entries'!I:I,Table4[[#This Row],[BOOK No.]])</f>
        <v>0</v>
      </c>
      <c r="E1363" s="1">
        <f t="array" ref="E1363">IF(OR(Table4[[#This Row],[INSTALLMENT]]=1,Table4[[#This Row],[INSTALLMENT]]=2,Table4[[#This Row],[INSTALLMENT]]=3),1,0)</f>
        <v>0</v>
      </c>
      <c r="F1363" s="1">
        <f>IF(OR(Table4[[#This Row],[INSTALLMENT]]=2,Table4[[#This Row],[INSTALLMENT]]=3),2,0)</f>
        <v>0</v>
      </c>
      <c r="G1363" s="1">
        <f>IF(OR(Table4[[#This Row],[INSTALLMENT]]=3),3,0)</f>
        <v>0</v>
      </c>
    </row>
    <row r="1364" spans="1:7">
      <c r="A1364" s="1">
        <v>1722</v>
      </c>
      <c r="B1364" s="1" t="s">
        <v>2968</v>
      </c>
      <c r="C1364" s="1" t="s">
        <v>128</v>
      </c>
      <c r="D1364" s="1">
        <f>COUNTIFS('Raw Entries'!B:B,Table4[[#This Row],[Name]],'Raw Entries'!I:I,Table4[[#This Row],[BOOK No.]])</f>
        <v>0</v>
      </c>
      <c r="E1364" s="1">
        <f t="array" ref="E1364">IF(OR(Table4[[#This Row],[INSTALLMENT]]=1,Table4[[#This Row],[INSTALLMENT]]=2,Table4[[#This Row],[INSTALLMENT]]=3),1,0)</f>
        <v>0</v>
      </c>
      <c r="F1364" s="1">
        <f>IF(OR(Table4[[#This Row],[INSTALLMENT]]=2,Table4[[#This Row],[INSTALLMENT]]=3),2,0)</f>
        <v>0</v>
      </c>
      <c r="G1364" s="1">
        <f>IF(OR(Table4[[#This Row],[INSTALLMENT]]=3),3,0)</f>
        <v>0</v>
      </c>
    </row>
    <row r="1365" spans="1:7">
      <c r="A1365" s="1">
        <v>1723</v>
      </c>
      <c r="B1365" s="1" t="s">
        <v>2969</v>
      </c>
      <c r="C1365" s="1" t="s">
        <v>128</v>
      </c>
      <c r="D1365" s="1">
        <f>COUNTIFS('Raw Entries'!B:B,Table4[[#This Row],[Name]],'Raw Entries'!I:I,Table4[[#This Row],[BOOK No.]])</f>
        <v>0</v>
      </c>
      <c r="E1365" s="1">
        <f t="array" ref="E1365">IF(OR(Table4[[#This Row],[INSTALLMENT]]=1,Table4[[#This Row],[INSTALLMENT]]=2,Table4[[#This Row],[INSTALLMENT]]=3),1,0)</f>
        <v>0</v>
      </c>
      <c r="F1365" s="1">
        <f>IF(OR(Table4[[#This Row],[INSTALLMENT]]=2,Table4[[#This Row],[INSTALLMENT]]=3),2,0)</f>
        <v>0</v>
      </c>
      <c r="G1365" s="1">
        <f>IF(OR(Table4[[#This Row],[INSTALLMENT]]=3),3,0)</f>
        <v>0</v>
      </c>
    </row>
    <row r="1366" spans="1:7">
      <c r="A1366" s="1">
        <v>1724</v>
      </c>
      <c r="B1366" s="1" t="s">
        <v>129</v>
      </c>
      <c r="C1366" s="1" t="s">
        <v>128</v>
      </c>
      <c r="D1366" s="1">
        <f>COUNTIFS('Raw Entries'!B:B,Table4[[#This Row],[Name]],'Raw Entries'!I:I,Table4[[#This Row],[BOOK No.]])</f>
        <v>3</v>
      </c>
      <c r="E1366" s="1">
        <f t="array" ref="E1366">IF(OR(Table4[[#This Row],[INSTALLMENT]]=1,Table4[[#This Row],[INSTALLMENT]]=2,Table4[[#This Row],[INSTALLMENT]]=3),1,0)</f>
        <v>1</v>
      </c>
      <c r="F1366" s="1">
        <f>IF(OR(Table4[[#This Row],[INSTALLMENT]]=2,Table4[[#This Row],[INSTALLMENT]]=3),2,0)</f>
        <v>2</v>
      </c>
      <c r="G1366" s="1">
        <f>IF(OR(Table4[[#This Row],[INSTALLMENT]]=3),3,0)</f>
        <v>3</v>
      </c>
    </row>
    <row r="1367" spans="1:7">
      <c r="A1367" s="1">
        <v>1725</v>
      </c>
      <c r="B1367" s="1" t="s">
        <v>2970</v>
      </c>
      <c r="C1367" s="1" t="s">
        <v>128</v>
      </c>
      <c r="D1367" s="1">
        <f>COUNTIFS('Raw Entries'!B:B,Table4[[#This Row],[Name]],'Raw Entries'!I:I,Table4[[#This Row],[BOOK No.]])</f>
        <v>0</v>
      </c>
      <c r="E1367" s="1">
        <f t="array" ref="E1367">IF(OR(Table4[[#This Row],[INSTALLMENT]]=1,Table4[[#This Row],[INSTALLMENT]]=2,Table4[[#This Row],[INSTALLMENT]]=3),1,0)</f>
        <v>0</v>
      </c>
      <c r="F1367" s="1">
        <f>IF(OR(Table4[[#This Row],[INSTALLMENT]]=2,Table4[[#This Row],[INSTALLMENT]]=3),2,0)</f>
        <v>0</v>
      </c>
      <c r="G1367" s="1">
        <f>IF(OR(Table4[[#This Row],[INSTALLMENT]]=3),3,0)</f>
        <v>0</v>
      </c>
    </row>
    <row r="1368" spans="1:7">
      <c r="A1368" s="1">
        <v>1726</v>
      </c>
      <c r="B1368" s="1" t="s">
        <v>2971</v>
      </c>
      <c r="C1368" s="1" t="s">
        <v>128</v>
      </c>
      <c r="D1368" s="1">
        <f>COUNTIFS('Raw Entries'!B:B,Table4[[#This Row],[Name]],'Raw Entries'!I:I,Table4[[#This Row],[BOOK No.]])</f>
        <v>0</v>
      </c>
      <c r="E1368" s="1">
        <f t="array" ref="E1368">IF(OR(Table4[[#This Row],[INSTALLMENT]]=1,Table4[[#This Row],[INSTALLMENT]]=2,Table4[[#This Row],[INSTALLMENT]]=3),1,0)</f>
        <v>0</v>
      </c>
      <c r="F1368" s="1">
        <f>IF(OR(Table4[[#This Row],[INSTALLMENT]]=2,Table4[[#This Row],[INSTALLMENT]]=3),2,0)</f>
        <v>0</v>
      </c>
      <c r="G1368" s="1">
        <f>IF(OR(Table4[[#This Row],[INSTALLMENT]]=3),3,0)</f>
        <v>0</v>
      </c>
    </row>
    <row r="1369" spans="1:7">
      <c r="A1369" s="1">
        <v>1727</v>
      </c>
      <c r="B1369" s="1" t="s">
        <v>2972</v>
      </c>
      <c r="C1369" s="1" t="s">
        <v>128</v>
      </c>
      <c r="D1369" s="1">
        <f>COUNTIFS('Raw Entries'!B:B,Table4[[#This Row],[Name]],'Raw Entries'!I:I,Table4[[#This Row],[BOOK No.]])</f>
        <v>0</v>
      </c>
      <c r="E1369" s="1">
        <f t="array" ref="E1369">IF(OR(Table4[[#This Row],[INSTALLMENT]]=1,Table4[[#This Row],[INSTALLMENT]]=2,Table4[[#This Row],[INSTALLMENT]]=3),1,0)</f>
        <v>0</v>
      </c>
      <c r="F1369" s="1">
        <f>IF(OR(Table4[[#This Row],[INSTALLMENT]]=2,Table4[[#This Row],[INSTALLMENT]]=3),2,0)</f>
        <v>0</v>
      </c>
      <c r="G1369" s="1">
        <f>IF(OR(Table4[[#This Row],[INSTALLMENT]]=3),3,0)</f>
        <v>0</v>
      </c>
    </row>
    <row r="1370" spans="1:7">
      <c r="A1370" s="1">
        <v>1728</v>
      </c>
      <c r="B1370" s="1" t="s">
        <v>2973</v>
      </c>
      <c r="C1370" s="1" t="s">
        <v>128</v>
      </c>
      <c r="D1370" s="1">
        <f>COUNTIFS('Raw Entries'!B:B,Table4[[#This Row],[Name]],'Raw Entries'!I:I,Table4[[#This Row],[BOOK No.]])</f>
        <v>0</v>
      </c>
      <c r="E1370" s="1">
        <f t="array" ref="E1370">IF(OR(Table4[[#This Row],[INSTALLMENT]]=1,Table4[[#This Row],[INSTALLMENT]]=2,Table4[[#This Row],[INSTALLMENT]]=3),1,0)</f>
        <v>0</v>
      </c>
      <c r="F1370" s="1">
        <f>IF(OR(Table4[[#This Row],[INSTALLMENT]]=2,Table4[[#This Row],[INSTALLMENT]]=3),2,0)</f>
        <v>0</v>
      </c>
      <c r="G1370" s="1">
        <f>IF(OR(Table4[[#This Row],[INSTALLMENT]]=3),3,0)</f>
        <v>0</v>
      </c>
    </row>
    <row r="1371" spans="1:7">
      <c r="A1371" s="1">
        <v>1729</v>
      </c>
      <c r="B1371" s="1" t="s">
        <v>2974</v>
      </c>
      <c r="C1371" s="1" t="s">
        <v>128</v>
      </c>
      <c r="D1371" s="1">
        <f>COUNTIFS('Raw Entries'!B:B,Table4[[#This Row],[Name]],'Raw Entries'!I:I,Table4[[#This Row],[BOOK No.]])</f>
        <v>0</v>
      </c>
      <c r="E1371" s="1">
        <f t="array" ref="E1371">IF(OR(Table4[[#This Row],[INSTALLMENT]]=1,Table4[[#This Row],[INSTALLMENT]]=2,Table4[[#This Row],[INSTALLMENT]]=3),1,0)</f>
        <v>0</v>
      </c>
      <c r="F1371" s="1">
        <f>IF(OR(Table4[[#This Row],[INSTALLMENT]]=2,Table4[[#This Row],[INSTALLMENT]]=3),2,0)</f>
        <v>0</v>
      </c>
      <c r="G1371" s="1">
        <f>IF(OR(Table4[[#This Row],[INSTALLMENT]]=3),3,0)</f>
        <v>0</v>
      </c>
    </row>
    <row r="1372" spans="1:7">
      <c r="A1372" s="1">
        <v>1730</v>
      </c>
      <c r="B1372" s="1" t="s">
        <v>2975</v>
      </c>
      <c r="C1372" s="1" t="s">
        <v>128</v>
      </c>
      <c r="D1372" s="1">
        <f>COUNTIFS('Raw Entries'!B:B,Table4[[#This Row],[Name]],'Raw Entries'!I:I,Table4[[#This Row],[BOOK No.]])</f>
        <v>0</v>
      </c>
      <c r="E1372" s="1">
        <f t="array" ref="E1372">IF(OR(Table4[[#This Row],[INSTALLMENT]]=1,Table4[[#This Row],[INSTALLMENT]]=2,Table4[[#This Row],[INSTALLMENT]]=3),1,0)</f>
        <v>0</v>
      </c>
      <c r="F1372" s="1">
        <f>IF(OR(Table4[[#This Row],[INSTALLMENT]]=2,Table4[[#This Row],[INSTALLMENT]]=3),2,0)</f>
        <v>0</v>
      </c>
      <c r="G1372" s="1">
        <f>IF(OR(Table4[[#This Row],[INSTALLMENT]]=3),3,0)</f>
        <v>0</v>
      </c>
    </row>
    <row r="1373" spans="1:7">
      <c r="A1373" s="1">
        <v>1731</v>
      </c>
      <c r="B1373" s="1" t="s">
        <v>131</v>
      </c>
      <c r="C1373" s="1" t="s">
        <v>128</v>
      </c>
      <c r="D1373" s="1">
        <f>COUNTIFS('Raw Entries'!B:B,Table4[[#This Row],[Name]],'Raw Entries'!I:I,Table4[[#This Row],[BOOK No.]])</f>
        <v>3</v>
      </c>
      <c r="E1373" s="1">
        <f t="array" ref="E1373">IF(OR(Table4[[#This Row],[INSTALLMENT]]=1,Table4[[#This Row],[INSTALLMENT]]=2,Table4[[#This Row],[INSTALLMENT]]=3),1,0)</f>
        <v>1</v>
      </c>
      <c r="F1373" s="1">
        <f>IF(OR(Table4[[#This Row],[INSTALLMENT]]=2,Table4[[#This Row],[INSTALLMENT]]=3),2,0)</f>
        <v>2</v>
      </c>
      <c r="G1373" s="1">
        <f>IF(OR(Table4[[#This Row],[INSTALLMENT]]=3),3,0)</f>
        <v>3</v>
      </c>
    </row>
    <row r="1374" spans="1:7">
      <c r="A1374" s="1">
        <v>1732</v>
      </c>
      <c r="B1374" s="1" t="s">
        <v>132</v>
      </c>
      <c r="C1374" s="1" t="s">
        <v>128</v>
      </c>
      <c r="D1374" s="1">
        <f>COUNTIFS('Raw Entries'!B:B,Table4[[#This Row],[Name]],'Raw Entries'!I:I,Table4[[#This Row],[BOOK No.]])</f>
        <v>1</v>
      </c>
      <c r="E1374" s="1">
        <f t="array" ref="E1374">IF(OR(Table4[[#This Row],[INSTALLMENT]]=1,Table4[[#This Row],[INSTALLMENT]]=2,Table4[[#This Row],[INSTALLMENT]]=3),1,0)</f>
        <v>1</v>
      </c>
      <c r="F1374" s="1">
        <f>IF(OR(Table4[[#This Row],[INSTALLMENT]]=2,Table4[[#This Row],[INSTALLMENT]]=3),2,0)</f>
        <v>0</v>
      </c>
      <c r="G1374" s="1">
        <f>IF(OR(Table4[[#This Row],[INSTALLMENT]]=3),3,0)</f>
        <v>0</v>
      </c>
    </row>
    <row r="1375" spans="1:7">
      <c r="A1375" s="1">
        <v>1733</v>
      </c>
      <c r="B1375" s="1" t="s">
        <v>658</v>
      </c>
      <c r="C1375" s="1" t="s">
        <v>128</v>
      </c>
      <c r="D1375" s="1">
        <f>COUNTIFS('Raw Entries'!B:B,Table4[[#This Row],[Name]],'Raw Entries'!I:I,Table4[[#This Row],[BOOK No.]])</f>
        <v>1</v>
      </c>
      <c r="E1375" s="1">
        <f t="array" ref="E1375">IF(OR(Table4[[#This Row],[INSTALLMENT]]=1,Table4[[#This Row],[INSTALLMENT]]=2,Table4[[#This Row],[INSTALLMENT]]=3),1,0)</f>
        <v>1</v>
      </c>
      <c r="F1375" s="1">
        <f>IF(OR(Table4[[#This Row],[INSTALLMENT]]=2,Table4[[#This Row],[INSTALLMENT]]=3),2,0)</f>
        <v>0</v>
      </c>
      <c r="G1375" s="1">
        <f>IF(OR(Table4[[#This Row],[INSTALLMENT]]=3),3,0)</f>
        <v>0</v>
      </c>
    </row>
    <row r="1376" spans="1:7">
      <c r="A1376" s="1">
        <v>1734</v>
      </c>
      <c r="B1376" s="1" t="s">
        <v>2002</v>
      </c>
      <c r="C1376" s="1" t="s">
        <v>128</v>
      </c>
      <c r="D1376" s="1">
        <f>COUNTIFS('Raw Entries'!B:B,Table4[[#This Row],[Name]],'Raw Entries'!I:I,Table4[[#This Row],[BOOK No.]])</f>
        <v>0</v>
      </c>
      <c r="E1376" s="1">
        <f t="array" ref="E1376">IF(OR(Table4[[#This Row],[INSTALLMENT]]=1,Table4[[#This Row],[INSTALLMENT]]=2,Table4[[#This Row],[INSTALLMENT]]=3),1,0)</f>
        <v>0</v>
      </c>
      <c r="F1376" s="1">
        <f>IF(OR(Table4[[#This Row],[INSTALLMENT]]=2,Table4[[#This Row],[INSTALLMENT]]=3),2,0)</f>
        <v>0</v>
      </c>
      <c r="G1376" s="1">
        <f>IF(OR(Table4[[#This Row],[INSTALLMENT]]=3),3,0)</f>
        <v>0</v>
      </c>
    </row>
    <row r="1377" spans="1:7">
      <c r="A1377" s="1">
        <v>1735</v>
      </c>
      <c r="B1377" s="1" t="s">
        <v>2976</v>
      </c>
      <c r="C1377" s="1" t="s">
        <v>128</v>
      </c>
      <c r="D1377" s="1">
        <f>COUNTIFS('Raw Entries'!B:B,Table4[[#This Row],[Name]],'Raw Entries'!I:I,Table4[[#This Row],[BOOK No.]])</f>
        <v>0</v>
      </c>
      <c r="E1377" s="1">
        <f t="array" ref="E1377">IF(OR(Table4[[#This Row],[INSTALLMENT]]=1,Table4[[#This Row],[INSTALLMENT]]=2,Table4[[#This Row],[INSTALLMENT]]=3),1,0)</f>
        <v>0</v>
      </c>
      <c r="F1377" s="1">
        <f>IF(OR(Table4[[#This Row],[INSTALLMENT]]=2,Table4[[#This Row],[INSTALLMENT]]=3),2,0)</f>
        <v>0</v>
      </c>
      <c r="G1377" s="1">
        <f>IF(OR(Table4[[#This Row],[INSTALLMENT]]=3),3,0)</f>
        <v>0</v>
      </c>
    </row>
    <row r="1378" spans="1:7">
      <c r="A1378" s="1">
        <v>1736</v>
      </c>
      <c r="B1378" s="1" t="s">
        <v>2977</v>
      </c>
      <c r="C1378" s="1" t="s">
        <v>138</v>
      </c>
      <c r="D1378" s="1">
        <f>COUNTIFS('Raw Entries'!B:B,Table4[[#This Row],[Name]],'Raw Entries'!I:I,Table4[[#This Row],[BOOK No.]])</f>
        <v>0</v>
      </c>
      <c r="E1378" s="1">
        <f t="array" ref="E1378">IF(OR(Table4[[#This Row],[INSTALLMENT]]=1,Table4[[#This Row],[INSTALLMENT]]=2,Table4[[#This Row],[INSTALLMENT]]=3),1,0)</f>
        <v>0</v>
      </c>
      <c r="F1378" s="1">
        <f>IF(OR(Table4[[#This Row],[INSTALLMENT]]=2,Table4[[#This Row],[INSTALLMENT]]=3),2,0)</f>
        <v>0</v>
      </c>
      <c r="G1378" s="1">
        <f>IF(OR(Table4[[#This Row],[INSTALLMENT]]=3),3,0)</f>
        <v>0</v>
      </c>
    </row>
    <row r="1379" spans="1:7">
      <c r="A1379" s="1">
        <v>1737</v>
      </c>
      <c r="B1379" s="1" t="s">
        <v>146</v>
      </c>
      <c r="C1379" s="1" t="s">
        <v>138</v>
      </c>
      <c r="D1379" s="1">
        <f>COUNTIFS('Raw Entries'!B:B,Table4[[#This Row],[Name]],'Raw Entries'!I:I,Table4[[#This Row],[BOOK No.]])</f>
        <v>2</v>
      </c>
      <c r="E1379" s="1">
        <f t="array" ref="E1379">IF(OR(Table4[[#This Row],[INSTALLMENT]]=1,Table4[[#This Row],[INSTALLMENT]]=2,Table4[[#This Row],[INSTALLMENT]]=3),1,0)</f>
        <v>1</v>
      </c>
      <c r="F1379" s="1">
        <f>IF(OR(Table4[[#This Row],[INSTALLMENT]]=2,Table4[[#This Row],[INSTALLMENT]]=3),2,0)</f>
        <v>2</v>
      </c>
      <c r="G1379" s="1">
        <f>IF(OR(Table4[[#This Row],[INSTALLMENT]]=3),3,0)</f>
        <v>0</v>
      </c>
    </row>
    <row r="1380" spans="1:7">
      <c r="A1380" s="1">
        <v>1738</v>
      </c>
      <c r="B1380" s="1" t="s">
        <v>2978</v>
      </c>
      <c r="C1380" s="1" t="s">
        <v>138</v>
      </c>
      <c r="D1380" s="1">
        <f>COUNTIFS('Raw Entries'!B:B,Table4[[#This Row],[Name]],'Raw Entries'!I:I,Table4[[#This Row],[BOOK No.]])</f>
        <v>0</v>
      </c>
      <c r="E1380" s="1">
        <f t="array" ref="E1380">IF(OR(Table4[[#This Row],[INSTALLMENT]]=1,Table4[[#This Row],[INSTALLMENT]]=2,Table4[[#This Row],[INSTALLMENT]]=3),1,0)</f>
        <v>0</v>
      </c>
      <c r="F1380" s="1">
        <f>IF(OR(Table4[[#This Row],[INSTALLMENT]]=2,Table4[[#This Row],[INSTALLMENT]]=3),2,0)</f>
        <v>0</v>
      </c>
      <c r="G1380" s="1">
        <f>IF(OR(Table4[[#This Row],[INSTALLMENT]]=3),3,0)</f>
        <v>0</v>
      </c>
    </row>
    <row r="1381" spans="1:7">
      <c r="A1381" s="1">
        <v>1739</v>
      </c>
      <c r="B1381" s="1" t="s">
        <v>2979</v>
      </c>
      <c r="C1381" s="1" t="s">
        <v>138</v>
      </c>
      <c r="D1381" s="1">
        <f>COUNTIFS('Raw Entries'!B:B,Table4[[#This Row],[Name]],'Raw Entries'!I:I,Table4[[#This Row],[BOOK No.]])</f>
        <v>0</v>
      </c>
      <c r="E1381" s="1">
        <f t="array" ref="E1381">IF(OR(Table4[[#This Row],[INSTALLMENT]]=1,Table4[[#This Row],[INSTALLMENT]]=2,Table4[[#This Row],[INSTALLMENT]]=3),1,0)</f>
        <v>0</v>
      </c>
      <c r="F1381" s="1">
        <f>IF(OR(Table4[[#This Row],[INSTALLMENT]]=2,Table4[[#This Row],[INSTALLMENT]]=3),2,0)</f>
        <v>0</v>
      </c>
      <c r="G1381" s="1">
        <f>IF(OR(Table4[[#This Row],[INSTALLMENT]]=3),3,0)</f>
        <v>0</v>
      </c>
    </row>
    <row r="1382" spans="1:7">
      <c r="A1382" s="1">
        <v>1740</v>
      </c>
      <c r="B1382" s="1" t="s">
        <v>2980</v>
      </c>
      <c r="C1382" s="1" t="s">
        <v>138</v>
      </c>
      <c r="D1382" s="1">
        <f>COUNTIFS('Raw Entries'!B:B,Table4[[#This Row],[Name]],'Raw Entries'!I:I,Table4[[#This Row],[BOOK No.]])</f>
        <v>0</v>
      </c>
      <c r="E1382" s="1">
        <f t="array" ref="E1382">IF(OR(Table4[[#This Row],[INSTALLMENT]]=1,Table4[[#This Row],[INSTALLMENT]]=2,Table4[[#This Row],[INSTALLMENT]]=3),1,0)</f>
        <v>0</v>
      </c>
      <c r="F1382" s="1">
        <f>IF(OR(Table4[[#This Row],[INSTALLMENT]]=2,Table4[[#This Row],[INSTALLMENT]]=3),2,0)</f>
        <v>0</v>
      </c>
      <c r="G1382" s="1">
        <f>IF(OR(Table4[[#This Row],[INSTALLMENT]]=3),3,0)</f>
        <v>0</v>
      </c>
    </row>
    <row r="1383" spans="1:7">
      <c r="A1383" s="1">
        <v>1741</v>
      </c>
      <c r="B1383" s="1" t="s">
        <v>2981</v>
      </c>
      <c r="C1383" s="1" t="s">
        <v>138</v>
      </c>
      <c r="D1383" s="1">
        <f>COUNTIFS('Raw Entries'!B:B,Table4[[#This Row],[Name]],'Raw Entries'!I:I,Table4[[#This Row],[BOOK No.]])</f>
        <v>0</v>
      </c>
      <c r="E1383" s="1">
        <f t="array" ref="E1383">IF(OR(Table4[[#This Row],[INSTALLMENT]]=1,Table4[[#This Row],[INSTALLMENT]]=2,Table4[[#This Row],[INSTALLMENT]]=3),1,0)</f>
        <v>0</v>
      </c>
      <c r="F1383" s="1">
        <f>IF(OR(Table4[[#This Row],[INSTALLMENT]]=2,Table4[[#This Row],[INSTALLMENT]]=3),2,0)</f>
        <v>0</v>
      </c>
      <c r="G1383" s="1">
        <f>IF(OR(Table4[[#This Row],[INSTALLMENT]]=3),3,0)</f>
        <v>0</v>
      </c>
    </row>
    <row r="1384" spans="1:7">
      <c r="A1384" s="1">
        <v>1742</v>
      </c>
      <c r="B1384" s="1" t="s">
        <v>145</v>
      </c>
      <c r="C1384" s="1" t="s">
        <v>138</v>
      </c>
      <c r="D1384" s="1">
        <f>COUNTIFS('Raw Entries'!B:B,Table4[[#This Row],[Name]],'Raw Entries'!I:I,Table4[[#This Row],[BOOK No.]])</f>
        <v>2</v>
      </c>
      <c r="E1384" s="1">
        <f t="array" ref="E1384">IF(OR(Table4[[#This Row],[INSTALLMENT]]=1,Table4[[#This Row],[INSTALLMENT]]=2,Table4[[#This Row],[INSTALLMENT]]=3),1,0)</f>
        <v>1</v>
      </c>
      <c r="F1384" s="1">
        <f>IF(OR(Table4[[#This Row],[INSTALLMENT]]=2,Table4[[#This Row],[INSTALLMENT]]=3),2,0)</f>
        <v>2</v>
      </c>
      <c r="G1384" s="1">
        <f>IF(OR(Table4[[#This Row],[INSTALLMENT]]=3),3,0)</f>
        <v>0</v>
      </c>
    </row>
    <row r="1385" spans="1:7">
      <c r="A1385" s="1">
        <v>1743</v>
      </c>
      <c r="B1385" s="1" t="s">
        <v>141</v>
      </c>
      <c r="C1385" s="1" t="s">
        <v>138</v>
      </c>
      <c r="D1385" s="1">
        <f>COUNTIFS('Raw Entries'!B:B,Table4[[#This Row],[Name]],'Raw Entries'!I:I,Table4[[#This Row],[BOOK No.]])</f>
        <v>3</v>
      </c>
      <c r="E1385" s="1">
        <f t="array" ref="E1385">IF(OR(Table4[[#This Row],[INSTALLMENT]]=1,Table4[[#This Row],[INSTALLMENT]]=2,Table4[[#This Row],[INSTALLMENT]]=3),1,0)</f>
        <v>1</v>
      </c>
      <c r="F1385" s="1">
        <f>IF(OR(Table4[[#This Row],[INSTALLMENT]]=2,Table4[[#This Row],[INSTALLMENT]]=3),2,0)</f>
        <v>2</v>
      </c>
      <c r="G1385" s="1">
        <f>IF(OR(Table4[[#This Row],[INSTALLMENT]]=3),3,0)</f>
        <v>3</v>
      </c>
    </row>
    <row r="1386" spans="1:7">
      <c r="A1386" s="1">
        <v>1744</v>
      </c>
      <c r="B1386" s="1" t="s">
        <v>2254</v>
      </c>
      <c r="C1386" s="1" t="s">
        <v>138</v>
      </c>
      <c r="D1386" s="1">
        <f>COUNTIFS('Raw Entries'!B:B,Table4[[#This Row],[Name]],'Raw Entries'!I:I,Table4[[#This Row],[BOOK No.]])</f>
        <v>0</v>
      </c>
      <c r="E1386" s="1">
        <f t="array" ref="E1386">IF(OR(Table4[[#This Row],[INSTALLMENT]]=1,Table4[[#This Row],[INSTALLMENT]]=2,Table4[[#This Row],[INSTALLMENT]]=3),1,0)</f>
        <v>0</v>
      </c>
      <c r="F1386" s="1">
        <f>IF(OR(Table4[[#This Row],[INSTALLMENT]]=2,Table4[[#This Row],[INSTALLMENT]]=3),2,0)</f>
        <v>0</v>
      </c>
      <c r="G1386" s="1">
        <f>IF(OR(Table4[[#This Row],[INSTALLMENT]]=3),3,0)</f>
        <v>0</v>
      </c>
    </row>
    <row r="1387" spans="1:7">
      <c r="A1387" s="1">
        <v>1745</v>
      </c>
      <c r="B1387" s="1" t="s">
        <v>2982</v>
      </c>
      <c r="C1387" s="1" t="s">
        <v>138</v>
      </c>
      <c r="D1387" s="1">
        <f>COUNTIFS('Raw Entries'!B:B,Table4[[#This Row],[Name]],'Raw Entries'!I:I,Table4[[#This Row],[BOOK No.]])</f>
        <v>0</v>
      </c>
      <c r="E1387" s="1">
        <f t="array" ref="E1387">IF(OR(Table4[[#This Row],[INSTALLMENT]]=1,Table4[[#This Row],[INSTALLMENT]]=2,Table4[[#This Row],[INSTALLMENT]]=3),1,0)</f>
        <v>0</v>
      </c>
      <c r="F1387" s="1">
        <f>IF(OR(Table4[[#This Row],[INSTALLMENT]]=2,Table4[[#This Row],[INSTALLMENT]]=3),2,0)</f>
        <v>0</v>
      </c>
      <c r="G1387" s="1">
        <f>IF(OR(Table4[[#This Row],[INSTALLMENT]]=3),3,0)</f>
        <v>0</v>
      </c>
    </row>
    <row r="1388" spans="1:7">
      <c r="A1388" s="1">
        <v>1746</v>
      </c>
      <c r="B1388" s="1" t="s">
        <v>139</v>
      </c>
      <c r="C1388" s="1" t="s">
        <v>138</v>
      </c>
      <c r="D1388" s="1">
        <f>COUNTIFS('Raw Entries'!B:B,Table4[[#This Row],[Name]],'Raw Entries'!I:I,Table4[[#This Row],[BOOK No.]])</f>
        <v>3</v>
      </c>
      <c r="E1388" s="1">
        <f t="array" ref="E1388">IF(OR(Table4[[#This Row],[INSTALLMENT]]=1,Table4[[#This Row],[INSTALLMENT]]=2,Table4[[#This Row],[INSTALLMENT]]=3),1,0)</f>
        <v>1</v>
      </c>
      <c r="F1388" s="1">
        <f>IF(OR(Table4[[#This Row],[INSTALLMENT]]=2,Table4[[#This Row],[INSTALLMENT]]=3),2,0)</f>
        <v>2</v>
      </c>
      <c r="G1388" s="1">
        <f>IF(OR(Table4[[#This Row],[INSTALLMENT]]=3),3,0)</f>
        <v>3</v>
      </c>
    </row>
    <row r="1389" spans="1:7">
      <c r="A1389" s="1">
        <v>1747</v>
      </c>
      <c r="B1389" s="1" t="s">
        <v>147</v>
      </c>
      <c r="C1389" s="1" t="s">
        <v>138</v>
      </c>
      <c r="D1389" s="1">
        <f>COUNTIFS('Raw Entries'!B:B,Table4[[#This Row],[Name]],'Raw Entries'!I:I,Table4[[#This Row],[BOOK No.]])</f>
        <v>1</v>
      </c>
      <c r="E1389" s="1">
        <f t="array" ref="E1389">IF(OR(Table4[[#This Row],[INSTALLMENT]]=1,Table4[[#This Row],[INSTALLMENT]]=2,Table4[[#This Row],[INSTALLMENT]]=3),1,0)</f>
        <v>1</v>
      </c>
      <c r="F1389" s="1">
        <f>IF(OR(Table4[[#This Row],[INSTALLMENT]]=2,Table4[[#This Row],[INSTALLMENT]]=3),2,0)</f>
        <v>0</v>
      </c>
      <c r="G1389" s="1">
        <f>IF(OR(Table4[[#This Row],[INSTALLMENT]]=3),3,0)</f>
        <v>0</v>
      </c>
    </row>
    <row r="1390" spans="1:7">
      <c r="A1390" s="1">
        <v>1748</v>
      </c>
      <c r="B1390" s="1" t="s">
        <v>2983</v>
      </c>
      <c r="C1390" s="1" t="s">
        <v>138</v>
      </c>
      <c r="D1390" s="1">
        <f>COUNTIFS('Raw Entries'!B:B,Table4[[#This Row],[Name]],'Raw Entries'!I:I,Table4[[#This Row],[BOOK No.]])</f>
        <v>0</v>
      </c>
      <c r="E1390" s="1">
        <f t="array" ref="E1390">IF(OR(Table4[[#This Row],[INSTALLMENT]]=1,Table4[[#This Row],[INSTALLMENT]]=2,Table4[[#This Row],[INSTALLMENT]]=3),1,0)</f>
        <v>0</v>
      </c>
      <c r="F1390" s="1">
        <f>IF(OR(Table4[[#This Row],[INSTALLMENT]]=2,Table4[[#This Row],[INSTALLMENT]]=3),2,0)</f>
        <v>0</v>
      </c>
      <c r="G1390" s="1">
        <f>IF(OR(Table4[[#This Row],[INSTALLMENT]]=3),3,0)</f>
        <v>0</v>
      </c>
    </row>
    <row r="1391" spans="1:7">
      <c r="A1391" s="1">
        <v>1749</v>
      </c>
      <c r="B1391" s="1" t="s">
        <v>2984</v>
      </c>
      <c r="C1391" s="1" t="s">
        <v>138</v>
      </c>
      <c r="D1391" s="1">
        <f>COUNTIFS('Raw Entries'!B:B,Table4[[#This Row],[Name]],'Raw Entries'!I:I,Table4[[#This Row],[BOOK No.]])</f>
        <v>0</v>
      </c>
      <c r="E1391" s="1">
        <f t="array" ref="E1391">IF(OR(Table4[[#This Row],[INSTALLMENT]]=1,Table4[[#This Row],[INSTALLMENT]]=2,Table4[[#This Row],[INSTALLMENT]]=3),1,0)</f>
        <v>0</v>
      </c>
      <c r="F1391" s="1">
        <f>IF(OR(Table4[[#This Row],[INSTALLMENT]]=2,Table4[[#This Row],[INSTALLMENT]]=3),2,0)</f>
        <v>0</v>
      </c>
      <c r="G1391" s="1">
        <f>IF(OR(Table4[[#This Row],[INSTALLMENT]]=3),3,0)</f>
        <v>0</v>
      </c>
    </row>
    <row r="1392" spans="1:7">
      <c r="A1392" s="1">
        <v>1750</v>
      </c>
      <c r="B1392" s="1" t="s">
        <v>2985</v>
      </c>
      <c r="C1392" s="1" t="s">
        <v>138</v>
      </c>
      <c r="D1392" s="1">
        <f>COUNTIFS('Raw Entries'!B:B,Table4[[#This Row],[Name]],'Raw Entries'!I:I,Table4[[#This Row],[BOOK No.]])</f>
        <v>0</v>
      </c>
      <c r="E1392" s="1">
        <f t="array" ref="E1392">IF(OR(Table4[[#This Row],[INSTALLMENT]]=1,Table4[[#This Row],[INSTALLMENT]]=2,Table4[[#This Row],[INSTALLMENT]]=3),1,0)</f>
        <v>0</v>
      </c>
      <c r="F1392" s="1">
        <f>IF(OR(Table4[[#This Row],[INSTALLMENT]]=2,Table4[[#This Row],[INSTALLMENT]]=3),2,0)</f>
        <v>0</v>
      </c>
      <c r="G1392" s="1">
        <f>IF(OR(Table4[[#This Row],[INSTALLMENT]]=3),3,0)</f>
        <v>0</v>
      </c>
    </row>
    <row r="1393" spans="1:7">
      <c r="A1393" s="1">
        <v>1751</v>
      </c>
      <c r="B1393" s="1" t="s">
        <v>144</v>
      </c>
      <c r="C1393" s="1" t="s">
        <v>138</v>
      </c>
      <c r="D1393" s="1">
        <f>COUNTIFS('Raw Entries'!B:B,Table4[[#This Row],[Name]],'Raw Entries'!I:I,Table4[[#This Row],[BOOK No.]])</f>
        <v>3</v>
      </c>
      <c r="E1393" s="1">
        <f t="array" ref="E1393">IF(OR(Table4[[#This Row],[INSTALLMENT]]=1,Table4[[#This Row],[INSTALLMENT]]=2,Table4[[#This Row],[INSTALLMENT]]=3),1,0)</f>
        <v>1</v>
      </c>
      <c r="F1393" s="1">
        <f>IF(OR(Table4[[#This Row],[INSTALLMENT]]=2,Table4[[#This Row],[INSTALLMENT]]=3),2,0)</f>
        <v>2</v>
      </c>
      <c r="G1393" s="1">
        <f>IF(OR(Table4[[#This Row],[INSTALLMENT]]=3),3,0)</f>
        <v>3</v>
      </c>
    </row>
    <row r="1394" spans="1:7">
      <c r="A1394" s="1">
        <v>1752</v>
      </c>
      <c r="B1394" s="1" t="s">
        <v>2986</v>
      </c>
      <c r="C1394" s="1" t="s">
        <v>138</v>
      </c>
      <c r="D1394" s="1">
        <f>COUNTIFS('Raw Entries'!B:B,Table4[[#This Row],[Name]],'Raw Entries'!I:I,Table4[[#This Row],[BOOK No.]])</f>
        <v>0</v>
      </c>
      <c r="E1394" s="1">
        <f t="array" ref="E1394">IF(OR(Table4[[#This Row],[INSTALLMENT]]=1,Table4[[#This Row],[INSTALLMENT]]=2,Table4[[#This Row],[INSTALLMENT]]=3),1,0)</f>
        <v>0</v>
      </c>
      <c r="F1394" s="1">
        <f>IF(OR(Table4[[#This Row],[INSTALLMENT]]=2,Table4[[#This Row],[INSTALLMENT]]=3),2,0)</f>
        <v>0</v>
      </c>
      <c r="G1394" s="1">
        <f>IF(OR(Table4[[#This Row],[INSTALLMENT]]=3),3,0)</f>
        <v>0</v>
      </c>
    </row>
    <row r="1395" spans="1:7">
      <c r="A1395" s="1">
        <v>1753</v>
      </c>
      <c r="B1395" s="1" t="s">
        <v>2987</v>
      </c>
      <c r="C1395" s="1" t="s">
        <v>138</v>
      </c>
      <c r="D1395" s="1">
        <f>COUNTIFS('Raw Entries'!B:B,Table4[[#This Row],[Name]],'Raw Entries'!I:I,Table4[[#This Row],[BOOK No.]])</f>
        <v>0</v>
      </c>
      <c r="E1395" s="1">
        <f t="array" ref="E1395">IF(OR(Table4[[#This Row],[INSTALLMENT]]=1,Table4[[#This Row],[INSTALLMENT]]=2,Table4[[#This Row],[INSTALLMENT]]=3),1,0)</f>
        <v>0</v>
      </c>
      <c r="F1395" s="1">
        <f>IF(OR(Table4[[#This Row],[INSTALLMENT]]=2,Table4[[#This Row],[INSTALLMENT]]=3),2,0)</f>
        <v>0</v>
      </c>
      <c r="G1395" s="1">
        <f>IF(OR(Table4[[#This Row],[INSTALLMENT]]=3),3,0)</f>
        <v>0</v>
      </c>
    </row>
    <row r="1396" spans="1:7">
      <c r="A1396" s="1">
        <v>1754</v>
      </c>
      <c r="B1396" s="1" t="s">
        <v>2988</v>
      </c>
      <c r="C1396" s="1" t="s">
        <v>138</v>
      </c>
      <c r="D1396" s="1">
        <f>COUNTIFS('Raw Entries'!B:B,Table4[[#This Row],[Name]],'Raw Entries'!I:I,Table4[[#This Row],[BOOK No.]])</f>
        <v>0</v>
      </c>
      <c r="E1396" s="1">
        <f t="array" ref="E1396">IF(OR(Table4[[#This Row],[INSTALLMENT]]=1,Table4[[#This Row],[INSTALLMENT]]=2,Table4[[#This Row],[INSTALLMENT]]=3),1,0)</f>
        <v>0</v>
      </c>
      <c r="F1396" s="1">
        <f>IF(OR(Table4[[#This Row],[INSTALLMENT]]=2,Table4[[#This Row],[INSTALLMENT]]=3),2,0)</f>
        <v>0</v>
      </c>
      <c r="G1396" s="1">
        <f>IF(OR(Table4[[#This Row],[INSTALLMENT]]=3),3,0)</f>
        <v>0</v>
      </c>
    </row>
    <row r="1397" spans="1:7">
      <c r="A1397" s="1">
        <v>1755</v>
      </c>
      <c r="B1397" s="1" t="s">
        <v>2989</v>
      </c>
      <c r="C1397" s="1" t="s">
        <v>138</v>
      </c>
      <c r="D1397" s="1">
        <f>COUNTIFS('Raw Entries'!B:B,Table4[[#This Row],[Name]],'Raw Entries'!I:I,Table4[[#This Row],[BOOK No.]])</f>
        <v>0</v>
      </c>
      <c r="E1397" s="1">
        <f t="array" ref="E1397">IF(OR(Table4[[#This Row],[INSTALLMENT]]=1,Table4[[#This Row],[INSTALLMENT]]=2,Table4[[#This Row],[INSTALLMENT]]=3),1,0)</f>
        <v>0</v>
      </c>
      <c r="F1397" s="1">
        <f>IF(OR(Table4[[#This Row],[INSTALLMENT]]=2,Table4[[#This Row],[INSTALLMENT]]=3),2,0)</f>
        <v>0</v>
      </c>
      <c r="G1397" s="1">
        <f>IF(OR(Table4[[#This Row],[INSTALLMENT]]=3),3,0)</f>
        <v>0</v>
      </c>
    </row>
    <row r="1398" spans="1:7">
      <c r="A1398" s="1">
        <v>1756</v>
      </c>
      <c r="B1398" s="1" t="s">
        <v>2990</v>
      </c>
      <c r="C1398" s="1" t="s">
        <v>138</v>
      </c>
      <c r="D1398" s="1">
        <f>COUNTIFS('Raw Entries'!B:B,Table4[[#This Row],[Name]],'Raw Entries'!I:I,Table4[[#This Row],[BOOK No.]])</f>
        <v>0</v>
      </c>
      <c r="E1398" s="1">
        <f t="array" ref="E1398">IF(OR(Table4[[#This Row],[INSTALLMENT]]=1,Table4[[#This Row],[INSTALLMENT]]=2,Table4[[#This Row],[INSTALLMENT]]=3),1,0)</f>
        <v>0</v>
      </c>
      <c r="F1398" s="1">
        <f>IF(OR(Table4[[#This Row],[INSTALLMENT]]=2,Table4[[#This Row],[INSTALLMENT]]=3),2,0)</f>
        <v>0</v>
      </c>
      <c r="G1398" s="1">
        <f>IF(OR(Table4[[#This Row],[INSTALLMENT]]=3),3,0)</f>
        <v>0</v>
      </c>
    </row>
    <row r="1399" spans="1:7">
      <c r="A1399" s="1">
        <v>1757</v>
      </c>
      <c r="B1399" s="1" t="s">
        <v>2991</v>
      </c>
      <c r="C1399" s="1" t="s">
        <v>138</v>
      </c>
      <c r="D1399" s="1">
        <f>COUNTIFS('Raw Entries'!B:B,Table4[[#This Row],[Name]],'Raw Entries'!I:I,Table4[[#This Row],[BOOK No.]])</f>
        <v>0</v>
      </c>
      <c r="E1399" s="1">
        <f t="array" ref="E1399">IF(OR(Table4[[#This Row],[INSTALLMENT]]=1,Table4[[#This Row],[INSTALLMENT]]=2,Table4[[#This Row],[INSTALLMENT]]=3),1,0)</f>
        <v>0</v>
      </c>
      <c r="F1399" s="1">
        <f>IF(OR(Table4[[#This Row],[INSTALLMENT]]=2,Table4[[#This Row],[INSTALLMENT]]=3),2,0)</f>
        <v>0</v>
      </c>
      <c r="G1399" s="1">
        <f>IF(OR(Table4[[#This Row],[INSTALLMENT]]=3),3,0)</f>
        <v>0</v>
      </c>
    </row>
    <row r="1400" spans="1:7">
      <c r="A1400" s="1">
        <v>1758</v>
      </c>
      <c r="B1400" s="1" t="s">
        <v>2992</v>
      </c>
      <c r="C1400" s="1" t="s">
        <v>138</v>
      </c>
      <c r="D1400" s="1">
        <f>COUNTIFS('Raw Entries'!B:B,Table4[[#This Row],[Name]],'Raw Entries'!I:I,Table4[[#This Row],[BOOK No.]])</f>
        <v>0</v>
      </c>
      <c r="E1400" s="1">
        <f t="array" ref="E1400">IF(OR(Table4[[#This Row],[INSTALLMENT]]=1,Table4[[#This Row],[INSTALLMENT]]=2,Table4[[#This Row],[INSTALLMENT]]=3),1,0)</f>
        <v>0</v>
      </c>
      <c r="F1400" s="1">
        <f>IF(OR(Table4[[#This Row],[INSTALLMENT]]=2,Table4[[#This Row],[INSTALLMENT]]=3),2,0)</f>
        <v>0</v>
      </c>
      <c r="G1400" s="1">
        <f>IF(OR(Table4[[#This Row],[INSTALLMENT]]=3),3,0)</f>
        <v>0</v>
      </c>
    </row>
    <row r="1401" spans="1:7">
      <c r="A1401" s="1">
        <v>1759</v>
      </c>
      <c r="B1401" s="1" t="s">
        <v>612</v>
      </c>
      <c r="C1401" s="1" t="s">
        <v>138</v>
      </c>
      <c r="D1401" s="1">
        <f>COUNTIFS('Raw Entries'!B:B,Table4[[#This Row],[Name]],'Raw Entries'!I:I,Table4[[#This Row],[BOOK No.]])</f>
        <v>3</v>
      </c>
      <c r="E1401" s="1">
        <f t="array" ref="E1401">IF(OR(Table4[[#This Row],[INSTALLMENT]]=1,Table4[[#This Row],[INSTALLMENT]]=2,Table4[[#This Row],[INSTALLMENT]]=3),1,0)</f>
        <v>1</v>
      </c>
      <c r="F1401" s="1">
        <f>IF(OR(Table4[[#This Row],[INSTALLMENT]]=2,Table4[[#This Row],[INSTALLMENT]]=3),2,0)</f>
        <v>2</v>
      </c>
      <c r="G1401" s="1">
        <f>IF(OR(Table4[[#This Row],[INSTALLMENT]]=3),3,0)</f>
        <v>3</v>
      </c>
    </row>
    <row r="1402" spans="1:7">
      <c r="A1402" s="1">
        <v>1760</v>
      </c>
      <c r="B1402" s="1" t="s">
        <v>2585</v>
      </c>
      <c r="C1402" s="1" t="s">
        <v>138</v>
      </c>
      <c r="D1402" s="1">
        <f>COUNTIFS('Raw Entries'!B:B,Table4[[#This Row],[Name]],'Raw Entries'!I:I,Table4[[#This Row],[BOOK No.]])</f>
        <v>0</v>
      </c>
      <c r="E1402" s="1">
        <f t="array" ref="E1402">IF(OR(Table4[[#This Row],[INSTALLMENT]]=1,Table4[[#This Row],[INSTALLMENT]]=2,Table4[[#This Row],[INSTALLMENT]]=3),1,0)</f>
        <v>0</v>
      </c>
      <c r="F1402" s="1">
        <f>IF(OR(Table4[[#This Row],[INSTALLMENT]]=2,Table4[[#This Row],[INSTALLMENT]]=3),2,0)</f>
        <v>0</v>
      </c>
      <c r="G1402" s="1">
        <f>IF(OR(Table4[[#This Row],[INSTALLMENT]]=3),3,0)</f>
        <v>0</v>
      </c>
    </row>
    <row r="1403" spans="1:7">
      <c r="A1403" s="1">
        <v>1761</v>
      </c>
      <c r="B1403" s="1" t="s">
        <v>140</v>
      </c>
      <c r="C1403" s="1" t="s">
        <v>138</v>
      </c>
      <c r="D1403" s="1">
        <f>COUNTIFS('Raw Entries'!B:B,Table4[[#This Row],[Name]],'Raw Entries'!I:I,Table4[[#This Row],[BOOK No.]])</f>
        <v>2</v>
      </c>
      <c r="E1403" s="1">
        <f t="array" ref="E1403">IF(OR(Table4[[#This Row],[INSTALLMENT]]=1,Table4[[#This Row],[INSTALLMENT]]=2,Table4[[#This Row],[INSTALLMENT]]=3),1,0)</f>
        <v>1</v>
      </c>
      <c r="F1403" s="1">
        <f>IF(OR(Table4[[#This Row],[INSTALLMENT]]=2,Table4[[#This Row],[INSTALLMENT]]=3),2,0)</f>
        <v>2</v>
      </c>
      <c r="G1403" s="1">
        <f>IF(OR(Table4[[#This Row],[INSTALLMENT]]=3),3,0)</f>
        <v>0</v>
      </c>
    </row>
    <row r="1404" spans="1:7">
      <c r="A1404" s="1">
        <v>1762</v>
      </c>
      <c r="B1404" s="1" t="s">
        <v>142</v>
      </c>
      <c r="C1404" s="1" t="s">
        <v>138</v>
      </c>
      <c r="D1404" s="1">
        <f>COUNTIFS('Raw Entries'!B:B,Table4[[#This Row],[Name]],'Raw Entries'!I:I,Table4[[#This Row],[BOOK No.]])</f>
        <v>3</v>
      </c>
      <c r="E1404" s="1">
        <f t="array" ref="E1404">IF(OR(Table4[[#This Row],[INSTALLMENT]]=1,Table4[[#This Row],[INSTALLMENT]]=2,Table4[[#This Row],[INSTALLMENT]]=3),1,0)</f>
        <v>1</v>
      </c>
      <c r="F1404" s="1">
        <f>IF(OR(Table4[[#This Row],[INSTALLMENT]]=2,Table4[[#This Row],[INSTALLMENT]]=3),2,0)</f>
        <v>2</v>
      </c>
      <c r="G1404" s="1">
        <f>IF(OR(Table4[[#This Row],[INSTALLMENT]]=3),3,0)</f>
        <v>3</v>
      </c>
    </row>
    <row r="1405" spans="1:7">
      <c r="A1405" s="1">
        <v>1763</v>
      </c>
      <c r="B1405" s="1" t="s">
        <v>2993</v>
      </c>
      <c r="C1405" s="1" t="s">
        <v>138</v>
      </c>
      <c r="D1405" s="1">
        <f>COUNTIFS('Raw Entries'!B:B,Table4[[#This Row],[Name]],'Raw Entries'!I:I,Table4[[#This Row],[BOOK No.]])</f>
        <v>0</v>
      </c>
      <c r="E1405" s="1">
        <f t="array" ref="E1405">IF(OR(Table4[[#This Row],[INSTALLMENT]]=1,Table4[[#This Row],[INSTALLMENT]]=2,Table4[[#This Row],[INSTALLMENT]]=3),1,0)</f>
        <v>0</v>
      </c>
      <c r="F1405" s="1">
        <f>IF(OR(Table4[[#This Row],[INSTALLMENT]]=2,Table4[[#This Row],[INSTALLMENT]]=3),2,0)</f>
        <v>0</v>
      </c>
      <c r="G1405" s="1">
        <f>IF(OR(Table4[[#This Row],[INSTALLMENT]]=3),3,0)</f>
        <v>0</v>
      </c>
    </row>
    <row r="1406" spans="1:7">
      <c r="A1406" s="1">
        <v>1764</v>
      </c>
      <c r="B1406" s="1" t="s">
        <v>601</v>
      </c>
      <c r="C1406" s="1" t="s">
        <v>138</v>
      </c>
      <c r="D1406" s="1">
        <f>COUNTIFS('Raw Entries'!B:B,Table4[[#This Row],[Name]],'Raw Entries'!I:I,Table4[[#This Row],[BOOK No.]])</f>
        <v>1</v>
      </c>
      <c r="E1406" s="1">
        <f t="array" ref="E1406">IF(OR(Table4[[#This Row],[INSTALLMENT]]=1,Table4[[#This Row],[INSTALLMENT]]=2,Table4[[#This Row],[INSTALLMENT]]=3),1,0)</f>
        <v>1</v>
      </c>
      <c r="F1406" s="1">
        <f>IF(OR(Table4[[#This Row],[INSTALLMENT]]=2,Table4[[#This Row],[INSTALLMENT]]=3),2,0)</f>
        <v>0</v>
      </c>
      <c r="G1406" s="1">
        <f>IF(OR(Table4[[#This Row],[INSTALLMENT]]=3),3,0)</f>
        <v>0</v>
      </c>
    </row>
    <row r="1407" spans="1:7">
      <c r="A1407" s="1">
        <v>1765</v>
      </c>
      <c r="B1407" s="1" t="s">
        <v>2994</v>
      </c>
      <c r="C1407" s="1" t="s">
        <v>138</v>
      </c>
      <c r="D1407" s="1">
        <f>COUNTIFS('Raw Entries'!B:B,Table4[[#This Row],[Name]],'Raw Entries'!I:I,Table4[[#This Row],[BOOK No.]])</f>
        <v>0</v>
      </c>
      <c r="E1407" s="1">
        <f t="array" ref="E1407">IF(OR(Table4[[#This Row],[INSTALLMENT]]=1,Table4[[#This Row],[INSTALLMENT]]=2,Table4[[#This Row],[INSTALLMENT]]=3),1,0)</f>
        <v>0</v>
      </c>
      <c r="F1407" s="1">
        <f>IF(OR(Table4[[#This Row],[INSTALLMENT]]=2,Table4[[#This Row],[INSTALLMENT]]=3),2,0)</f>
        <v>0</v>
      </c>
      <c r="G1407" s="1">
        <f>IF(OR(Table4[[#This Row],[INSTALLMENT]]=3),3,0)</f>
        <v>0</v>
      </c>
    </row>
    <row r="1408" spans="1:7">
      <c r="A1408" s="1">
        <v>1766</v>
      </c>
      <c r="B1408" s="1" t="s">
        <v>2995</v>
      </c>
      <c r="C1408" s="1" t="s">
        <v>138</v>
      </c>
      <c r="D1408" s="1">
        <f>COUNTIFS('Raw Entries'!B:B,Table4[[#This Row],[Name]],'Raw Entries'!I:I,Table4[[#This Row],[BOOK No.]])</f>
        <v>0</v>
      </c>
      <c r="E1408" s="1">
        <f t="array" ref="E1408">IF(OR(Table4[[#This Row],[INSTALLMENT]]=1,Table4[[#This Row],[INSTALLMENT]]=2,Table4[[#This Row],[INSTALLMENT]]=3),1,0)</f>
        <v>0</v>
      </c>
      <c r="F1408" s="1">
        <f>IF(OR(Table4[[#This Row],[INSTALLMENT]]=2,Table4[[#This Row],[INSTALLMENT]]=3),2,0)</f>
        <v>0</v>
      </c>
      <c r="G1408" s="1">
        <f>IF(OR(Table4[[#This Row],[INSTALLMENT]]=3),3,0)</f>
        <v>0</v>
      </c>
    </row>
    <row r="1409" spans="1:7">
      <c r="A1409" s="1">
        <v>1767</v>
      </c>
      <c r="B1409" s="1" t="s">
        <v>148</v>
      </c>
      <c r="C1409" s="1" t="s">
        <v>138</v>
      </c>
      <c r="D1409" s="1">
        <f>COUNTIFS('Raw Entries'!B:B,Table4[[#This Row],[Name]],'Raw Entries'!I:I,Table4[[#This Row],[BOOK No.]])</f>
        <v>3</v>
      </c>
      <c r="E1409" s="1">
        <f t="array" ref="E1409">IF(OR(Table4[[#This Row],[INSTALLMENT]]=1,Table4[[#This Row],[INSTALLMENT]]=2,Table4[[#This Row],[INSTALLMENT]]=3),1,0)</f>
        <v>1</v>
      </c>
      <c r="F1409" s="1">
        <f>IF(OR(Table4[[#This Row],[INSTALLMENT]]=2,Table4[[#This Row],[INSTALLMENT]]=3),2,0)</f>
        <v>2</v>
      </c>
      <c r="G1409" s="1">
        <f>IF(OR(Table4[[#This Row],[INSTALLMENT]]=3),3,0)</f>
        <v>3</v>
      </c>
    </row>
    <row r="1410" spans="1:7">
      <c r="A1410" s="1">
        <v>1768</v>
      </c>
      <c r="B1410" s="1" t="s">
        <v>2996</v>
      </c>
      <c r="C1410" s="1" t="s">
        <v>138</v>
      </c>
      <c r="D1410" s="1">
        <f>COUNTIFS('Raw Entries'!B:B,Table4[[#This Row],[Name]],'Raw Entries'!I:I,Table4[[#This Row],[BOOK No.]])</f>
        <v>0</v>
      </c>
      <c r="E1410" s="1">
        <f t="array" ref="E1410">IF(OR(Table4[[#This Row],[INSTALLMENT]]=1,Table4[[#This Row],[INSTALLMENT]]=2,Table4[[#This Row],[INSTALLMENT]]=3),1,0)</f>
        <v>0</v>
      </c>
      <c r="F1410" s="1">
        <f>IF(OR(Table4[[#This Row],[INSTALLMENT]]=2,Table4[[#This Row],[INSTALLMENT]]=3),2,0)</f>
        <v>0</v>
      </c>
      <c r="G1410" s="1">
        <f>IF(OR(Table4[[#This Row],[INSTALLMENT]]=3),3,0)</f>
        <v>0</v>
      </c>
    </row>
    <row r="1411" spans="1:7">
      <c r="A1411" s="1">
        <v>1769</v>
      </c>
      <c r="B1411" s="1" t="s">
        <v>143</v>
      </c>
      <c r="C1411" s="1" t="s">
        <v>138</v>
      </c>
      <c r="D1411" s="1">
        <f>COUNTIFS('Raw Entries'!B:B,Table4[[#This Row],[Name]],'Raw Entries'!I:I,Table4[[#This Row],[BOOK No.]])</f>
        <v>3</v>
      </c>
      <c r="E1411" s="1">
        <f t="array" ref="E1411">IF(OR(Table4[[#This Row],[INSTALLMENT]]=1,Table4[[#This Row],[INSTALLMENT]]=2,Table4[[#This Row],[INSTALLMENT]]=3),1,0)</f>
        <v>1</v>
      </c>
      <c r="F1411" s="1">
        <f>IF(OR(Table4[[#This Row],[INSTALLMENT]]=2,Table4[[#This Row],[INSTALLMENT]]=3),2,0)</f>
        <v>2</v>
      </c>
      <c r="G1411" s="1">
        <f>IF(OR(Table4[[#This Row],[INSTALLMENT]]=3),3,0)</f>
        <v>3</v>
      </c>
    </row>
    <row r="1412" spans="1:7">
      <c r="A1412" s="1">
        <v>1770</v>
      </c>
      <c r="B1412" s="1" t="s">
        <v>2997</v>
      </c>
      <c r="C1412" s="1" t="s">
        <v>138</v>
      </c>
      <c r="D1412" s="1">
        <f>COUNTIFS('Raw Entries'!B:B,Table4[[#This Row],[Name]],'Raw Entries'!I:I,Table4[[#This Row],[BOOK No.]])</f>
        <v>0</v>
      </c>
      <c r="E1412" s="1">
        <f t="array" ref="E1412">IF(OR(Table4[[#This Row],[INSTALLMENT]]=1,Table4[[#This Row],[INSTALLMENT]]=2,Table4[[#This Row],[INSTALLMENT]]=3),1,0)</f>
        <v>0</v>
      </c>
      <c r="F1412" s="1">
        <f>IF(OR(Table4[[#This Row],[INSTALLMENT]]=2,Table4[[#This Row],[INSTALLMENT]]=3),2,0)</f>
        <v>0</v>
      </c>
      <c r="G1412" s="1">
        <f>IF(OR(Table4[[#This Row],[INSTALLMENT]]=3),3,0)</f>
        <v>0</v>
      </c>
    </row>
    <row r="1413" spans="1:7">
      <c r="A1413" s="1">
        <v>1771</v>
      </c>
      <c r="B1413" s="1" t="s">
        <v>2998</v>
      </c>
      <c r="C1413" s="1" t="s">
        <v>138</v>
      </c>
      <c r="D1413" s="1">
        <f>COUNTIFS('Raw Entries'!B:B,Table4[[#This Row],[Name]],'Raw Entries'!I:I,Table4[[#This Row],[BOOK No.]])</f>
        <v>0</v>
      </c>
      <c r="E1413" s="1">
        <f t="array" ref="E1413">IF(OR(Table4[[#This Row],[INSTALLMENT]]=1,Table4[[#This Row],[INSTALLMENT]]=2,Table4[[#This Row],[INSTALLMENT]]=3),1,0)</f>
        <v>0</v>
      </c>
      <c r="F1413" s="1">
        <f>IF(OR(Table4[[#This Row],[INSTALLMENT]]=2,Table4[[#This Row],[INSTALLMENT]]=3),2,0)</f>
        <v>0</v>
      </c>
      <c r="G1413" s="1">
        <f>IF(OR(Table4[[#This Row],[INSTALLMENT]]=3),3,0)</f>
        <v>0</v>
      </c>
    </row>
    <row r="1414" spans="1:7">
      <c r="A1414" s="1">
        <v>1772</v>
      </c>
      <c r="B1414" s="1" t="s">
        <v>2999</v>
      </c>
      <c r="C1414" s="1" t="s">
        <v>149</v>
      </c>
      <c r="D1414" s="1">
        <f>COUNTIFS('Raw Entries'!B:B,Table4[[#This Row],[Name]],'Raw Entries'!I:I,Table4[[#This Row],[BOOK No.]])</f>
        <v>0</v>
      </c>
      <c r="E1414" s="1">
        <f t="array" ref="E1414">IF(OR(Table4[[#This Row],[INSTALLMENT]]=1,Table4[[#This Row],[INSTALLMENT]]=2,Table4[[#This Row],[INSTALLMENT]]=3),1,0)</f>
        <v>0</v>
      </c>
      <c r="F1414" s="1">
        <f>IF(OR(Table4[[#This Row],[INSTALLMENT]]=2,Table4[[#This Row],[INSTALLMENT]]=3),2,0)</f>
        <v>0</v>
      </c>
      <c r="G1414" s="1">
        <f>IF(OR(Table4[[#This Row],[INSTALLMENT]]=3),3,0)</f>
        <v>0</v>
      </c>
    </row>
    <row r="1415" spans="1:7">
      <c r="A1415" s="1">
        <v>1773</v>
      </c>
      <c r="B1415" s="1" t="s">
        <v>157</v>
      </c>
      <c r="C1415" s="1" t="s">
        <v>149</v>
      </c>
      <c r="D1415" s="1">
        <f>COUNTIFS('Raw Entries'!B:B,Table4[[#This Row],[Name]],'Raw Entries'!I:I,Table4[[#This Row],[BOOK No.]])</f>
        <v>1</v>
      </c>
      <c r="E1415" s="1">
        <f t="array" ref="E1415">IF(OR(Table4[[#This Row],[INSTALLMENT]]=1,Table4[[#This Row],[INSTALLMENT]]=2,Table4[[#This Row],[INSTALLMENT]]=3),1,0)</f>
        <v>1</v>
      </c>
      <c r="F1415" s="1">
        <f>IF(OR(Table4[[#This Row],[INSTALLMENT]]=2,Table4[[#This Row],[INSTALLMENT]]=3),2,0)</f>
        <v>0</v>
      </c>
      <c r="G1415" s="1">
        <f>IF(OR(Table4[[#This Row],[INSTALLMENT]]=3),3,0)</f>
        <v>0</v>
      </c>
    </row>
    <row r="1416" spans="1:7">
      <c r="A1416" s="1">
        <v>1774</v>
      </c>
      <c r="B1416" s="1" t="s">
        <v>156</v>
      </c>
      <c r="C1416" s="1" t="s">
        <v>149</v>
      </c>
      <c r="D1416" s="1">
        <f>COUNTIFS('Raw Entries'!B:B,Table4[[#This Row],[Name]],'Raw Entries'!I:I,Table4[[#This Row],[BOOK No.]])</f>
        <v>3</v>
      </c>
      <c r="E1416" s="1">
        <f t="array" ref="E1416">IF(OR(Table4[[#This Row],[INSTALLMENT]]=1,Table4[[#This Row],[INSTALLMENT]]=2,Table4[[#This Row],[INSTALLMENT]]=3),1,0)</f>
        <v>1</v>
      </c>
      <c r="F1416" s="1">
        <f>IF(OR(Table4[[#This Row],[INSTALLMENT]]=2,Table4[[#This Row],[INSTALLMENT]]=3),2,0)</f>
        <v>2</v>
      </c>
      <c r="G1416" s="1">
        <f>IF(OR(Table4[[#This Row],[INSTALLMENT]]=3),3,0)</f>
        <v>3</v>
      </c>
    </row>
    <row r="1417" spans="1:7">
      <c r="A1417" s="1">
        <v>1775</v>
      </c>
      <c r="B1417" s="1" t="s">
        <v>155</v>
      </c>
      <c r="C1417" s="1" t="s">
        <v>149</v>
      </c>
      <c r="D1417" s="1">
        <f>COUNTIFS('Raw Entries'!B:B,Table4[[#This Row],[Name]],'Raw Entries'!I:I,Table4[[#This Row],[BOOK No.]])</f>
        <v>1</v>
      </c>
      <c r="E1417" s="1">
        <f t="array" ref="E1417">IF(OR(Table4[[#This Row],[INSTALLMENT]]=1,Table4[[#This Row],[INSTALLMENT]]=2,Table4[[#This Row],[INSTALLMENT]]=3),1,0)</f>
        <v>1</v>
      </c>
      <c r="F1417" s="1">
        <f>IF(OR(Table4[[#This Row],[INSTALLMENT]]=2,Table4[[#This Row],[INSTALLMENT]]=3),2,0)</f>
        <v>0</v>
      </c>
      <c r="G1417" s="1">
        <f>IF(OR(Table4[[#This Row],[INSTALLMENT]]=3),3,0)</f>
        <v>0</v>
      </c>
    </row>
    <row r="1418" spans="1:7">
      <c r="A1418" s="1">
        <v>1776</v>
      </c>
      <c r="B1418" s="1" t="s">
        <v>3000</v>
      </c>
      <c r="C1418" s="1" t="s">
        <v>149</v>
      </c>
      <c r="D1418" s="1">
        <f>COUNTIFS('Raw Entries'!B:B,Table4[[#This Row],[Name]],'Raw Entries'!I:I,Table4[[#This Row],[BOOK No.]])</f>
        <v>0</v>
      </c>
      <c r="E1418" s="1">
        <f t="array" ref="E1418">IF(OR(Table4[[#This Row],[INSTALLMENT]]=1,Table4[[#This Row],[INSTALLMENT]]=2,Table4[[#This Row],[INSTALLMENT]]=3),1,0)</f>
        <v>0</v>
      </c>
      <c r="F1418" s="1">
        <f>IF(OR(Table4[[#This Row],[INSTALLMENT]]=2,Table4[[#This Row],[INSTALLMENT]]=3),2,0)</f>
        <v>0</v>
      </c>
      <c r="G1418" s="1">
        <f>IF(OR(Table4[[#This Row],[INSTALLMENT]]=3),3,0)</f>
        <v>0</v>
      </c>
    </row>
    <row r="1419" spans="1:7">
      <c r="A1419" s="1">
        <v>1777</v>
      </c>
      <c r="B1419" s="1" t="s">
        <v>153</v>
      </c>
      <c r="C1419" s="1" t="s">
        <v>149</v>
      </c>
      <c r="D1419" s="1">
        <f>COUNTIFS('Raw Entries'!B:B,Table4[[#This Row],[Name]],'Raw Entries'!I:I,Table4[[#This Row],[BOOK No.]])</f>
        <v>2</v>
      </c>
      <c r="E1419" s="1">
        <f t="array" ref="E1419">IF(OR(Table4[[#This Row],[INSTALLMENT]]=1,Table4[[#This Row],[INSTALLMENT]]=2,Table4[[#This Row],[INSTALLMENT]]=3),1,0)</f>
        <v>1</v>
      </c>
      <c r="F1419" s="1">
        <f>IF(OR(Table4[[#This Row],[INSTALLMENT]]=2,Table4[[#This Row],[INSTALLMENT]]=3),2,0)</f>
        <v>2</v>
      </c>
      <c r="G1419" s="1">
        <f>IF(OR(Table4[[#This Row],[INSTALLMENT]]=3),3,0)</f>
        <v>0</v>
      </c>
    </row>
    <row r="1420" spans="1:7">
      <c r="A1420" s="1">
        <v>1778</v>
      </c>
      <c r="B1420" s="1" t="s">
        <v>3001</v>
      </c>
      <c r="C1420" s="1" t="s">
        <v>149</v>
      </c>
      <c r="D1420" s="1">
        <f>COUNTIFS('Raw Entries'!B:B,Table4[[#This Row],[Name]],'Raw Entries'!I:I,Table4[[#This Row],[BOOK No.]])</f>
        <v>0</v>
      </c>
      <c r="E1420" s="1">
        <f t="array" ref="E1420">IF(OR(Table4[[#This Row],[INSTALLMENT]]=1,Table4[[#This Row],[INSTALLMENT]]=2,Table4[[#This Row],[INSTALLMENT]]=3),1,0)</f>
        <v>0</v>
      </c>
      <c r="F1420" s="1">
        <f>IF(OR(Table4[[#This Row],[INSTALLMENT]]=2,Table4[[#This Row],[INSTALLMENT]]=3),2,0)</f>
        <v>0</v>
      </c>
      <c r="G1420" s="1">
        <f>IF(OR(Table4[[#This Row],[INSTALLMENT]]=3),3,0)</f>
        <v>0</v>
      </c>
    </row>
    <row r="1421" spans="1:7">
      <c r="A1421" s="1">
        <v>1779</v>
      </c>
      <c r="B1421" s="1" t="s">
        <v>3002</v>
      </c>
      <c r="C1421" s="1" t="s">
        <v>149</v>
      </c>
      <c r="D1421" s="1">
        <f>COUNTIFS('Raw Entries'!B:B,Table4[[#This Row],[Name]],'Raw Entries'!I:I,Table4[[#This Row],[BOOK No.]])</f>
        <v>0</v>
      </c>
      <c r="E1421" s="1">
        <f t="array" ref="E1421">IF(OR(Table4[[#This Row],[INSTALLMENT]]=1,Table4[[#This Row],[INSTALLMENT]]=2,Table4[[#This Row],[INSTALLMENT]]=3),1,0)</f>
        <v>0</v>
      </c>
      <c r="F1421" s="1">
        <f>IF(OR(Table4[[#This Row],[INSTALLMENT]]=2,Table4[[#This Row],[INSTALLMENT]]=3),2,0)</f>
        <v>0</v>
      </c>
      <c r="G1421" s="1">
        <f>IF(OR(Table4[[#This Row],[INSTALLMENT]]=3),3,0)</f>
        <v>0</v>
      </c>
    </row>
    <row r="1422" spans="1:7">
      <c r="A1422" s="1">
        <v>1780</v>
      </c>
      <c r="B1422" s="1" t="s">
        <v>150</v>
      </c>
      <c r="C1422" s="1" t="s">
        <v>149</v>
      </c>
      <c r="D1422" s="1">
        <f>COUNTIFS('Raw Entries'!B:B,Table4[[#This Row],[Name]],'Raw Entries'!I:I,Table4[[#This Row],[BOOK No.]])</f>
        <v>3</v>
      </c>
      <c r="E1422" s="1">
        <f t="array" ref="E1422">IF(OR(Table4[[#This Row],[INSTALLMENT]]=1,Table4[[#This Row],[INSTALLMENT]]=2,Table4[[#This Row],[INSTALLMENT]]=3),1,0)</f>
        <v>1</v>
      </c>
      <c r="F1422" s="1">
        <f>IF(OR(Table4[[#This Row],[INSTALLMENT]]=2,Table4[[#This Row],[INSTALLMENT]]=3),2,0)</f>
        <v>2</v>
      </c>
      <c r="G1422" s="1">
        <f>IF(OR(Table4[[#This Row],[INSTALLMENT]]=3),3,0)</f>
        <v>3</v>
      </c>
    </row>
    <row r="1423" spans="1:7">
      <c r="A1423" s="1">
        <v>1781</v>
      </c>
      <c r="B1423" s="1" t="s">
        <v>3003</v>
      </c>
      <c r="C1423" s="1" t="s">
        <v>149</v>
      </c>
      <c r="D1423" s="1">
        <f>COUNTIFS('Raw Entries'!B:B,Table4[[#This Row],[Name]],'Raw Entries'!I:I,Table4[[#This Row],[BOOK No.]])</f>
        <v>0</v>
      </c>
      <c r="E1423" s="1">
        <f t="array" ref="E1423">IF(OR(Table4[[#This Row],[INSTALLMENT]]=1,Table4[[#This Row],[INSTALLMENT]]=2,Table4[[#This Row],[INSTALLMENT]]=3),1,0)</f>
        <v>0</v>
      </c>
      <c r="F1423" s="1">
        <f>IF(OR(Table4[[#This Row],[INSTALLMENT]]=2,Table4[[#This Row],[INSTALLMENT]]=3),2,0)</f>
        <v>0</v>
      </c>
      <c r="G1423" s="1">
        <f>IF(OR(Table4[[#This Row],[INSTALLMENT]]=3),3,0)</f>
        <v>0</v>
      </c>
    </row>
    <row r="1424" spans="1:7">
      <c r="A1424" s="1">
        <v>1782</v>
      </c>
      <c r="B1424" s="1" t="s">
        <v>3004</v>
      </c>
      <c r="C1424" s="1" t="s">
        <v>149</v>
      </c>
      <c r="D1424" s="1">
        <f>COUNTIFS('Raw Entries'!B:B,Table4[[#This Row],[Name]],'Raw Entries'!I:I,Table4[[#This Row],[BOOK No.]])</f>
        <v>0</v>
      </c>
      <c r="E1424" s="1">
        <f t="array" ref="E1424">IF(OR(Table4[[#This Row],[INSTALLMENT]]=1,Table4[[#This Row],[INSTALLMENT]]=2,Table4[[#This Row],[INSTALLMENT]]=3),1,0)</f>
        <v>0</v>
      </c>
      <c r="F1424" s="1">
        <f>IF(OR(Table4[[#This Row],[INSTALLMENT]]=2,Table4[[#This Row],[INSTALLMENT]]=3),2,0)</f>
        <v>0</v>
      </c>
      <c r="G1424" s="1">
        <f>IF(OR(Table4[[#This Row],[INSTALLMENT]]=3),3,0)</f>
        <v>0</v>
      </c>
    </row>
    <row r="1425" spans="1:7">
      <c r="A1425" s="1">
        <v>1783</v>
      </c>
      <c r="B1425" s="1" t="s">
        <v>3005</v>
      </c>
      <c r="C1425" s="1" t="s">
        <v>149</v>
      </c>
      <c r="D1425" s="1">
        <f>COUNTIFS('Raw Entries'!B:B,Table4[[#This Row],[Name]],'Raw Entries'!I:I,Table4[[#This Row],[BOOK No.]])</f>
        <v>0</v>
      </c>
      <c r="E1425" s="1">
        <f t="array" ref="E1425">IF(OR(Table4[[#This Row],[INSTALLMENT]]=1,Table4[[#This Row],[INSTALLMENT]]=2,Table4[[#This Row],[INSTALLMENT]]=3),1,0)</f>
        <v>0</v>
      </c>
      <c r="F1425" s="1">
        <f>IF(OR(Table4[[#This Row],[INSTALLMENT]]=2,Table4[[#This Row],[INSTALLMENT]]=3),2,0)</f>
        <v>0</v>
      </c>
      <c r="G1425" s="1">
        <f>IF(OR(Table4[[#This Row],[INSTALLMENT]]=3),3,0)</f>
        <v>0</v>
      </c>
    </row>
    <row r="1426" spans="1:7">
      <c r="A1426" s="1">
        <v>1784</v>
      </c>
      <c r="B1426" s="1" t="s">
        <v>154</v>
      </c>
      <c r="C1426" s="1" t="s">
        <v>149</v>
      </c>
      <c r="D1426" s="1">
        <f>COUNTIFS('Raw Entries'!B:B,Table4[[#This Row],[Name]],'Raw Entries'!I:I,Table4[[#This Row],[BOOK No.]])</f>
        <v>1</v>
      </c>
      <c r="E1426" s="1">
        <f t="array" ref="E1426">IF(OR(Table4[[#This Row],[INSTALLMENT]]=1,Table4[[#This Row],[INSTALLMENT]]=2,Table4[[#This Row],[INSTALLMENT]]=3),1,0)</f>
        <v>1</v>
      </c>
      <c r="F1426" s="1">
        <f>IF(OR(Table4[[#This Row],[INSTALLMENT]]=2,Table4[[#This Row],[INSTALLMENT]]=3),2,0)</f>
        <v>0</v>
      </c>
      <c r="G1426" s="1">
        <f>IF(OR(Table4[[#This Row],[INSTALLMENT]]=3),3,0)</f>
        <v>0</v>
      </c>
    </row>
    <row r="1427" spans="1:7">
      <c r="A1427" s="1">
        <v>1785</v>
      </c>
      <c r="B1427" s="1" t="s">
        <v>3006</v>
      </c>
      <c r="C1427" s="1" t="s">
        <v>149</v>
      </c>
      <c r="D1427" s="1">
        <f>COUNTIFS('Raw Entries'!B:B,Table4[[#This Row],[Name]],'Raw Entries'!I:I,Table4[[#This Row],[BOOK No.]])</f>
        <v>1</v>
      </c>
      <c r="E1427" s="1">
        <f t="array" ref="E1427">IF(OR(Table4[[#This Row],[INSTALLMENT]]=1,Table4[[#This Row],[INSTALLMENT]]=2,Table4[[#This Row],[INSTALLMENT]]=3),1,0)</f>
        <v>1</v>
      </c>
      <c r="F1427" s="1">
        <f>IF(OR(Table4[[#This Row],[INSTALLMENT]]=2,Table4[[#This Row],[INSTALLMENT]]=3),2,0)</f>
        <v>0</v>
      </c>
      <c r="G1427" s="1">
        <f>IF(OR(Table4[[#This Row],[INSTALLMENT]]=3),3,0)</f>
        <v>0</v>
      </c>
    </row>
    <row r="1428" spans="1:7">
      <c r="A1428" s="1">
        <v>1786</v>
      </c>
      <c r="B1428" s="1" t="s">
        <v>3007</v>
      </c>
      <c r="C1428" s="1" t="s">
        <v>149</v>
      </c>
      <c r="D1428" s="1">
        <f>COUNTIFS('Raw Entries'!B:B,Table4[[#This Row],[Name]],'Raw Entries'!I:I,Table4[[#This Row],[BOOK No.]])</f>
        <v>0</v>
      </c>
      <c r="E1428" s="1">
        <f t="array" ref="E1428">IF(OR(Table4[[#This Row],[INSTALLMENT]]=1,Table4[[#This Row],[INSTALLMENT]]=2,Table4[[#This Row],[INSTALLMENT]]=3),1,0)</f>
        <v>0</v>
      </c>
      <c r="F1428" s="1">
        <f>IF(OR(Table4[[#This Row],[INSTALLMENT]]=2,Table4[[#This Row],[INSTALLMENT]]=3),2,0)</f>
        <v>0</v>
      </c>
      <c r="G1428" s="1">
        <f>IF(OR(Table4[[#This Row],[INSTALLMENT]]=3),3,0)</f>
        <v>0</v>
      </c>
    </row>
    <row r="1429" spans="1:7">
      <c r="A1429" s="1">
        <v>1787</v>
      </c>
      <c r="B1429" s="1" t="s">
        <v>3008</v>
      </c>
      <c r="C1429" s="1" t="s">
        <v>149</v>
      </c>
      <c r="D1429" s="1">
        <f>COUNTIFS('Raw Entries'!B:B,Table4[[#This Row],[Name]],'Raw Entries'!I:I,Table4[[#This Row],[BOOK No.]])</f>
        <v>0</v>
      </c>
      <c r="E1429" s="1">
        <f t="array" ref="E1429">IF(OR(Table4[[#This Row],[INSTALLMENT]]=1,Table4[[#This Row],[INSTALLMENT]]=2,Table4[[#This Row],[INSTALLMENT]]=3),1,0)</f>
        <v>0</v>
      </c>
      <c r="F1429" s="1">
        <f>IF(OR(Table4[[#This Row],[INSTALLMENT]]=2,Table4[[#This Row],[INSTALLMENT]]=3),2,0)</f>
        <v>0</v>
      </c>
      <c r="G1429" s="1">
        <f>IF(OR(Table4[[#This Row],[INSTALLMENT]]=3),3,0)</f>
        <v>0</v>
      </c>
    </row>
    <row r="1430" spans="1:7">
      <c r="A1430" s="1">
        <v>1788</v>
      </c>
      <c r="B1430" s="1" t="s">
        <v>3009</v>
      </c>
      <c r="C1430" s="1" t="s">
        <v>149</v>
      </c>
      <c r="D1430" s="1">
        <f>COUNTIFS('Raw Entries'!B:B,Table4[[#This Row],[Name]],'Raw Entries'!I:I,Table4[[#This Row],[BOOK No.]])</f>
        <v>1</v>
      </c>
      <c r="E1430" s="1">
        <f t="array" ref="E1430">IF(OR(Table4[[#This Row],[INSTALLMENT]]=1,Table4[[#This Row],[INSTALLMENT]]=2,Table4[[#This Row],[INSTALLMENT]]=3),1,0)</f>
        <v>1</v>
      </c>
      <c r="F1430" s="1">
        <f>IF(OR(Table4[[#This Row],[INSTALLMENT]]=2,Table4[[#This Row],[INSTALLMENT]]=3),2,0)</f>
        <v>0</v>
      </c>
      <c r="G1430" s="1">
        <f>IF(OR(Table4[[#This Row],[INSTALLMENT]]=3),3,0)</f>
        <v>0</v>
      </c>
    </row>
    <row r="1431" spans="1:7">
      <c r="A1431" s="1">
        <v>1789</v>
      </c>
      <c r="B1431" s="1" t="s">
        <v>3010</v>
      </c>
      <c r="C1431" s="1" t="s">
        <v>149</v>
      </c>
      <c r="D1431" s="1">
        <f>COUNTIFS('Raw Entries'!B:B,Table4[[#This Row],[Name]],'Raw Entries'!I:I,Table4[[#This Row],[BOOK No.]])</f>
        <v>0</v>
      </c>
      <c r="E1431" s="1">
        <f t="array" ref="E1431">IF(OR(Table4[[#This Row],[INSTALLMENT]]=1,Table4[[#This Row],[INSTALLMENT]]=2,Table4[[#This Row],[INSTALLMENT]]=3),1,0)</f>
        <v>0</v>
      </c>
      <c r="F1431" s="1">
        <f>IF(OR(Table4[[#This Row],[INSTALLMENT]]=2,Table4[[#This Row],[INSTALLMENT]]=3),2,0)</f>
        <v>0</v>
      </c>
      <c r="G1431" s="1">
        <f>IF(OR(Table4[[#This Row],[INSTALLMENT]]=3),3,0)</f>
        <v>0</v>
      </c>
    </row>
    <row r="1432" spans="1:7">
      <c r="A1432" s="1">
        <v>1790</v>
      </c>
      <c r="B1432" s="1" t="s">
        <v>3011</v>
      </c>
      <c r="C1432" s="1" t="s">
        <v>149</v>
      </c>
      <c r="D1432" s="1">
        <f>COUNTIFS('Raw Entries'!B:B,Table4[[#This Row],[Name]],'Raw Entries'!I:I,Table4[[#This Row],[BOOK No.]])</f>
        <v>0</v>
      </c>
      <c r="E1432" s="1">
        <f t="array" ref="E1432">IF(OR(Table4[[#This Row],[INSTALLMENT]]=1,Table4[[#This Row],[INSTALLMENT]]=2,Table4[[#This Row],[INSTALLMENT]]=3),1,0)</f>
        <v>0</v>
      </c>
      <c r="F1432" s="1">
        <f>IF(OR(Table4[[#This Row],[INSTALLMENT]]=2,Table4[[#This Row],[INSTALLMENT]]=3),2,0)</f>
        <v>0</v>
      </c>
      <c r="G1432" s="1">
        <f>IF(OR(Table4[[#This Row],[INSTALLMENT]]=3),3,0)</f>
        <v>0</v>
      </c>
    </row>
    <row r="1433" spans="1:7">
      <c r="A1433" s="1">
        <v>1791</v>
      </c>
      <c r="B1433" s="1" t="s">
        <v>3012</v>
      </c>
      <c r="C1433" s="1" t="s">
        <v>149</v>
      </c>
      <c r="D1433" s="1">
        <f>COUNTIFS('Raw Entries'!B:B,Table4[[#This Row],[Name]],'Raw Entries'!I:I,Table4[[#This Row],[BOOK No.]])</f>
        <v>0</v>
      </c>
      <c r="E1433" s="1">
        <f t="array" ref="E1433">IF(OR(Table4[[#This Row],[INSTALLMENT]]=1,Table4[[#This Row],[INSTALLMENT]]=2,Table4[[#This Row],[INSTALLMENT]]=3),1,0)</f>
        <v>0</v>
      </c>
      <c r="F1433" s="1">
        <f>IF(OR(Table4[[#This Row],[INSTALLMENT]]=2,Table4[[#This Row],[INSTALLMENT]]=3),2,0)</f>
        <v>0</v>
      </c>
      <c r="G1433" s="1">
        <f>IF(OR(Table4[[#This Row],[INSTALLMENT]]=3),3,0)</f>
        <v>0</v>
      </c>
    </row>
    <row r="1434" spans="1:7">
      <c r="A1434" s="1">
        <v>1792</v>
      </c>
      <c r="B1434" s="1" t="s">
        <v>158</v>
      </c>
      <c r="C1434" s="1" t="s">
        <v>149</v>
      </c>
      <c r="D1434" s="1">
        <f>COUNTIFS('Raw Entries'!B:B,Table4[[#This Row],[Name]],'Raw Entries'!I:I,Table4[[#This Row],[BOOK No.]])</f>
        <v>1</v>
      </c>
      <c r="E1434" s="1">
        <f t="array" ref="E1434">IF(OR(Table4[[#This Row],[INSTALLMENT]]=1,Table4[[#This Row],[INSTALLMENT]]=2,Table4[[#This Row],[INSTALLMENT]]=3),1,0)</f>
        <v>1</v>
      </c>
      <c r="F1434" s="1">
        <f>IF(OR(Table4[[#This Row],[INSTALLMENT]]=2,Table4[[#This Row],[INSTALLMENT]]=3),2,0)</f>
        <v>0</v>
      </c>
      <c r="G1434" s="1">
        <f>IF(OR(Table4[[#This Row],[INSTALLMENT]]=3),3,0)</f>
        <v>0</v>
      </c>
    </row>
    <row r="1435" spans="1:7">
      <c r="A1435" s="1">
        <v>1793</v>
      </c>
      <c r="B1435" s="1" t="s">
        <v>151</v>
      </c>
      <c r="C1435" s="1" t="s">
        <v>149</v>
      </c>
      <c r="D1435" s="1">
        <f>COUNTIFS('Raw Entries'!B:B,Table4[[#This Row],[Name]],'Raw Entries'!I:I,Table4[[#This Row],[BOOK No.]])</f>
        <v>3</v>
      </c>
      <c r="E1435" s="1">
        <f t="array" ref="E1435">IF(OR(Table4[[#This Row],[INSTALLMENT]]=1,Table4[[#This Row],[INSTALLMENT]]=2,Table4[[#This Row],[INSTALLMENT]]=3),1,0)</f>
        <v>1</v>
      </c>
      <c r="F1435" s="1">
        <f>IF(OR(Table4[[#This Row],[INSTALLMENT]]=2,Table4[[#This Row],[INSTALLMENT]]=3),2,0)</f>
        <v>2</v>
      </c>
      <c r="G1435" s="1">
        <f>IF(OR(Table4[[#This Row],[INSTALLMENT]]=3),3,0)</f>
        <v>3</v>
      </c>
    </row>
    <row r="1436" spans="1:7">
      <c r="A1436" s="1">
        <v>1794</v>
      </c>
      <c r="B1436" s="1" t="s">
        <v>3013</v>
      </c>
      <c r="C1436" s="1" t="s">
        <v>149</v>
      </c>
      <c r="D1436" s="1">
        <f>COUNTIFS('Raw Entries'!B:B,Table4[[#This Row],[Name]],'Raw Entries'!I:I,Table4[[#This Row],[BOOK No.]])</f>
        <v>0</v>
      </c>
      <c r="E1436" s="1">
        <f t="array" ref="E1436">IF(OR(Table4[[#This Row],[INSTALLMENT]]=1,Table4[[#This Row],[INSTALLMENT]]=2,Table4[[#This Row],[INSTALLMENT]]=3),1,0)</f>
        <v>0</v>
      </c>
      <c r="F1436" s="1">
        <f>IF(OR(Table4[[#This Row],[INSTALLMENT]]=2,Table4[[#This Row],[INSTALLMENT]]=3),2,0)</f>
        <v>0</v>
      </c>
      <c r="G1436" s="1">
        <f>IF(OR(Table4[[#This Row],[INSTALLMENT]]=3),3,0)</f>
        <v>0</v>
      </c>
    </row>
    <row r="1437" spans="1:7">
      <c r="A1437" s="1">
        <v>1795</v>
      </c>
      <c r="B1437" s="1" t="s">
        <v>152</v>
      </c>
      <c r="C1437" s="1" t="s">
        <v>149</v>
      </c>
      <c r="D1437" s="1">
        <f>COUNTIFS('Raw Entries'!B:B,Table4[[#This Row],[Name]],'Raw Entries'!I:I,Table4[[#This Row],[BOOK No.]])</f>
        <v>2</v>
      </c>
      <c r="E1437" s="1">
        <f t="array" ref="E1437">IF(OR(Table4[[#This Row],[INSTALLMENT]]=1,Table4[[#This Row],[INSTALLMENT]]=2,Table4[[#This Row],[INSTALLMENT]]=3),1,0)</f>
        <v>1</v>
      </c>
      <c r="F1437" s="1">
        <f>IF(OR(Table4[[#This Row],[INSTALLMENT]]=2,Table4[[#This Row],[INSTALLMENT]]=3),2,0)</f>
        <v>2</v>
      </c>
      <c r="G1437" s="1">
        <f>IF(OR(Table4[[#This Row],[INSTALLMENT]]=3),3,0)</f>
        <v>0</v>
      </c>
    </row>
    <row r="1438" spans="1:7">
      <c r="A1438" s="1">
        <v>1796</v>
      </c>
      <c r="B1438" s="1" t="s">
        <v>3014</v>
      </c>
      <c r="C1438" s="1" t="s">
        <v>185</v>
      </c>
      <c r="D1438" s="1">
        <f>COUNTIFS('Raw Entries'!B:B,Table4[[#This Row],[Name]],'Raw Entries'!I:I,Table4[[#This Row],[BOOK No.]])</f>
        <v>0</v>
      </c>
      <c r="E1438" s="1">
        <f t="array" ref="E1438">IF(OR(Table4[[#This Row],[INSTALLMENT]]=1,Table4[[#This Row],[INSTALLMENT]]=2,Table4[[#This Row],[INSTALLMENT]]=3),1,0)</f>
        <v>0</v>
      </c>
      <c r="F1438" s="1">
        <f>IF(OR(Table4[[#This Row],[INSTALLMENT]]=2,Table4[[#This Row],[INSTALLMENT]]=3),2,0)</f>
        <v>0</v>
      </c>
      <c r="G1438" s="1">
        <f>IF(OR(Table4[[#This Row],[INSTALLMENT]]=3),3,0)</f>
        <v>0</v>
      </c>
    </row>
    <row r="1439" spans="1:7">
      <c r="A1439" s="1">
        <v>1797</v>
      </c>
      <c r="B1439" s="1" t="s">
        <v>191</v>
      </c>
      <c r="C1439" s="1" t="s">
        <v>185</v>
      </c>
      <c r="D1439" s="1">
        <f>COUNTIFS('Raw Entries'!B:B,Table4[[#This Row],[Name]],'Raw Entries'!I:I,Table4[[#This Row],[BOOK No.]])</f>
        <v>3</v>
      </c>
      <c r="E1439" s="1">
        <f t="array" ref="E1439">IF(OR(Table4[[#This Row],[INSTALLMENT]]=1,Table4[[#This Row],[INSTALLMENT]]=2,Table4[[#This Row],[INSTALLMENT]]=3),1,0)</f>
        <v>1</v>
      </c>
      <c r="F1439" s="1">
        <f>IF(OR(Table4[[#This Row],[INSTALLMENT]]=2,Table4[[#This Row],[INSTALLMENT]]=3),2,0)</f>
        <v>2</v>
      </c>
      <c r="G1439" s="1">
        <f>IF(OR(Table4[[#This Row],[INSTALLMENT]]=3),3,0)</f>
        <v>3</v>
      </c>
    </row>
    <row r="1440" spans="1:7">
      <c r="A1440" s="1">
        <v>1798</v>
      </c>
      <c r="B1440" s="1" t="s">
        <v>3015</v>
      </c>
      <c r="C1440" s="1" t="s">
        <v>185</v>
      </c>
      <c r="D1440" s="1">
        <f>COUNTIFS('Raw Entries'!B:B,Table4[[#This Row],[Name]],'Raw Entries'!I:I,Table4[[#This Row],[BOOK No.]])</f>
        <v>0</v>
      </c>
      <c r="E1440" s="1">
        <f t="array" ref="E1440">IF(OR(Table4[[#This Row],[INSTALLMENT]]=1,Table4[[#This Row],[INSTALLMENT]]=2,Table4[[#This Row],[INSTALLMENT]]=3),1,0)</f>
        <v>0</v>
      </c>
      <c r="F1440" s="1">
        <f>IF(OR(Table4[[#This Row],[INSTALLMENT]]=2,Table4[[#This Row],[INSTALLMENT]]=3),2,0)</f>
        <v>0</v>
      </c>
      <c r="G1440" s="1">
        <f>IF(OR(Table4[[#This Row],[INSTALLMENT]]=3),3,0)</f>
        <v>0</v>
      </c>
    </row>
    <row r="1441" spans="1:7">
      <c r="A1441" s="1">
        <v>1799</v>
      </c>
      <c r="B1441" s="1" t="s">
        <v>3016</v>
      </c>
      <c r="C1441" s="1" t="s">
        <v>185</v>
      </c>
      <c r="D1441" s="1">
        <f>COUNTIFS('Raw Entries'!B:B,Table4[[#This Row],[Name]],'Raw Entries'!I:I,Table4[[#This Row],[BOOK No.]])</f>
        <v>0</v>
      </c>
      <c r="E1441" s="1">
        <f t="array" ref="E1441">IF(OR(Table4[[#This Row],[INSTALLMENT]]=1,Table4[[#This Row],[INSTALLMENT]]=2,Table4[[#This Row],[INSTALLMENT]]=3),1,0)</f>
        <v>0</v>
      </c>
      <c r="F1441" s="1">
        <f>IF(OR(Table4[[#This Row],[INSTALLMENT]]=2,Table4[[#This Row],[INSTALLMENT]]=3),2,0)</f>
        <v>0</v>
      </c>
      <c r="G1441" s="1">
        <f>IF(OR(Table4[[#This Row],[INSTALLMENT]]=3),3,0)</f>
        <v>0</v>
      </c>
    </row>
    <row r="1442" spans="1:7">
      <c r="A1442" s="1">
        <v>1800</v>
      </c>
      <c r="B1442" s="1" t="s">
        <v>3017</v>
      </c>
      <c r="C1442" s="1" t="s">
        <v>185</v>
      </c>
      <c r="D1442" s="1">
        <f>COUNTIFS('Raw Entries'!B:B,Table4[[#This Row],[Name]],'Raw Entries'!I:I,Table4[[#This Row],[BOOK No.]])</f>
        <v>0</v>
      </c>
      <c r="E1442" s="1">
        <f t="array" ref="E1442">IF(OR(Table4[[#This Row],[INSTALLMENT]]=1,Table4[[#This Row],[INSTALLMENT]]=2,Table4[[#This Row],[INSTALLMENT]]=3),1,0)</f>
        <v>0</v>
      </c>
      <c r="F1442" s="1">
        <f>IF(OR(Table4[[#This Row],[INSTALLMENT]]=2,Table4[[#This Row],[INSTALLMENT]]=3),2,0)</f>
        <v>0</v>
      </c>
      <c r="G1442" s="1">
        <f>IF(OR(Table4[[#This Row],[INSTALLMENT]]=3),3,0)</f>
        <v>0</v>
      </c>
    </row>
    <row r="1443" spans="1:7">
      <c r="A1443" s="1">
        <v>1801</v>
      </c>
      <c r="B1443" s="1" t="s">
        <v>3018</v>
      </c>
      <c r="C1443" s="1" t="s">
        <v>185</v>
      </c>
      <c r="D1443" s="1">
        <f>COUNTIFS('Raw Entries'!B:B,Table4[[#This Row],[Name]],'Raw Entries'!I:I,Table4[[#This Row],[BOOK No.]])</f>
        <v>0</v>
      </c>
      <c r="E1443" s="1">
        <f t="array" ref="E1443">IF(OR(Table4[[#This Row],[INSTALLMENT]]=1,Table4[[#This Row],[INSTALLMENT]]=2,Table4[[#This Row],[INSTALLMENT]]=3),1,0)</f>
        <v>0</v>
      </c>
      <c r="F1443" s="1">
        <f>IF(OR(Table4[[#This Row],[INSTALLMENT]]=2,Table4[[#This Row],[INSTALLMENT]]=3),2,0)</f>
        <v>0</v>
      </c>
      <c r="G1443" s="1">
        <f>IF(OR(Table4[[#This Row],[INSTALLMENT]]=3),3,0)</f>
        <v>0</v>
      </c>
    </row>
    <row r="1444" spans="1:7">
      <c r="A1444" s="1">
        <v>1802</v>
      </c>
      <c r="B1444" s="1" t="s">
        <v>3019</v>
      </c>
      <c r="C1444" s="1" t="s">
        <v>185</v>
      </c>
      <c r="D1444" s="1">
        <f>COUNTIFS('Raw Entries'!B:B,Table4[[#This Row],[Name]],'Raw Entries'!I:I,Table4[[#This Row],[BOOK No.]])</f>
        <v>0</v>
      </c>
      <c r="E1444" s="1">
        <f t="array" ref="E1444">IF(OR(Table4[[#This Row],[INSTALLMENT]]=1,Table4[[#This Row],[INSTALLMENT]]=2,Table4[[#This Row],[INSTALLMENT]]=3),1,0)</f>
        <v>0</v>
      </c>
      <c r="F1444" s="1">
        <f>IF(OR(Table4[[#This Row],[INSTALLMENT]]=2,Table4[[#This Row],[INSTALLMENT]]=3),2,0)</f>
        <v>0</v>
      </c>
      <c r="G1444" s="1">
        <f>IF(OR(Table4[[#This Row],[INSTALLMENT]]=3),3,0)</f>
        <v>0</v>
      </c>
    </row>
    <row r="1445" spans="1:7">
      <c r="A1445" s="1">
        <v>1803</v>
      </c>
      <c r="B1445" s="1" t="s">
        <v>3020</v>
      </c>
      <c r="C1445" s="1" t="s">
        <v>185</v>
      </c>
      <c r="D1445" s="1">
        <f>COUNTIFS('Raw Entries'!B:B,Table4[[#This Row],[Name]],'Raw Entries'!I:I,Table4[[#This Row],[BOOK No.]])</f>
        <v>0</v>
      </c>
      <c r="E1445" s="1">
        <f t="array" ref="E1445">IF(OR(Table4[[#This Row],[INSTALLMENT]]=1,Table4[[#This Row],[INSTALLMENT]]=2,Table4[[#This Row],[INSTALLMENT]]=3),1,0)</f>
        <v>0</v>
      </c>
      <c r="F1445" s="1">
        <f>IF(OR(Table4[[#This Row],[INSTALLMENT]]=2,Table4[[#This Row],[INSTALLMENT]]=3),2,0)</f>
        <v>0</v>
      </c>
      <c r="G1445" s="1">
        <f>IF(OR(Table4[[#This Row],[INSTALLMENT]]=3),3,0)</f>
        <v>0</v>
      </c>
    </row>
    <row r="1446" spans="1:7">
      <c r="A1446" s="1">
        <v>1804</v>
      </c>
      <c r="B1446" s="1" t="s">
        <v>1955</v>
      </c>
      <c r="C1446" s="1" t="s">
        <v>185</v>
      </c>
      <c r="D1446" s="1">
        <f>COUNTIFS('Raw Entries'!B:B,Table4[[#This Row],[Name]],'Raw Entries'!I:I,Table4[[#This Row],[BOOK No.]])</f>
        <v>0</v>
      </c>
      <c r="E1446" s="1">
        <f t="array" ref="E1446">IF(OR(Table4[[#This Row],[INSTALLMENT]]=1,Table4[[#This Row],[INSTALLMENT]]=2,Table4[[#This Row],[INSTALLMENT]]=3),1,0)</f>
        <v>0</v>
      </c>
      <c r="F1446" s="1">
        <f>IF(OR(Table4[[#This Row],[INSTALLMENT]]=2,Table4[[#This Row],[INSTALLMENT]]=3),2,0)</f>
        <v>0</v>
      </c>
      <c r="G1446" s="1">
        <f>IF(OR(Table4[[#This Row],[INSTALLMENT]]=3),3,0)</f>
        <v>0</v>
      </c>
    </row>
    <row r="1447" spans="1:7">
      <c r="A1447" s="1">
        <v>1805</v>
      </c>
      <c r="B1447" s="1" t="s">
        <v>193</v>
      </c>
      <c r="C1447" s="1" t="s">
        <v>185</v>
      </c>
      <c r="D1447" s="1">
        <f>COUNTIFS('Raw Entries'!B:B,Table4[[#This Row],[Name]],'Raw Entries'!I:I,Table4[[#This Row],[BOOK No.]])</f>
        <v>3</v>
      </c>
      <c r="E1447" s="1">
        <f t="array" ref="E1447">IF(OR(Table4[[#This Row],[INSTALLMENT]]=1,Table4[[#This Row],[INSTALLMENT]]=2,Table4[[#This Row],[INSTALLMENT]]=3),1,0)</f>
        <v>1</v>
      </c>
      <c r="F1447" s="1">
        <f>IF(OR(Table4[[#This Row],[INSTALLMENT]]=2,Table4[[#This Row],[INSTALLMENT]]=3),2,0)</f>
        <v>2</v>
      </c>
      <c r="G1447" s="1">
        <f>IF(OR(Table4[[#This Row],[INSTALLMENT]]=3),3,0)</f>
        <v>3</v>
      </c>
    </row>
    <row r="1448" spans="1:7">
      <c r="A1448" s="1">
        <v>1806</v>
      </c>
      <c r="B1448" s="1" t="s">
        <v>188</v>
      </c>
      <c r="C1448" s="1" t="s">
        <v>185</v>
      </c>
      <c r="D1448" s="1">
        <f>COUNTIFS('Raw Entries'!B:B,Table4[[#This Row],[Name]],'Raw Entries'!I:I,Table4[[#This Row],[BOOK No.]])</f>
        <v>3</v>
      </c>
      <c r="E1448" s="1">
        <f t="array" ref="E1448">IF(OR(Table4[[#This Row],[INSTALLMENT]]=1,Table4[[#This Row],[INSTALLMENT]]=2,Table4[[#This Row],[INSTALLMENT]]=3),1,0)</f>
        <v>1</v>
      </c>
      <c r="F1448" s="1">
        <f>IF(OR(Table4[[#This Row],[INSTALLMENT]]=2,Table4[[#This Row],[INSTALLMENT]]=3),2,0)</f>
        <v>2</v>
      </c>
      <c r="G1448" s="1">
        <f>IF(OR(Table4[[#This Row],[INSTALLMENT]]=3),3,0)</f>
        <v>3</v>
      </c>
    </row>
    <row r="1449" spans="1:7">
      <c r="A1449" s="1">
        <v>1807</v>
      </c>
      <c r="B1449" s="1" t="s">
        <v>3021</v>
      </c>
      <c r="C1449" s="1" t="s">
        <v>185</v>
      </c>
      <c r="D1449" s="1">
        <f>COUNTIFS('Raw Entries'!B:B,Table4[[#This Row],[Name]],'Raw Entries'!I:I,Table4[[#This Row],[BOOK No.]])</f>
        <v>0</v>
      </c>
      <c r="E1449" s="1">
        <f t="array" ref="E1449">IF(OR(Table4[[#This Row],[INSTALLMENT]]=1,Table4[[#This Row],[INSTALLMENT]]=2,Table4[[#This Row],[INSTALLMENT]]=3),1,0)</f>
        <v>0</v>
      </c>
      <c r="F1449" s="1">
        <f>IF(OR(Table4[[#This Row],[INSTALLMENT]]=2,Table4[[#This Row],[INSTALLMENT]]=3),2,0)</f>
        <v>0</v>
      </c>
      <c r="G1449" s="1">
        <f>IF(OR(Table4[[#This Row],[INSTALLMENT]]=3),3,0)</f>
        <v>0</v>
      </c>
    </row>
    <row r="1450" spans="1:7">
      <c r="A1450" s="1">
        <v>1808</v>
      </c>
      <c r="B1450" s="1" t="s">
        <v>3022</v>
      </c>
      <c r="C1450" s="1" t="s">
        <v>185</v>
      </c>
      <c r="D1450" s="1">
        <f>COUNTIFS('Raw Entries'!B:B,Table4[[#This Row],[Name]],'Raw Entries'!I:I,Table4[[#This Row],[BOOK No.]])</f>
        <v>0</v>
      </c>
      <c r="E1450" s="1">
        <f t="array" ref="E1450">IF(OR(Table4[[#This Row],[INSTALLMENT]]=1,Table4[[#This Row],[INSTALLMENT]]=2,Table4[[#This Row],[INSTALLMENT]]=3),1,0)</f>
        <v>0</v>
      </c>
      <c r="F1450" s="1">
        <f>IF(OR(Table4[[#This Row],[INSTALLMENT]]=2,Table4[[#This Row],[INSTALLMENT]]=3),2,0)</f>
        <v>0</v>
      </c>
      <c r="G1450" s="1">
        <f>IF(OR(Table4[[#This Row],[INSTALLMENT]]=3),3,0)</f>
        <v>0</v>
      </c>
    </row>
    <row r="1451" spans="1:7">
      <c r="A1451" s="1">
        <v>1809</v>
      </c>
      <c r="B1451" s="1" t="s">
        <v>189</v>
      </c>
      <c r="C1451" s="1" t="s">
        <v>185</v>
      </c>
      <c r="D1451" s="1">
        <f>COUNTIFS('Raw Entries'!B:B,Table4[[#This Row],[Name]],'Raw Entries'!I:I,Table4[[#This Row],[BOOK No.]])</f>
        <v>1</v>
      </c>
      <c r="E1451" s="1">
        <f t="array" ref="E1451">IF(OR(Table4[[#This Row],[INSTALLMENT]]=1,Table4[[#This Row],[INSTALLMENT]]=2,Table4[[#This Row],[INSTALLMENT]]=3),1,0)</f>
        <v>1</v>
      </c>
      <c r="F1451" s="1">
        <f>IF(OR(Table4[[#This Row],[INSTALLMENT]]=2,Table4[[#This Row],[INSTALLMENT]]=3),2,0)</f>
        <v>0</v>
      </c>
      <c r="G1451" s="1">
        <f>IF(OR(Table4[[#This Row],[INSTALLMENT]]=3),3,0)</f>
        <v>0</v>
      </c>
    </row>
    <row r="1452" spans="1:7">
      <c r="A1452" s="1">
        <v>1810</v>
      </c>
      <c r="B1452" s="1" t="s">
        <v>2481</v>
      </c>
      <c r="C1452" s="1" t="s">
        <v>185</v>
      </c>
      <c r="D1452" s="1">
        <f>COUNTIFS('Raw Entries'!B:B,Table4[[#This Row],[Name]],'Raw Entries'!I:I,Table4[[#This Row],[BOOK No.]])</f>
        <v>0</v>
      </c>
      <c r="E1452" s="1">
        <f t="array" ref="E1452">IF(OR(Table4[[#This Row],[INSTALLMENT]]=1,Table4[[#This Row],[INSTALLMENT]]=2,Table4[[#This Row],[INSTALLMENT]]=3),1,0)</f>
        <v>0</v>
      </c>
      <c r="F1452" s="1">
        <f>IF(OR(Table4[[#This Row],[INSTALLMENT]]=2,Table4[[#This Row],[INSTALLMENT]]=3),2,0)</f>
        <v>0</v>
      </c>
      <c r="G1452" s="1">
        <f>IF(OR(Table4[[#This Row],[INSTALLMENT]]=3),3,0)</f>
        <v>0</v>
      </c>
    </row>
    <row r="1453" spans="1:7">
      <c r="A1453" s="1">
        <v>1811</v>
      </c>
      <c r="B1453" s="1" t="s">
        <v>3023</v>
      </c>
      <c r="C1453" s="1" t="s">
        <v>185</v>
      </c>
      <c r="D1453" s="1">
        <f>COUNTIFS('Raw Entries'!B:B,Table4[[#This Row],[Name]],'Raw Entries'!I:I,Table4[[#This Row],[BOOK No.]])</f>
        <v>0</v>
      </c>
      <c r="E1453" s="1">
        <f t="array" ref="E1453">IF(OR(Table4[[#This Row],[INSTALLMENT]]=1,Table4[[#This Row],[INSTALLMENT]]=2,Table4[[#This Row],[INSTALLMENT]]=3),1,0)</f>
        <v>0</v>
      </c>
      <c r="F1453" s="1">
        <f>IF(OR(Table4[[#This Row],[INSTALLMENT]]=2,Table4[[#This Row],[INSTALLMENT]]=3),2,0)</f>
        <v>0</v>
      </c>
      <c r="G1453" s="1">
        <f>IF(OR(Table4[[#This Row],[INSTALLMENT]]=3),3,0)</f>
        <v>0</v>
      </c>
    </row>
    <row r="1454" spans="1:7">
      <c r="A1454" s="1">
        <v>1812</v>
      </c>
      <c r="B1454" s="1" t="s">
        <v>3024</v>
      </c>
      <c r="C1454" s="1" t="s">
        <v>185</v>
      </c>
      <c r="D1454" s="1">
        <f>COUNTIFS('Raw Entries'!B:B,Table4[[#This Row],[Name]],'Raw Entries'!I:I,Table4[[#This Row],[BOOK No.]])</f>
        <v>0</v>
      </c>
      <c r="E1454" s="1">
        <f t="array" ref="E1454">IF(OR(Table4[[#This Row],[INSTALLMENT]]=1,Table4[[#This Row],[INSTALLMENT]]=2,Table4[[#This Row],[INSTALLMENT]]=3),1,0)</f>
        <v>0</v>
      </c>
      <c r="F1454" s="1">
        <f>IF(OR(Table4[[#This Row],[INSTALLMENT]]=2,Table4[[#This Row],[INSTALLMENT]]=3),2,0)</f>
        <v>0</v>
      </c>
      <c r="G1454" s="1">
        <f>IF(OR(Table4[[#This Row],[INSTALLMENT]]=3),3,0)</f>
        <v>0</v>
      </c>
    </row>
    <row r="1455" spans="1:7">
      <c r="A1455" s="1">
        <v>1813</v>
      </c>
      <c r="B1455" s="1" t="s">
        <v>47</v>
      </c>
      <c r="C1455" s="1" t="s">
        <v>185</v>
      </c>
      <c r="D1455" s="1">
        <f>COUNTIFS('Raw Entries'!B:B,Table4[[#This Row],[Name]],'Raw Entries'!I:I,Table4[[#This Row],[BOOK No.]])</f>
        <v>1</v>
      </c>
      <c r="E1455" s="1">
        <f t="array" ref="E1455">IF(OR(Table4[[#This Row],[INSTALLMENT]]=1,Table4[[#This Row],[INSTALLMENT]]=2,Table4[[#This Row],[INSTALLMENT]]=3),1,0)</f>
        <v>1</v>
      </c>
      <c r="F1455" s="1">
        <f>IF(OR(Table4[[#This Row],[INSTALLMENT]]=2,Table4[[#This Row],[INSTALLMENT]]=3),2,0)</f>
        <v>0</v>
      </c>
      <c r="G1455" s="1">
        <f>IF(OR(Table4[[#This Row],[INSTALLMENT]]=3),3,0)</f>
        <v>0</v>
      </c>
    </row>
    <row r="1456" spans="1:7">
      <c r="A1456" s="1">
        <v>1814</v>
      </c>
      <c r="B1456" s="1" t="s">
        <v>3025</v>
      </c>
      <c r="C1456" s="1" t="s">
        <v>185</v>
      </c>
      <c r="D1456" s="1">
        <f>COUNTIFS('Raw Entries'!B:B,Table4[[#This Row],[Name]],'Raw Entries'!I:I,Table4[[#This Row],[BOOK No.]])</f>
        <v>0</v>
      </c>
      <c r="E1456" s="1">
        <f t="array" ref="E1456">IF(OR(Table4[[#This Row],[INSTALLMENT]]=1,Table4[[#This Row],[INSTALLMENT]]=2,Table4[[#This Row],[INSTALLMENT]]=3),1,0)</f>
        <v>0</v>
      </c>
      <c r="F1456" s="1">
        <f>IF(OR(Table4[[#This Row],[INSTALLMENT]]=2,Table4[[#This Row],[INSTALLMENT]]=3),2,0)</f>
        <v>0</v>
      </c>
      <c r="G1456" s="1">
        <f>IF(OR(Table4[[#This Row],[INSTALLMENT]]=3),3,0)</f>
        <v>0</v>
      </c>
    </row>
    <row r="1457" spans="1:7">
      <c r="A1457" s="1">
        <v>1815</v>
      </c>
      <c r="B1457" s="1" t="s">
        <v>3026</v>
      </c>
      <c r="C1457" s="1" t="s">
        <v>185</v>
      </c>
      <c r="D1457" s="1">
        <f>COUNTIFS('Raw Entries'!B:B,Table4[[#This Row],[Name]],'Raw Entries'!I:I,Table4[[#This Row],[BOOK No.]])</f>
        <v>0</v>
      </c>
      <c r="E1457" s="1">
        <f t="array" ref="E1457">IF(OR(Table4[[#This Row],[INSTALLMENT]]=1,Table4[[#This Row],[INSTALLMENT]]=2,Table4[[#This Row],[INSTALLMENT]]=3),1,0)</f>
        <v>0</v>
      </c>
      <c r="F1457" s="1">
        <f>IF(OR(Table4[[#This Row],[INSTALLMENT]]=2,Table4[[#This Row],[INSTALLMENT]]=3),2,0)</f>
        <v>0</v>
      </c>
      <c r="G1457" s="1">
        <f>IF(OR(Table4[[#This Row],[INSTALLMENT]]=3),3,0)</f>
        <v>0</v>
      </c>
    </row>
    <row r="1458" spans="1:7">
      <c r="A1458" s="1">
        <v>1816</v>
      </c>
      <c r="B1458" s="1" t="s">
        <v>3027</v>
      </c>
      <c r="C1458" s="1" t="s">
        <v>185</v>
      </c>
      <c r="D1458" s="1">
        <f>COUNTIFS('Raw Entries'!B:B,Table4[[#This Row],[Name]],'Raw Entries'!I:I,Table4[[#This Row],[BOOK No.]])</f>
        <v>0</v>
      </c>
      <c r="E1458" s="1">
        <f t="array" ref="E1458">IF(OR(Table4[[#This Row],[INSTALLMENT]]=1,Table4[[#This Row],[INSTALLMENT]]=2,Table4[[#This Row],[INSTALLMENT]]=3),1,0)</f>
        <v>0</v>
      </c>
      <c r="F1458" s="1">
        <f>IF(OR(Table4[[#This Row],[INSTALLMENT]]=2,Table4[[#This Row],[INSTALLMENT]]=3),2,0)</f>
        <v>0</v>
      </c>
      <c r="G1458" s="1">
        <f>IF(OR(Table4[[#This Row],[INSTALLMENT]]=3),3,0)</f>
        <v>0</v>
      </c>
    </row>
    <row r="1459" spans="1:7">
      <c r="A1459" s="1">
        <v>1817</v>
      </c>
      <c r="B1459" s="1" t="s">
        <v>194</v>
      </c>
      <c r="C1459" s="1" t="s">
        <v>185</v>
      </c>
      <c r="D1459" s="1">
        <f>COUNTIFS('Raw Entries'!B:B,Table4[[#This Row],[Name]],'Raw Entries'!I:I,Table4[[#This Row],[BOOK No.]])</f>
        <v>2</v>
      </c>
      <c r="E1459" s="1">
        <f t="array" ref="E1459">IF(OR(Table4[[#This Row],[INSTALLMENT]]=1,Table4[[#This Row],[INSTALLMENT]]=2,Table4[[#This Row],[INSTALLMENT]]=3),1,0)</f>
        <v>1</v>
      </c>
      <c r="F1459" s="1">
        <f>IF(OR(Table4[[#This Row],[INSTALLMENT]]=2,Table4[[#This Row],[INSTALLMENT]]=3),2,0)</f>
        <v>2</v>
      </c>
      <c r="G1459" s="1">
        <f>IF(OR(Table4[[#This Row],[INSTALLMENT]]=3),3,0)</f>
        <v>0</v>
      </c>
    </row>
    <row r="1460" spans="1:7">
      <c r="A1460" s="1">
        <v>1818</v>
      </c>
      <c r="B1460" s="1" t="s">
        <v>3028</v>
      </c>
      <c r="C1460" s="1" t="s">
        <v>185</v>
      </c>
      <c r="D1460" s="1">
        <f>COUNTIFS('Raw Entries'!B:B,Table4[[#This Row],[Name]],'Raw Entries'!I:I,Table4[[#This Row],[BOOK No.]])</f>
        <v>0</v>
      </c>
      <c r="E1460" s="1">
        <f t="array" ref="E1460">IF(OR(Table4[[#This Row],[INSTALLMENT]]=1,Table4[[#This Row],[INSTALLMENT]]=2,Table4[[#This Row],[INSTALLMENT]]=3),1,0)</f>
        <v>0</v>
      </c>
      <c r="F1460" s="1">
        <f>IF(OR(Table4[[#This Row],[INSTALLMENT]]=2,Table4[[#This Row],[INSTALLMENT]]=3),2,0)</f>
        <v>0</v>
      </c>
      <c r="G1460" s="1">
        <f>IF(OR(Table4[[#This Row],[INSTALLMENT]]=3),3,0)</f>
        <v>0</v>
      </c>
    </row>
    <row r="1461" spans="1:7">
      <c r="A1461" s="1">
        <v>1819</v>
      </c>
      <c r="B1461" s="1" t="s">
        <v>3029</v>
      </c>
      <c r="C1461" s="1" t="s">
        <v>185</v>
      </c>
      <c r="D1461" s="1">
        <f>COUNTIFS('Raw Entries'!B:B,Table4[[#This Row],[Name]],'Raw Entries'!I:I,Table4[[#This Row],[BOOK No.]])</f>
        <v>0</v>
      </c>
      <c r="E1461" s="1">
        <f t="array" ref="E1461">IF(OR(Table4[[#This Row],[INSTALLMENT]]=1,Table4[[#This Row],[INSTALLMENT]]=2,Table4[[#This Row],[INSTALLMENT]]=3),1,0)</f>
        <v>0</v>
      </c>
      <c r="F1461" s="1">
        <f>IF(OR(Table4[[#This Row],[INSTALLMENT]]=2,Table4[[#This Row],[INSTALLMENT]]=3),2,0)</f>
        <v>0</v>
      </c>
      <c r="G1461" s="1">
        <f>IF(OR(Table4[[#This Row],[INSTALLMENT]]=3),3,0)</f>
        <v>0</v>
      </c>
    </row>
    <row r="1462" spans="1:7">
      <c r="A1462" s="1">
        <v>1820</v>
      </c>
      <c r="B1462" s="1" t="s">
        <v>3030</v>
      </c>
      <c r="C1462" s="1" t="s">
        <v>185</v>
      </c>
      <c r="D1462" s="1">
        <f>COUNTIFS('Raw Entries'!B:B,Table4[[#This Row],[Name]],'Raw Entries'!I:I,Table4[[#This Row],[BOOK No.]])</f>
        <v>0</v>
      </c>
      <c r="E1462" s="1">
        <f t="array" ref="E1462">IF(OR(Table4[[#This Row],[INSTALLMENT]]=1,Table4[[#This Row],[INSTALLMENT]]=2,Table4[[#This Row],[INSTALLMENT]]=3),1,0)</f>
        <v>0</v>
      </c>
      <c r="F1462" s="1">
        <f>IF(OR(Table4[[#This Row],[INSTALLMENT]]=2,Table4[[#This Row],[INSTALLMENT]]=3),2,0)</f>
        <v>0</v>
      </c>
      <c r="G1462" s="1">
        <f>IF(OR(Table4[[#This Row],[INSTALLMENT]]=3),3,0)</f>
        <v>0</v>
      </c>
    </row>
    <row r="1463" spans="1:7">
      <c r="A1463" s="1">
        <v>1821</v>
      </c>
      <c r="B1463" s="1" t="s">
        <v>3031</v>
      </c>
      <c r="C1463" s="1" t="s">
        <v>185</v>
      </c>
      <c r="D1463" s="1">
        <f>COUNTIFS('Raw Entries'!B:B,Table4[[#This Row],[Name]],'Raw Entries'!I:I,Table4[[#This Row],[BOOK No.]])</f>
        <v>0</v>
      </c>
      <c r="E1463" s="1">
        <f t="array" ref="E1463">IF(OR(Table4[[#This Row],[INSTALLMENT]]=1,Table4[[#This Row],[INSTALLMENT]]=2,Table4[[#This Row],[INSTALLMENT]]=3),1,0)</f>
        <v>0</v>
      </c>
      <c r="F1463" s="1">
        <f>IF(OR(Table4[[#This Row],[INSTALLMENT]]=2,Table4[[#This Row],[INSTALLMENT]]=3),2,0)</f>
        <v>0</v>
      </c>
      <c r="G1463" s="1">
        <f>IF(OR(Table4[[#This Row],[INSTALLMENT]]=3),3,0)</f>
        <v>0</v>
      </c>
    </row>
    <row r="1464" spans="1:7">
      <c r="A1464" s="1">
        <v>1822</v>
      </c>
      <c r="B1464" s="1" t="s">
        <v>190</v>
      </c>
      <c r="C1464" s="1" t="s">
        <v>185</v>
      </c>
      <c r="D1464" s="1">
        <f>COUNTIFS('Raw Entries'!B:B,Table4[[#This Row],[Name]],'Raw Entries'!I:I,Table4[[#This Row],[BOOK No.]])</f>
        <v>3</v>
      </c>
      <c r="E1464" s="1">
        <f t="array" ref="E1464">IF(OR(Table4[[#This Row],[INSTALLMENT]]=1,Table4[[#This Row],[INSTALLMENT]]=2,Table4[[#This Row],[INSTALLMENT]]=3),1,0)</f>
        <v>1</v>
      </c>
      <c r="F1464" s="1">
        <f>IF(OR(Table4[[#This Row],[INSTALLMENT]]=2,Table4[[#This Row],[INSTALLMENT]]=3),2,0)</f>
        <v>2</v>
      </c>
      <c r="G1464" s="1">
        <f>IF(OR(Table4[[#This Row],[INSTALLMENT]]=3),3,0)</f>
        <v>3</v>
      </c>
    </row>
    <row r="1465" spans="1:7">
      <c r="A1465" s="1">
        <v>1823</v>
      </c>
      <c r="B1465" s="1" t="s">
        <v>684</v>
      </c>
      <c r="C1465" s="1" t="s">
        <v>185</v>
      </c>
      <c r="D1465" s="1">
        <f>COUNTIFS('Raw Entries'!B:B,Table4[[#This Row],[Name]],'Raw Entries'!I:I,Table4[[#This Row],[BOOK No.]])</f>
        <v>1</v>
      </c>
      <c r="E1465" s="1">
        <f t="array" ref="E1465">IF(OR(Table4[[#This Row],[INSTALLMENT]]=1,Table4[[#This Row],[INSTALLMENT]]=2,Table4[[#This Row],[INSTALLMENT]]=3),1,0)</f>
        <v>1</v>
      </c>
      <c r="F1465" s="1">
        <f>IF(OR(Table4[[#This Row],[INSTALLMENT]]=2,Table4[[#This Row],[INSTALLMENT]]=3),2,0)</f>
        <v>0</v>
      </c>
      <c r="G1465" s="1">
        <f>IF(OR(Table4[[#This Row],[INSTALLMENT]]=3),3,0)</f>
        <v>0</v>
      </c>
    </row>
    <row r="1466" spans="1:7">
      <c r="A1466" s="1">
        <v>1824</v>
      </c>
      <c r="B1466" s="1" t="s">
        <v>186</v>
      </c>
      <c r="C1466" s="1" t="s">
        <v>185</v>
      </c>
      <c r="D1466" s="1">
        <f>COUNTIFS('Raw Entries'!B:B,Table4[[#This Row],[Name]],'Raw Entries'!I:I,Table4[[#This Row],[BOOK No.]])</f>
        <v>1</v>
      </c>
      <c r="E1466" s="1">
        <f t="array" ref="E1466">IF(OR(Table4[[#This Row],[INSTALLMENT]]=1,Table4[[#This Row],[INSTALLMENT]]=2,Table4[[#This Row],[INSTALLMENT]]=3),1,0)</f>
        <v>1</v>
      </c>
      <c r="F1466" s="1">
        <f>IF(OR(Table4[[#This Row],[INSTALLMENT]]=2,Table4[[#This Row],[INSTALLMENT]]=3),2,0)</f>
        <v>0</v>
      </c>
      <c r="G1466" s="1">
        <f>IF(OR(Table4[[#This Row],[INSTALLMENT]]=3),3,0)</f>
        <v>0</v>
      </c>
    </row>
    <row r="1467" spans="1:7">
      <c r="A1467" s="1">
        <v>1825</v>
      </c>
      <c r="B1467" s="1" t="s">
        <v>3032</v>
      </c>
      <c r="C1467" s="1" t="s">
        <v>185</v>
      </c>
      <c r="D1467" s="1">
        <f>COUNTIFS('Raw Entries'!B:B,Table4[[#This Row],[Name]],'Raw Entries'!I:I,Table4[[#This Row],[BOOK No.]])</f>
        <v>0</v>
      </c>
      <c r="E1467" s="1">
        <f t="array" ref="E1467">IF(OR(Table4[[#This Row],[INSTALLMENT]]=1,Table4[[#This Row],[INSTALLMENT]]=2,Table4[[#This Row],[INSTALLMENT]]=3),1,0)</f>
        <v>0</v>
      </c>
      <c r="F1467" s="1">
        <f>IF(OR(Table4[[#This Row],[INSTALLMENT]]=2,Table4[[#This Row],[INSTALLMENT]]=3),2,0)</f>
        <v>0</v>
      </c>
      <c r="G1467" s="1">
        <f>IF(OR(Table4[[#This Row],[INSTALLMENT]]=3),3,0)</f>
        <v>0</v>
      </c>
    </row>
    <row r="1468" spans="1:7">
      <c r="A1468" s="1">
        <v>1826</v>
      </c>
      <c r="B1468" s="1" t="s">
        <v>192</v>
      </c>
      <c r="C1468" s="1" t="s">
        <v>185</v>
      </c>
      <c r="D1468" s="1">
        <f>COUNTIFS('Raw Entries'!B:B,Table4[[#This Row],[Name]],'Raw Entries'!I:I,Table4[[#This Row],[BOOK No.]])</f>
        <v>1</v>
      </c>
      <c r="E1468" s="1">
        <f t="array" ref="E1468">IF(OR(Table4[[#This Row],[INSTALLMENT]]=1,Table4[[#This Row],[INSTALLMENT]]=2,Table4[[#This Row],[INSTALLMENT]]=3),1,0)</f>
        <v>1</v>
      </c>
      <c r="F1468" s="1">
        <f>IF(OR(Table4[[#This Row],[INSTALLMENT]]=2,Table4[[#This Row],[INSTALLMENT]]=3),2,0)</f>
        <v>0</v>
      </c>
      <c r="G1468" s="1">
        <f>IF(OR(Table4[[#This Row],[INSTALLMENT]]=3),3,0)</f>
        <v>0</v>
      </c>
    </row>
    <row r="1469" spans="1:7">
      <c r="A1469" s="1">
        <v>1827</v>
      </c>
      <c r="B1469" s="1" t="s">
        <v>3033</v>
      </c>
      <c r="C1469" s="1" t="s">
        <v>185</v>
      </c>
      <c r="D1469" s="1">
        <f>COUNTIFS('Raw Entries'!B:B,Table4[[#This Row],[Name]],'Raw Entries'!I:I,Table4[[#This Row],[BOOK No.]])</f>
        <v>0</v>
      </c>
      <c r="E1469" s="1">
        <f t="array" ref="E1469">IF(OR(Table4[[#This Row],[INSTALLMENT]]=1,Table4[[#This Row],[INSTALLMENT]]=2,Table4[[#This Row],[INSTALLMENT]]=3),1,0)</f>
        <v>0</v>
      </c>
      <c r="F1469" s="1">
        <f>IF(OR(Table4[[#This Row],[INSTALLMENT]]=2,Table4[[#This Row],[INSTALLMENT]]=3),2,0)</f>
        <v>0</v>
      </c>
      <c r="G1469" s="1">
        <f>IF(OR(Table4[[#This Row],[INSTALLMENT]]=3),3,0)</f>
        <v>0</v>
      </c>
    </row>
    <row r="1470" spans="1:7">
      <c r="A1470" s="1">
        <v>1828</v>
      </c>
      <c r="B1470" s="1" t="s">
        <v>3034</v>
      </c>
      <c r="C1470" s="1" t="s">
        <v>185</v>
      </c>
      <c r="D1470" s="1">
        <f>COUNTIFS('Raw Entries'!B:B,Table4[[#This Row],[Name]],'Raw Entries'!I:I,Table4[[#This Row],[BOOK No.]])</f>
        <v>0</v>
      </c>
      <c r="E1470" s="1">
        <f t="array" ref="E1470">IF(OR(Table4[[#This Row],[INSTALLMENT]]=1,Table4[[#This Row],[INSTALLMENT]]=2,Table4[[#This Row],[INSTALLMENT]]=3),1,0)</f>
        <v>0</v>
      </c>
      <c r="F1470" s="1">
        <f>IF(OR(Table4[[#This Row],[INSTALLMENT]]=2,Table4[[#This Row],[INSTALLMENT]]=3),2,0)</f>
        <v>0</v>
      </c>
      <c r="G1470" s="1">
        <f>IF(OR(Table4[[#This Row],[INSTALLMENT]]=3),3,0)</f>
        <v>0</v>
      </c>
    </row>
    <row r="1471" spans="1:7">
      <c r="A1471" s="1">
        <v>1829</v>
      </c>
      <c r="B1471" s="1" t="s">
        <v>3035</v>
      </c>
      <c r="C1471" s="1" t="s">
        <v>185</v>
      </c>
      <c r="D1471" s="1">
        <f>COUNTIFS('Raw Entries'!B:B,Table4[[#This Row],[Name]],'Raw Entries'!I:I,Table4[[#This Row],[BOOK No.]])</f>
        <v>0</v>
      </c>
      <c r="E1471" s="1">
        <f t="array" ref="E1471">IF(OR(Table4[[#This Row],[INSTALLMENT]]=1,Table4[[#This Row],[INSTALLMENT]]=2,Table4[[#This Row],[INSTALLMENT]]=3),1,0)</f>
        <v>0</v>
      </c>
      <c r="F1471" s="1">
        <f>IF(OR(Table4[[#This Row],[INSTALLMENT]]=2,Table4[[#This Row],[INSTALLMENT]]=3),2,0)</f>
        <v>0</v>
      </c>
      <c r="G1471" s="1">
        <f>IF(OR(Table4[[#This Row],[INSTALLMENT]]=3),3,0)</f>
        <v>0</v>
      </c>
    </row>
    <row r="1472" spans="1:7">
      <c r="A1472" s="1">
        <v>1830</v>
      </c>
      <c r="B1472" s="1" t="s">
        <v>3036</v>
      </c>
      <c r="C1472" s="1" t="s">
        <v>185</v>
      </c>
      <c r="D1472" s="1">
        <f>COUNTIFS('Raw Entries'!B:B,Table4[[#This Row],[Name]],'Raw Entries'!I:I,Table4[[#This Row],[BOOK No.]])</f>
        <v>0</v>
      </c>
      <c r="E1472" s="1">
        <f t="array" ref="E1472">IF(OR(Table4[[#This Row],[INSTALLMENT]]=1,Table4[[#This Row],[INSTALLMENT]]=2,Table4[[#This Row],[INSTALLMENT]]=3),1,0)</f>
        <v>0</v>
      </c>
      <c r="F1472" s="1">
        <f>IF(OR(Table4[[#This Row],[INSTALLMENT]]=2,Table4[[#This Row],[INSTALLMENT]]=3),2,0)</f>
        <v>0</v>
      </c>
      <c r="G1472" s="1">
        <f>IF(OR(Table4[[#This Row],[INSTALLMENT]]=3),3,0)</f>
        <v>0</v>
      </c>
    </row>
    <row r="1473" spans="1:7">
      <c r="A1473" s="1">
        <v>1831</v>
      </c>
      <c r="B1473" s="1" t="s">
        <v>3037</v>
      </c>
      <c r="C1473" s="1" t="s">
        <v>185</v>
      </c>
      <c r="D1473" s="1">
        <f>COUNTIFS('Raw Entries'!B:B,Table4[[#This Row],[Name]],'Raw Entries'!I:I,Table4[[#This Row],[BOOK No.]])</f>
        <v>0</v>
      </c>
      <c r="E1473" s="1">
        <f t="array" ref="E1473">IF(OR(Table4[[#This Row],[INSTALLMENT]]=1,Table4[[#This Row],[INSTALLMENT]]=2,Table4[[#This Row],[INSTALLMENT]]=3),1,0)</f>
        <v>0</v>
      </c>
      <c r="F1473" s="1">
        <f>IF(OR(Table4[[#This Row],[INSTALLMENT]]=2,Table4[[#This Row],[INSTALLMENT]]=3),2,0)</f>
        <v>0</v>
      </c>
      <c r="G1473" s="1">
        <f>IF(OR(Table4[[#This Row],[INSTALLMENT]]=3),3,0)</f>
        <v>0</v>
      </c>
    </row>
    <row r="1474" spans="1:7">
      <c r="A1474" s="1">
        <v>1832</v>
      </c>
      <c r="B1474" s="1" t="s">
        <v>3038</v>
      </c>
      <c r="C1474" s="1" t="s">
        <v>185</v>
      </c>
      <c r="D1474" s="1">
        <f>COUNTIFS('Raw Entries'!B:B,Table4[[#This Row],[Name]],'Raw Entries'!I:I,Table4[[#This Row],[BOOK No.]])</f>
        <v>0</v>
      </c>
      <c r="E1474" s="1">
        <f t="array" ref="E1474">IF(OR(Table4[[#This Row],[INSTALLMENT]]=1,Table4[[#This Row],[INSTALLMENT]]=2,Table4[[#This Row],[INSTALLMENT]]=3),1,0)</f>
        <v>0</v>
      </c>
      <c r="F1474" s="1">
        <f>IF(OR(Table4[[#This Row],[INSTALLMENT]]=2,Table4[[#This Row],[INSTALLMENT]]=3),2,0)</f>
        <v>0</v>
      </c>
      <c r="G1474" s="1">
        <f>IF(OR(Table4[[#This Row],[INSTALLMENT]]=3),3,0)</f>
        <v>0</v>
      </c>
    </row>
    <row r="1475" spans="1:7">
      <c r="A1475" s="1">
        <v>1833</v>
      </c>
      <c r="B1475" s="1" t="s">
        <v>3039</v>
      </c>
      <c r="C1475" s="1" t="s">
        <v>171</v>
      </c>
      <c r="D1475" s="1">
        <f>COUNTIFS('Raw Entries'!B:B,Table4[[#This Row],[Name]],'Raw Entries'!I:I,Table4[[#This Row],[BOOK No.]])</f>
        <v>0</v>
      </c>
      <c r="E1475" s="1">
        <f t="array" ref="E1475">IF(OR(Table4[[#This Row],[INSTALLMENT]]=1,Table4[[#This Row],[INSTALLMENT]]=2,Table4[[#This Row],[INSTALLMENT]]=3),1,0)</f>
        <v>0</v>
      </c>
      <c r="F1475" s="1">
        <f>IF(OR(Table4[[#This Row],[INSTALLMENT]]=2,Table4[[#This Row],[INSTALLMENT]]=3),2,0)</f>
        <v>0</v>
      </c>
      <c r="G1475" s="1">
        <f>IF(OR(Table4[[#This Row],[INSTALLMENT]]=3),3,0)</f>
        <v>0</v>
      </c>
    </row>
    <row r="1476" spans="1:7">
      <c r="A1476" s="1">
        <v>1834</v>
      </c>
      <c r="B1476" s="1" t="s">
        <v>3040</v>
      </c>
      <c r="C1476" s="1" t="s">
        <v>171</v>
      </c>
      <c r="D1476" s="1">
        <f>COUNTIFS('Raw Entries'!B:B,Table4[[#This Row],[Name]],'Raw Entries'!I:I,Table4[[#This Row],[BOOK No.]])</f>
        <v>0</v>
      </c>
      <c r="E1476" s="1">
        <f t="array" ref="E1476">IF(OR(Table4[[#This Row],[INSTALLMENT]]=1,Table4[[#This Row],[INSTALLMENT]]=2,Table4[[#This Row],[INSTALLMENT]]=3),1,0)</f>
        <v>0</v>
      </c>
      <c r="F1476" s="1">
        <f>IF(OR(Table4[[#This Row],[INSTALLMENT]]=2,Table4[[#This Row],[INSTALLMENT]]=3),2,0)</f>
        <v>0</v>
      </c>
      <c r="G1476" s="1">
        <f>IF(OR(Table4[[#This Row],[INSTALLMENT]]=3),3,0)</f>
        <v>0</v>
      </c>
    </row>
    <row r="1477" spans="1:7">
      <c r="A1477" s="1">
        <v>1835</v>
      </c>
      <c r="B1477" s="1" t="s">
        <v>329</v>
      </c>
      <c r="C1477" s="1" t="s">
        <v>171</v>
      </c>
      <c r="D1477" s="1">
        <f>COUNTIFS('Raw Entries'!B:B,Table4[[#This Row],[Name]],'Raw Entries'!I:I,Table4[[#This Row],[BOOK No.]])</f>
        <v>1</v>
      </c>
      <c r="E1477" s="1">
        <f t="array" ref="E1477">IF(OR(Table4[[#This Row],[INSTALLMENT]]=1,Table4[[#This Row],[INSTALLMENT]]=2,Table4[[#This Row],[INSTALLMENT]]=3),1,0)</f>
        <v>1</v>
      </c>
      <c r="F1477" s="1">
        <f>IF(OR(Table4[[#This Row],[INSTALLMENT]]=2,Table4[[#This Row],[INSTALLMENT]]=3),2,0)</f>
        <v>0</v>
      </c>
      <c r="G1477" s="1">
        <f>IF(OR(Table4[[#This Row],[INSTALLMENT]]=3),3,0)</f>
        <v>0</v>
      </c>
    </row>
    <row r="1478" spans="1:7">
      <c r="A1478" s="1">
        <v>1836</v>
      </c>
      <c r="B1478" s="1" t="s">
        <v>3041</v>
      </c>
      <c r="C1478" s="1" t="s">
        <v>171</v>
      </c>
      <c r="D1478" s="1">
        <f>COUNTIFS('Raw Entries'!B:B,Table4[[#This Row],[Name]],'Raw Entries'!I:I,Table4[[#This Row],[BOOK No.]])</f>
        <v>0</v>
      </c>
      <c r="E1478" s="1">
        <f t="array" ref="E1478">IF(OR(Table4[[#This Row],[INSTALLMENT]]=1,Table4[[#This Row],[INSTALLMENT]]=2,Table4[[#This Row],[INSTALLMENT]]=3),1,0)</f>
        <v>0</v>
      </c>
      <c r="F1478" s="1">
        <f>IF(OR(Table4[[#This Row],[INSTALLMENT]]=2,Table4[[#This Row],[INSTALLMENT]]=3),2,0)</f>
        <v>0</v>
      </c>
      <c r="G1478" s="1">
        <f>IF(OR(Table4[[#This Row],[INSTALLMENT]]=3),3,0)</f>
        <v>0</v>
      </c>
    </row>
    <row r="1479" spans="1:7">
      <c r="A1479" s="1">
        <v>1837</v>
      </c>
      <c r="B1479" s="1" t="s">
        <v>3042</v>
      </c>
      <c r="C1479" s="1" t="s">
        <v>171</v>
      </c>
      <c r="D1479" s="1">
        <f>COUNTIFS('Raw Entries'!B:B,Table4[[#This Row],[Name]],'Raw Entries'!I:I,Table4[[#This Row],[BOOK No.]])</f>
        <v>0</v>
      </c>
      <c r="E1479" s="1">
        <f t="array" ref="E1479">IF(OR(Table4[[#This Row],[INSTALLMENT]]=1,Table4[[#This Row],[INSTALLMENT]]=2,Table4[[#This Row],[INSTALLMENT]]=3),1,0)</f>
        <v>0</v>
      </c>
      <c r="F1479" s="1">
        <f>IF(OR(Table4[[#This Row],[INSTALLMENT]]=2,Table4[[#This Row],[INSTALLMENT]]=3),2,0)</f>
        <v>0</v>
      </c>
      <c r="G1479" s="1">
        <f>IF(OR(Table4[[#This Row],[INSTALLMENT]]=3),3,0)</f>
        <v>0</v>
      </c>
    </row>
    <row r="1480" spans="1:7">
      <c r="A1480" s="1">
        <v>1838</v>
      </c>
      <c r="B1480" s="1" t="s">
        <v>3043</v>
      </c>
      <c r="C1480" s="1" t="s">
        <v>171</v>
      </c>
      <c r="D1480" s="1">
        <f>COUNTIFS('Raw Entries'!B:B,Table4[[#This Row],[Name]],'Raw Entries'!I:I,Table4[[#This Row],[BOOK No.]])</f>
        <v>3</v>
      </c>
      <c r="E1480" s="1">
        <f t="array" ref="E1480">IF(OR(Table4[[#This Row],[INSTALLMENT]]=1,Table4[[#This Row],[INSTALLMENT]]=2,Table4[[#This Row],[INSTALLMENT]]=3),1,0)</f>
        <v>1</v>
      </c>
      <c r="F1480" s="1">
        <f>IF(OR(Table4[[#This Row],[INSTALLMENT]]=2,Table4[[#This Row],[INSTALLMENT]]=3),2,0)</f>
        <v>2</v>
      </c>
      <c r="G1480" s="1">
        <f>IF(OR(Table4[[#This Row],[INSTALLMENT]]=3),3,0)</f>
        <v>3</v>
      </c>
    </row>
    <row r="1481" spans="1:7">
      <c r="A1481" s="1">
        <v>1839</v>
      </c>
      <c r="B1481" s="1" t="s">
        <v>3044</v>
      </c>
      <c r="C1481" s="1" t="s">
        <v>171</v>
      </c>
      <c r="D1481" s="1">
        <f>COUNTIFS('Raw Entries'!B:B,Table4[[#This Row],[Name]],'Raw Entries'!I:I,Table4[[#This Row],[BOOK No.]])</f>
        <v>0</v>
      </c>
      <c r="E1481" s="1">
        <f t="array" ref="E1481">IF(OR(Table4[[#This Row],[INSTALLMENT]]=1,Table4[[#This Row],[INSTALLMENT]]=2,Table4[[#This Row],[INSTALLMENT]]=3),1,0)</f>
        <v>0</v>
      </c>
      <c r="F1481" s="1">
        <f>IF(OR(Table4[[#This Row],[INSTALLMENT]]=2,Table4[[#This Row],[INSTALLMENT]]=3),2,0)</f>
        <v>0</v>
      </c>
      <c r="G1481" s="1">
        <f>IF(OR(Table4[[#This Row],[INSTALLMENT]]=3),3,0)</f>
        <v>0</v>
      </c>
    </row>
    <row r="1482" spans="1:7">
      <c r="A1482" s="1">
        <v>1840</v>
      </c>
      <c r="B1482" s="1" t="s">
        <v>3045</v>
      </c>
      <c r="C1482" s="1" t="s">
        <v>171</v>
      </c>
      <c r="D1482" s="1">
        <f>COUNTIFS('Raw Entries'!B:B,Table4[[#This Row],[Name]],'Raw Entries'!I:I,Table4[[#This Row],[BOOK No.]])</f>
        <v>0</v>
      </c>
      <c r="E1482" s="1">
        <f t="array" ref="E1482">IF(OR(Table4[[#This Row],[INSTALLMENT]]=1,Table4[[#This Row],[INSTALLMENT]]=2,Table4[[#This Row],[INSTALLMENT]]=3),1,0)</f>
        <v>0</v>
      </c>
      <c r="F1482" s="1">
        <f>IF(OR(Table4[[#This Row],[INSTALLMENT]]=2,Table4[[#This Row],[INSTALLMENT]]=3),2,0)</f>
        <v>0</v>
      </c>
      <c r="G1482" s="1">
        <f>IF(OR(Table4[[#This Row],[INSTALLMENT]]=3),3,0)</f>
        <v>0</v>
      </c>
    </row>
    <row r="1483" spans="1:7">
      <c r="A1483" s="1">
        <v>1841</v>
      </c>
      <c r="B1483" s="1" t="s">
        <v>3046</v>
      </c>
      <c r="C1483" s="1" t="s">
        <v>171</v>
      </c>
      <c r="D1483" s="1">
        <f>COUNTIFS('Raw Entries'!B:B,Table4[[#This Row],[Name]],'Raw Entries'!I:I,Table4[[#This Row],[BOOK No.]])</f>
        <v>0</v>
      </c>
      <c r="E1483" s="1">
        <f t="array" ref="E1483">IF(OR(Table4[[#This Row],[INSTALLMENT]]=1,Table4[[#This Row],[INSTALLMENT]]=2,Table4[[#This Row],[INSTALLMENT]]=3),1,0)</f>
        <v>0</v>
      </c>
      <c r="F1483" s="1">
        <f>IF(OR(Table4[[#This Row],[INSTALLMENT]]=2,Table4[[#This Row],[INSTALLMENT]]=3),2,0)</f>
        <v>0</v>
      </c>
      <c r="G1483" s="1">
        <f>IF(OR(Table4[[#This Row],[INSTALLMENT]]=3),3,0)</f>
        <v>0</v>
      </c>
    </row>
    <row r="1484" spans="1:7">
      <c r="A1484" s="1">
        <v>1842</v>
      </c>
      <c r="B1484" s="1" t="s">
        <v>3047</v>
      </c>
      <c r="C1484" s="1" t="s">
        <v>171</v>
      </c>
      <c r="D1484" s="1">
        <f>COUNTIFS('Raw Entries'!B:B,Table4[[#This Row],[Name]],'Raw Entries'!I:I,Table4[[#This Row],[BOOK No.]])</f>
        <v>0</v>
      </c>
      <c r="E1484" s="1">
        <f t="array" ref="E1484">IF(OR(Table4[[#This Row],[INSTALLMENT]]=1,Table4[[#This Row],[INSTALLMENT]]=2,Table4[[#This Row],[INSTALLMENT]]=3),1,0)</f>
        <v>0</v>
      </c>
      <c r="F1484" s="1">
        <f>IF(OR(Table4[[#This Row],[INSTALLMENT]]=2,Table4[[#This Row],[INSTALLMENT]]=3),2,0)</f>
        <v>0</v>
      </c>
      <c r="G1484" s="1">
        <f>IF(OR(Table4[[#This Row],[INSTALLMENT]]=3),3,0)</f>
        <v>0</v>
      </c>
    </row>
    <row r="1485" spans="1:7">
      <c r="A1485" s="1">
        <v>1843</v>
      </c>
      <c r="B1485" s="1" t="s">
        <v>3048</v>
      </c>
      <c r="C1485" s="1" t="s">
        <v>171</v>
      </c>
      <c r="D1485" s="1">
        <f>COUNTIFS('Raw Entries'!B:B,Table4[[#This Row],[Name]],'Raw Entries'!I:I,Table4[[#This Row],[BOOK No.]])</f>
        <v>0</v>
      </c>
      <c r="E1485" s="1">
        <f t="array" ref="E1485">IF(OR(Table4[[#This Row],[INSTALLMENT]]=1,Table4[[#This Row],[INSTALLMENT]]=2,Table4[[#This Row],[INSTALLMENT]]=3),1,0)</f>
        <v>0</v>
      </c>
      <c r="F1485" s="1">
        <f>IF(OR(Table4[[#This Row],[INSTALLMENT]]=2,Table4[[#This Row],[INSTALLMENT]]=3),2,0)</f>
        <v>0</v>
      </c>
      <c r="G1485" s="1">
        <f>IF(OR(Table4[[#This Row],[INSTALLMENT]]=3),3,0)</f>
        <v>0</v>
      </c>
    </row>
    <row r="1486" spans="1:7">
      <c r="A1486" s="1">
        <v>1844</v>
      </c>
      <c r="B1486" s="1" t="s">
        <v>3049</v>
      </c>
      <c r="C1486" s="1" t="s">
        <v>171</v>
      </c>
      <c r="D1486" s="1">
        <f>COUNTIFS('Raw Entries'!B:B,Table4[[#This Row],[Name]],'Raw Entries'!I:I,Table4[[#This Row],[BOOK No.]])</f>
        <v>0</v>
      </c>
      <c r="E1486" s="1">
        <f t="array" ref="E1486">IF(OR(Table4[[#This Row],[INSTALLMENT]]=1,Table4[[#This Row],[INSTALLMENT]]=2,Table4[[#This Row],[INSTALLMENT]]=3),1,0)</f>
        <v>0</v>
      </c>
      <c r="F1486" s="1">
        <f>IF(OR(Table4[[#This Row],[INSTALLMENT]]=2,Table4[[#This Row],[INSTALLMENT]]=3),2,0)</f>
        <v>0</v>
      </c>
      <c r="G1486" s="1">
        <f>IF(OR(Table4[[#This Row],[INSTALLMENT]]=3),3,0)</f>
        <v>0</v>
      </c>
    </row>
    <row r="1487" spans="1:7">
      <c r="A1487" s="1">
        <v>1845</v>
      </c>
      <c r="B1487" s="1" t="s">
        <v>3050</v>
      </c>
      <c r="C1487" s="1" t="s">
        <v>171</v>
      </c>
      <c r="D1487" s="1">
        <f>COUNTIFS('Raw Entries'!B:B,Table4[[#This Row],[Name]],'Raw Entries'!I:I,Table4[[#This Row],[BOOK No.]])</f>
        <v>1</v>
      </c>
      <c r="E1487" s="1">
        <f t="array" ref="E1487">IF(OR(Table4[[#This Row],[INSTALLMENT]]=1,Table4[[#This Row],[INSTALLMENT]]=2,Table4[[#This Row],[INSTALLMENT]]=3),1,0)</f>
        <v>1</v>
      </c>
      <c r="F1487" s="1">
        <f>IF(OR(Table4[[#This Row],[INSTALLMENT]]=2,Table4[[#This Row],[INSTALLMENT]]=3),2,0)</f>
        <v>0</v>
      </c>
      <c r="G1487" s="1">
        <f>IF(OR(Table4[[#This Row],[INSTALLMENT]]=3),3,0)</f>
        <v>0</v>
      </c>
    </row>
    <row r="1488" spans="1:7">
      <c r="A1488" s="1">
        <v>1846</v>
      </c>
      <c r="B1488" s="1" t="s">
        <v>3051</v>
      </c>
      <c r="C1488" s="1" t="s">
        <v>171</v>
      </c>
      <c r="D1488" s="1">
        <f>COUNTIFS('Raw Entries'!B:B,Table4[[#This Row],[Name]],'Raw Entries'!I:I,Table4[[#This Row],[BOOK No.]])</f>
        <v>0</v>
      </c>
      <c r="E1488" s="1">
        <f t="array" ref="E1488">IF(OR(Table4[[#This Row],[INSTALLMENT]]=1,Table4[[#This Row],[INSTALLMENT]]=2,Table4[[#This Row],[INSTALLMENT]]=3),1,0)</f>
        <v>0</v>
      </c>
      <c r="F1488" s="1">
        <f>IF(OR(Table4[[#This Row],[INSTALLMENT]]=2,Table4[[#This Row],[INSTALLMENT]]=3),2,0)</f>
        <v>0</v>
      </c>
      <c r="G1488" s="1">
        <f>IF(OR(Table4[[#This Row],[INSTALLMENT]]=3),3,0)</f>
        <v>0</v>
      </c>
    </row>
    <row r="1489" spans="1:7">
      <c r="A1489" s="1">
        <v>1847</v>
      </c>
      <c r="B1489" s="1" t="s">
        <v>172</v>
      </c>
      <c r="C1489" s="1" t="s">
        <v>171</v>
      </c>
      <c r="D1489" s="1">
        <f>COUNTIFS('Raw Entries'!B:B,Table4[[#This Row],[Name]],'Raw Entries'!I:I,Table4[[#This Row],[BOOK No.]])</f>
        <v>1</v>
      </c>
      <c r="E1489" s="1">
        <f t="array" ref="E1489">IF(OR(Table4[[#This Row],[INSTALLMENT]]=1,Table4[[#This Row],[INSTALLMENT]]=2,Table4[[#This Row],[INSTALLMENT]]=3),1,0)</f>
        <v>1</v>
      </c>
      <c r="F1489" s="1">
        <f>IF(OR(Table4[[#This Row],[INSTALLMENT]]=2,Table4[[#This Row],[INSTALLMENT]]=3),2,0)</f>
        <v>0</v>
      </c>
      <c r="G1489" s="1">
        <f>IF(OR(Table4[[#This Row],[INSTALLMENT]]=3),3,0)</f>
        <v>0</v>
      </c>
    </row>
    <row r="1490" spans="1:7">
      <c r="A1490" s="1">
        <v>1848</v>
      </c>
      <c r="B1490" s="1" t="s">
        <v>3052</v>
      </c>
      <c r="C1490" s="1" t="s">
        <v>171</v>
      </c>
      <c r="D1490" s="1">
        <f>COUNTIFS('Raw Entries'!B:B,Table4[[#This Row],[Name]],'Raw Entries'!I:I,Table4[[#This Row],[BOOK No.]])</f>
        <v>0</v>
      </c>
      <c r="E1490" s="1">
        <f t="array" ref="E1490">IF(OR(Table4[[#This Row],[INSTALLMENT]]=1,Table4[[#This Row],[INSTALLMENT]]=2,Table4[[#This Row],[INSTALLMENT]]=3),1,0)</f>
        <v>0</v>
      </c>
      <c r="F1490" s="1">
        <f>IF(OR(Table4[[#This Row],[INSTALLMENT]]=2,Table4[[#This Row],[INSTALLMENT]]=3),2,0)</f>
        <v>0</v>
      </c>
      <c r="G1490" s="1">
        <f>IF(OR(Table4[[#This Row],[INSTALLMENT]]=3),3,0)</f>
        <v>0</v>
      </c>
    </row>
    <row r="1491" spans="1:7">
      <c r="A1491" s="1">
        <v>1849</v>
      </c>
      <c r="B1491" s="1" t="s">
        <v>173</v>
      </c>
      <c r="C1491" s="1" t="s">
        <v>171</v>
      </c>
      <c r="D1491" s="1">
        <f>COUNTIFS('Raw Entries'!B:B,Table4[[#This Row],[Name]],'Raw Entries'!I:I,Table4[[#This Row],[BOOK No.]])</f>
        <v>2</v>
      </c>
      <c r="E1491" s="1">
        <f t="array" ref="E1491">IF(OR(Table4[[#This Row],[INSTALLMENT]]=1,Table4[[#This Row],[INSTALLMENT]]=2,Table4[[#This Row],[INSTALLMENT]]=3),1,0)</f>
        <v>1</v>
      </c>
      <c r="F1491" s="1">
        <f>IF(OR(Table4[[#This Row],[INSTALLMENT]]=2,Table4[[#This Row],[INSTALLMENT]]=3),2,0)</f>
        <v>2</v>
      </c>
      <c r="G1491" s="1">
        <f>IF(OR(Table4[[#This Row],[INSTALLMENT]]=3),3,0)</f>
        <v>0</v>
      </c>
    </row>
    <row r="1492" spans="1:7">
      <c r="A1492" s="1">
        <v>1850</v>
      </c>
      <c r="B1492" s="1" t="s">
        <v>3053</v>
      </c>
      <c r="C1492" s="1" t="s">
        <v>171</v>
      </c>
      <c r="D1492" s="1">
        <f>COUNTIFS('Raw Entries'!B:B,Table4[[#This Row],[Name]],'Raw Entries'!I:I,Table4[[#This Row],[BOOK No.]])</f>
        <v>0</v>
      </c>
      <c r="E1492" s="1">
        <f t="array" ref="E1492">IF(OR(Table4[[#This Row],[INSTALLMENT]]=1,Table4[[#This Row],[INSTALLMENT]]=2,Table4[[#This Row],[INSTALLMENT]]=3),1,0)</f>
        <v>0</v>
      </c>
      <c r="F1492" s="1">
        <f>IF(OR(Table4[[#This Row],[INSTALLMENT]]=2,Table4[[#This Row],[INSTALLMENT]]=3),2,0)</f>
        <v>0</v>
      </c>
      <c r="G1492" s="1">
        <f>IF(OR(Table4[[#This Row],[INSTALLMENT]]=3),3,0)</f>
        <v>0</v>
      </c>
    </row>
    <row r="1493" spans="1:7">
      <c r="A1493" s="1">
        <v>1851</v>
      </c>
      <c r="B1493" s="1" t="s">
        <v>3054</v>
      </c>
      <c r="C1493" s="1" t="s">
        <v>171</v>
      </c>
      <c r="D1493" s="1">
        <f>COUNTIFS('Raw Entries'!B:B,Table4[[#This Row],[Name]],'Raw Entries'!I:I,Table4[[#This Row],[BOOK No.]])</f>
        <v>0</v>
      </c>
      <c r="E1493" s="1">
        <f t="array" ref="E1493">IF(OR(Table4[[#This Row],[INSTALLMENT]]=1,Table4[[#This Row],[INSTALLMENT]]=2,Table4[[#This Row],[INSTALLMENT]]=3),1,0)</f>
        <v>0</v>
      </c>
      <c r="F1493" s="1">
        <f>IF(OR(Table4[[#This Row],[INSTALLMENT]]=2,Table4[[#This Row],[INSTALLMENT]]=3),2,0)</f>
        <v>0</v>
      </c>
      <c r="G1493" s="1">
        <f>IF(OR(Table4[[#This Row],[INSTALLMENT]]=3),3,0)</f>
        <v>0</v>
      </c>
    </row>
    <row r="1494" spans="1:7">
      <c r="A1494" s="1">
        <v>1852</v>
      </c>
      <c r="B1494" s="1" t="s">
        <v>3055</v>
      </c>
      <c r="C1494" s="1" t="s">
        <v>171</v>
      </c>
      <c r="D1494" s="1">
        <f>COUNTIFS('Raw Entries'!B:B,Table4[[#This Row],[Name]],'Raw Entries'!I:I,Table4[[#This Row],[BOOK No.]])</f>
        <v>0</v>
      </c>
      <c r="E1494" s="1">
        <f t="array" ref="E1494">IF(OR(Table4[[#This Row],[INSTALLMENT]]=1,Table4[[#This Row],[INSTALLMENT]]=2,Table4[[#This Row],[INSTALLMENT]]=3),1,0)</f>
        <v>0</v>
      </c>
      <c r="F1494" s="1">
        <f>IF(OR(Table4[[#This Row],[INSTALLMENT]]=2,Table4[[#This Row],[INSTALLMENT]]=3),2,0)</f>
        <v>0</v>
      </c>
      <c r="G1494" s="1">
        <f>IF(OR(Table4[[#This Row],[INSTALLMENT]]=3),3,0)</f>
        <v>0</v>
      </c>
    </row>
    <row r="1495" spans="1:7">
      <c r="A1495" s="1">
        <v>1853</v>
      </c>
      <c r="B1495" s="1" t="s">
        <v>3056</v>
      </c>
      <c r="C1495" s="1" t="s">
        <v>171</v>
      </c>
      <c r="D1495" s="1">
        <f>COUNTIFS('Raw Entries'!B:B,Table4[[#This Row],[Name]],'Raw Entries'!I:I,Table4[[#This Row],[BOOK No.]])</f>
        <v>0</v>
      </c>
      <c r="E1495" s="1">
        <f t="array" ref="E1495">IF(OR(Table4[[#This Row],[INSTALLMENT]]=1,Table4[[#This Row],[INSTALLMENT]]=2,Table4[[#This Row],[INSTALLMENT]]=3),1,0)</f>
        <v>0</v>
      </c>
      <c r="F1495" s="1">
        <f>IF(OR(Table4[[#This Row],[INSTALLMENT]]=2,Table4[[#This Row],[INSTALLMENT]]=3),2,0)</f>
        <v>0</v>
      </c>
      <c r="G1495" s="1">
        <f>IF(OR(Table4[[#This Row],[INSTALLMENT]]=3),3,0)</f>
        <v>0</v>
      </c>
    </row>
    <row r="1496" spans="1:7">
      <c r="A1496" s="1">
        <v>1854</v>
      </c>
      <c r="B1496" s="1" t="s">
        <v>3057</v>
      </c>
      <c r="C1496" s="1" t="s">
        <v>171</v>
      </c>
      <c r="D1496" s="1">
        <f>COUNTIFS('Raw Entries'!B:B,Table4[[#This Row],[Name]],'Raw Entries'!I:I,Table4[[#This Row],[BOOK No.]])</f>
        <v>0</v>
      </c>
      <c r="E1496" s="1">
        <f t="array" ref="E1496">IF(OR(Table4[[#This Row],[INSTALLMENT]]=1,Table4[[#This Row],[INSTALLMENT]]=2,Table4[[#This Row],[INSTALLMENT]]=3),1,0)</f>
        <v>0</v>
      </c>
      <c r="F1496" s="1">
        <f>IF(OR(Table4[[#This Row],[INSTALLMENT]]=2,Table4[[#This Row],[INSTALLMENT]]=3),2,0)</f>
        <v>0</v>
      </c>
      <c r="G1496" s="1">
        <f>IF(OR(Table4[[#This Row],[INSTALLMENT]]=3),3,0)</f>
        <v>0</v>
      </c>
    </row>
    <row r="1497" spans="1:7">
      <c r="A1497" s="1">
        <v>1855</v>
      </c>
      <c r="B1497" s="1" t="s">
        <v>3058</v>
      </c>
      <c r="C1497" s="1" t="s">
        <v>171</v>
      </c>
      <c r="D1497" s="1">
        <f>COUNTIFS('Raw Entries'!B:B,Table4[[#This Row],[Name]],'Raw Entries'!I:I,Table4[[#This Row],[BOOK No.]])</f>
        <v>0</v>
      </c>
      <c r="E1497" s="1">
        <f t="array" ref="E1497">IF(OR(Table4[[#This Row],[INSTALLMENT]]=1,Table4[[#This Row],[INSTALLMENT]]=2,Table4[[#This Row],[INSTALLMENT]]=3),1,0)</f>
        <v>0</v>
      </c>
      <c r="F1497" s="1">
        <f>IF(OR(Table4[[#This Row],[INSTALLMENT]]=2,Table4[[#This Row],[INSTALLMENT]]=3),2,0)</f>
        <v>0</v>
      </c>
      <c r="G1497" s="1">
        <f>IF(OR(Table4[[#This Row],[INSTALLMENT]]=3),3,0)</f>
        <v>0</v>
      </c>
    </row>
    <row r="1498" spans="1:7">
      <c r="A1498" s="1">
        <v>1856</v>
      </c>
      <c r="B1498" s="1" t="s">
        <v>3059</v>
      </c>
      <c r="C1498" s="1" t="s">
        <v>171</v>
      </c>
      <c r="D1498" s="1">
        <f>COUNTIFS('Raw Entries'!B:B,Table4[[#This Row],[Name]],'Raw Entries'!I:I,Table4[[#This Row],[BOOK No.]])</f>
        <v>0</v>
      </c>
      <c r="E1498" s="1">
        <f t="array" ref="E1498">IF(OR(Table4[[#This Row],[INSTALLMENT]]=1,Table4[[#This Row],[INSTALLMENT]]=2,Table4[[#This Row],[INSTALLMENT]]=3),1,0)</f>
        <v>0</v>
      </c>
      <c r="F1498" s="1">
        <f>IF(OR(Table4[[#This Row],[INSTALLMENT]]=2,Table4[[#This Row],[INSTALLMENT]]=3),2,0)</f>
        <v>0</v>
      </c>
      <c r="G1498" s="1">
        <f>IF(OR(Table4[[#This Row],[INSTALLMENT]]=3),3,0)</f>
        <v>0</v>
      </c>
    </row>
    <row r="1499" spans="1:7">
      <c r="A1499" s="1">
        <v>1857</v>
      </c>
      <c r="B1499" s="1" t="s">
        <v>3060</v>
      </c>
      <c r="C1499" s="1" t="s">
        <v>171</v>
      </c>
      <c r="D1499" s="1">
        <f>COUNTIFS('Raw Entries'!B:B,Table4[[#This Row],[Name]],'Raw Entries'!I:I,Table4[[#This Row],[BOOK No.]])</f>
        <v>0</v>
      </c>
      <c r="E1499" s="1">
        <f t="array" ref="E1499">IF(OR(Table4[[#This Row],[INSTALLMENT]]=1,Table4[[#This Row],[INSTALLMENT]]=2,Table4[[#This Row],[INSTALLMENT]]=3),1,0)</f>
        <v>0</v>
      </c>
      <c r="F1499" s="1">
        <f>IF(OR(Table4[[#This Row],[INSTALLMENT]]=2,Table4[[#This Row],[INSTALLMENT]]=3),2,0)</f>
        <v>0</v>
      </c>
      <c r="G1499" s="1">
        <f>IF(OR(Table4[[#This Row],[INSTALLMENT]]=3),3,0)</f>
        <v>0</v>
      </c>
    </row>
    <row r="1500" spans="1:7">
      <c r="A1500" s="1">
        <v>1858</v>
      </c>
      <c r="B1500" s="1" t="s">
        <v>3061</v>
      </c>
      <c r="C1500" s="1" t="s">
        <v>171</v>
      </c>
      <c r="D1500" s="1">
        <f>COUNTIFS('Raw Entries'!B:B,Table4[[#This Row],[Name]],'Raw Entries'!I:I,Table4[[#This Row],[BOOK No.]])</f>
        <v>0</v>
      </c>
      <c r="E1500" s="1">
        <f t="array" ref="E1500">IF(OR(Table4[[#This Row],[INSTALLMENT]]=1,Table4[[#This Row],[INSTALLMENT]]=2,Table4[[#This Row],[INSTALLMENT]]=3),1,0)</f>
        <v>0</v>
      </c>
      <c r="F1500" s="1">
        <f>IF(OR(Table4[[#This Row],[INSTALLMENT]]=2,Table4[[#This Row],[INSTALLMENT]]=3),2,0)</f>
        <v>0</v>
      </c>
      <c r="G1500" s="1">
        <f>IF(OR(Table4[[#This Row],[INSTALLMENT]]=3),3,0)</f>
        <v>0</v>
      </c>
    </row>
    <row r="1501" spans="1:7">
      <c r="A1501" s="1">
        <v>1859</v>
      </c>
      <c r="B1501" s="1" t="s">
        <v>3062</v>
      </c>
      <c r="C1501" s="1" t="s">
        <v>171</v>
      </c>
      <c r="D1501" s="1">
        <f>COUNTIFS('Raw Entries'!B:B,Table4[[#This Row],[Name]],'Raw Entries'!I:I,Table4[[#This Row],[BOOK No.]])</f>
        <v>0</v>
      </c>
      <c r="E1501" s="1">
        <f t="array" ref="E1501">IF(OR(Table4[[#This Row],[INSTALLMENT]]=1,Table4[[#This Row],[INSTALLMENT]]=2,Table4[[#This Row],[INSTALLMENT]]=3),1,0)</f>
        <v>0</v>
      </c>
      <c r="F1501" s="1">
        <f>IF(OR(Table4[[#This Row],[INSTALLMENT]]=2,Table4[[#This Row],[INSTALLMENT]]=3),2,0)</f>
        <v>0</v>
      </c>
      <c r="G1501" s="1">
        <f>IF(OR(Table4[[#This Row],[INSTALLMENT]]=3),3,0)</f>
        <v>0</v>
      </c>
    </row>
    <row r="1502" spans="1:7">
      <c r="A1502" s="1">
        <v>1860</v>
      </c>
      <c r="B1502" s="1" t="s">
        <v>3063</v>
      </c>
      <c r="C1502" s="1" t="s">
        <v>171</v>
      </c>
      <c r="D1502" s="1">
        <f>COUNTIFS('Raw Entries'!B:B,Table4[[#This Row],[Name]],'Raw Entries'!I:I,Table4[[#This Row],[BOOK No.]])</f>
        <v>0</v>
      </c>
      <c r="E1502" s="1">
        <f t="array" ref="E1502">IF(OR(Table4[[#This Row],[INSTALLMENT]]=1,Table4[[#This Row],[INSTALLMENT]]=2,Table4[[#This Row],[INSTALLMENT]]=3),1,0)</f>
        <v>0</v>
      </c>
      <c r="F1502" s="1">
        <f>IF(OR(Table4[[#This Row],[INSTALLMENT]]=2,Table4[[#This Row],[INSTALLMENT]]=3),2,0)</f>
        <v>0</v>
      </c>
      <c r="G1502" s="1">
        <f>IF(OR(Table4[[#This Row],[INSTALLMENT]]=3),3,0)</f>
        <v>0</v>
      </c>
    </row>
    <row r="1503" spans="1:7">
      <c r="A1503" s="1">
        <v>1861</v>
      </c>
      <c r="B1503" s="1" t="s">
        <v>3064</v>
      </c>
      <c r="C1503" s="1" t="s">
        <v>171</v>
      </c>
      <c r="D1503" s="1">
        <f>COUNTIFS('Raw Entries'!B:B,Table4[[#This Row],[Name]],'Raw Entries'!I:I,Table4[[#This Row],[BOOK No.]])</f>
        <v>0</v>
      </c>
      <c r="E1503" s="1">
        <f t="array" ref="E1503">IF(OR(Table4[[#This Row],[INSTALLMENT]]=1,Table4[[#This Row],[INSTALLMENT]]=2,Table4[[#This Row],[INSTALLMENT]]=3),1,0)</f>
        <v>0</v>
      </c>
      <c r="F1503" s="1">
        <f>IF(OR(Table4[[#This Row],[INSTALLMENT]]=2,Table4[[#This Row],[INSTALLMENT]]=3),2,0)</f>
        <v>0</v>
      </c>
      <c r="G1503" s="1">
        <f>IF(OR(Table4[[#This Row],[INSTALLMENT]]=3),3,0)</f>
        <v>0</v>
      </c>
    </row>
    <row r="1504" spans="1:7">
      <c r="A1504" s="1">
        <v>1862</v>
      </c>
      <c r="B1504" s="1" t="s">
        <v>3065</v>
      </c>
      <c r="C1504" s="1" t="s">
        <v>171</v>
      </c>
      <c r="D1504" s="1">
        <f>COUNTIFS('Raw Entries'!B:B,Table4[[#This Row],[Name]],'Raw Entries'!I:I,Table4[[#This Row],[BOOK No.]])</f>
        <v>0</v>
      </c>
      <c r="E1504" s="1">
        <f t="array" ref="E1504">IF(OR(Table4[[#This Row],[INSTALLMENT]]=1,Table4[[#This Row],[INSTALLMENT]]=2,Table4[[#This Row],[INSTALLMENT]]=3),1,0)</f>
        <v>0</v>
      </c>
      <c r="F1504" s="1">
        <f>IF(OR(Table4[[#This Row],[INSTALLMENT]]=2,Table4[[#This Row],[INSTALLMENT]]=3),2,0)</f>
        <v>0</v>
      </c>
      <c r="G1504" s="1">
        <f>IF(OR(Table4[[#This Row],[INSTALLMENT]]=3),3,0)</f>
        <v>0</v>
      </c>
    </row>
    <row r="1505" spans="1:7">
      <c r="A1505" s="1">
        <v>1863</v>
      </c>
      <c r="B1505" s="1" t="s">
        <v>174</v>
      </c>
      <c r="C1505" s="1" t="s">
        <v>171</v>
      </c>
      <c r="D1505" s="1">
        <f>COUNTIFS('Raw Entries'!B:B,Table4[[#This Row],[Name]],'Raw Entries'!I:I,Table4[[#This Row],[BOOK No.]])</f>
        <v>3</v>
      </c>
      <c r="E1505" s="1">
        <f t="array" ref="E1505">IF(OR(Table4[[#This Row],[INSTALLMENT]]=1,Table4[[#This Row],[INSTALLMENT]]=2,Table4[[#This Row],[INSTALLMENT]]=3),1,0)</f>
        <v>1</v>
      </c>
      <c r="F1505" s="1">
        <f>IF(OR(Table4[[#This Row],[INSTALLMENT]]=2,Table4[[#This Row],[INSTALLMENT]]=3),2,0)</f>
        <v>2</v>
      </c>
      <c r="G1505" s="1">
        <f>IF(OR(Table4[[#This Row],[INSTALLMENT]]=3),3,0)</f>
        <v>3</v>
      </c>
    </row>
    <row r="1506" spans="1:7">
      <c r="A1506" s="1">
        <v>1864</v>
      </c>
      <c r="B1506" s="1" t="s">
        <v>3066</v>
      </c>
      <c r="C1506" s="1" t="s">
        <v>171</v>
      </c>
      <c r="D1506" s="1">
        <f>COUNTIFS('Raw Entries'!B:B,Table4[[#This Row],[Name]],'Raw Entries'!I:I,Table4[[#This Row],[BOOK No.]])</f>
        <v>0</v>
      </c>
      <c r="E1506" s="1">
        <f t="array" ref="E1506">IF(OR(Table4[[#This Row],[INSTALLMENT]]=1,Table4[[#This Row],[INSTALLMENT]]=2,Table4[[#This Row],[INSTALLMENT]]=3),1,0)</f>
        <v>0</v>
      </c>
      <c r="F1506" s="1">
        <f>IF(OR(Table4[[#This Row],[INSTALLMENT]]=2,Table4[[#This Row],[INSTALLMENT]]=3),2,0)</f>
        <v>0</v>
      </c>
      <c r="G1506" s="1">
        <f>IF(OR(Table4[[#This Row],[INSTALLMENT]]=3),3,0)</f>
        <v>0</v>
      </c>
    </row>
    <row r="1507" spans="1:7">
      <c r="A1507" s="1">
        <v>1865</v>
      </c>
      <c r="B1507" s="1" t="s">
        <v>3067</v>
      </c>
      <c r="C1507" s="1" t="s">
        <v>171</v>
      </c>
      <c r="D1507" s="1">
        <f>COUNTIFS('Raw Entries'!B:B,Table4[[#This Row],[Name]],'Raw Entries'!I:I,Table4[[#This Row],[BOOK No.]])</f>
        <v>0</v>
      </c>
      <c r="E1507" s="1">
        <f t="array" ref="E1507">IF(OR(Table4[[#This Row],[INSTALLMENT]]=1,Table4[[#This Row],[INSTALLMENT]]=2,Table4[[#This Row],[INSTALLMENT]]=3),1,0)</f>
        <v>0</v>
      </c>
      <c r="F1507" s="1">
        <f>IF(OR(Table4[[#This Row],[INSTALLMENT]]=2,Table4[[#This Row],[INSTALLMENT]]=3),2,0)</f>
        <v>0</v>
      </c>
      <c r="G1507" s="1">
        <f>IF(OR(Table4[[#This Row],[INSTALLMENT]]=3),3,0)</f>
        <v>0</v>
      </c>
    </row>
    <row r="1508" spans="1:7">
      <c r="A1508" s="1">
        <v>1866</v>
      </c>
      <c r="B1508" s="1" t="s">
        <v>3068</v>
      </c>
      <c r="C1508" s="1" t="s">
        <v>171</v>
      </c>
      <c r="D1508" s="1">
        <f>COUNTIFS('Raw Entries'!B:B,Table4[[#This Row],[Name]],'Raw Entries'!I:I,Table4[[#This Row],[BOOK No.]])</f>
        <v>0</v>
      </c>
      <c r="E1508" s="1">
        <f t="array" ref="E1508">IF(OR(Table4[[#This Row],[INSTALLMENT]]=1,Table4[[#This Row],[INSTALLMENT]]=2,Table4[[#This Row],[INSTALLMENT]]=3),1,0)</f>
        <v>0</v>
      </c>
      <c r="F1508" s="1">
        <f>IF(OR(Table4[[#This Row],[INSTALLMENT]]=2,Table4[[#This Row],[INSTALLMENT]]=3),2,0)</f>
        <v>0</v>
      </c>
      <c r="G1508" s="1">
        <f>IF(OR(Table4[[#This Row],[INSTALLMENT]]=3),3,0)</f>
        <v>0</v>
      </c>
    </row>
    <row r="1509" spans="1:7">
      <c r="A1509" s="1">
        <v>1867</v>
      </c>
      <c r="B1509" s="1" t="s">
        <v>3069</v>
      </c>
      <c r="C1509" s="1" t="s">
        <v>171</v>
      </c>
      <c r="D1509" s="1">
        <f>COUNTIFS('Raw Entries'!B:B,Table4[[#This Row],[Name]],'Raw Entries'!I:I,Table4[[#This Row],[BOOK No.]])</f>
        <v>0</v>
      </c>
      <c r="E1509" s="1">
        <f t="array" ref="E1509">IF(OR(Table4[[#This Row],[INSTALLMENT]]=1,Table4[[#This Row],[INSTALLMENT]]=2,Table4[[#This Row],[INSTALLMENT]]=3),1,0)</f>
        <v>0</v>
      </c>
      <c r="F1509" s="1">
        <f>IF(OR(Table4[[#This Row],[INSTALLMENT]]=2,Table4[[#This Row],[INSTALLMENT]]=3),2,0)</f>
        <v>0</v>
      </c>
      <c r="G1509" s="1">
        <f>IF(OR(Table4[[#This Row],[INSTALLMENT]]=3),3,0)</f>
        <v>0</v>
      </c>
    </row>
    <row r="1510" spans="1:7">
      <c r="A1510" s="1">
        <v>1868</v>
      </c>
      <c r="B1510" s="1" t="s">
        <v>3070</v>
      </c>
      <c r="C1510" s="1" t="s">
        <v>171</v>
      </c>
      <c r="D1510" s="1">
        <f>COUNTIFS('Raw Entries'!B:B,Table4[[#This Row],[Name]],'Raw Entries'!I:I,Table4[[#This Row],[BOOK No.]])</f>
        <v>0</v>
      </c>
      <c r="E1510" s="1">
        <f t="array" ref="E1510">IF(OR(Table4[[#This Row],[INSTALLMENT]]=1,Table4[[#This Row],[INSTALLMENT]]=2,Table4[[#This Row],[INSTALLMENT]]=3),1,0)</f>
        <v>0</v>
      </c>
      <c r="F1510" s="1">
        <f>IF(OR(Table4[[#This Row],[INSTALLMENT]]=2,Table4[[#This Row],[INSTALLMENT]]=3),2,0)</f>
        <v>0</v>
      </c>
      <c r="G1510" s="1">
        <f>IF(OR(Table4[[#This Row],[INSTALLMENT]]=3),3,0)</f>
        <v>0</v>
      </c>
    </row>
    <row r="1511" spans="1:7">
      <c r="A1511" s="1">
        <v>1869</v>
      </c>
      <c r="B1511" s="1" t="s">
        <v>3071</v>
      </c>
      <c r="C1511" s="1" t="s">
        <v>175</v>
      </c>
      <c r="D1511" s="1">
        <f>COUNTIFS('Raw Entries'!B:B,Table4[[#This Row],[Name]],'Raw Entries'!I:I,Table4[[#This Row],[BOOK No.]])</f>
        <v>0</v>
      </c>
      <c r="E1511" s="1">
        <f t="array" ref="E1511">IF(OR(Table4[[#This Row],[INSTALLMENT]]=1,Table4[[#This Row],[INSTALLMENT]]=2,Table4[[#This Row],[INSTALLMENT]]=3),1,0)</f>
        <v>0</v>
      </c>
      <c r="F1511" s="1">
        <f>IF(OR(Table4[[#This Row],[INSTALLMENT]]=2,Table4[[#This Row],[INSTALLMENT]]=3),2,0)</f>
        <v>0</v>
      </c>
      <c r="G1511" s="1">
        <f>IF(OR(Table4[[#This Row],[INSTALLMENT]]=3),3,0)</f>
        <v>0</v>
      </c>
    </row>
    <row r="1512" spans="1:7">
      <c r="A1512" s="1">
        <v>1870</v>
      </c>
      <c r="B1512" s="1" t="s">
        <v>3072</v>
      </c>
      <c r="C1512" s="1" t="s">
        <v>175</v>
      </c>
      <c r="D1512" s="1">
        <f>COUNTIFS('Raw Entries'!B:B,Table4[[#This Row],[Name]],'Raw Entries'!I:I,Table4[[#This Row],[BOOK No.]])</f>
        <v>0</v>
      </c>
      <c r="E1512" s="1">
        <f t="array" ref="E1512">IF(OR(Table4[[#This Row],[INSTALLMENT]]=1,Table4[[#This Row],[INSTALLMENT]]=2,Table4[[#This Row],[INSTALLMENT]]=3),1,0)</f>
        <v>0</v>
      </c>
      <c r="F1512" s="1">
        <f>IF(OR(Table4[[#This Row],[INSTALLMENT]]=2,Table4[[#This Row],[INSTALLMENT]]=3),2,0)</f>
        <v>0</v>
      </c>
      <c r="G1512" s="1">
        <f>IF(OR(Table4[[#This Row],[INSTALLMENT]]=3),3,0)</f>
        <v>0</v>
      </c>
    </row>
    <row r="1513" spans="1:7">
      <c r="A1513" s="1">
        <v>1871</v>
      </c>
      <c r="B1513" s="1" t="s">
        <v>153</v>
      </c>
      <c r="C1513" s="1" t="s">
        <v>175</v>
      </c>
      <c r="D1513" s="1">
        <f>COUNTIFS('Raw Entries'!B:B,Table4[[#This Row],[Name]],'Raw Entries'!I:I,Table4[[#This Row],[BOOK No.]])</f>
        <v>0</v>
      </c>
      <c r="E1513" s="1">
        <f t="array" ref="E1513">IF(OR(Table4[[#This Row],[INSTALLMENT]]=1,Table4[[#This Row],[INSTALLMENT]]=2,Table4[[#This Row],[INSTALLMENT]]=3),1,0)</f>
        <v>0</v>
      </c>
      <c r="F1513" s="1">
        <f>IF(OR(Table4[[#This Row],[INSTALLMENT]]=2,Table4[[#This Row],[INSTALLMENT]]=3),2,0)</f>
        <v>0</v>
      </c>
      <c r="G1513" s="1">
        <f>IF(OR(Table4[[#This Row],[INSTALLMENT]]=3),3,0)</f>
        <v>0</v>
      </c>
    </row>
    <row r="1514" spans="1:7">
      <c r="A1514" s="1">
        <v>1872</v>
      </c>
      <c r="B1514" s="1" t="s">
        <v>180</v>
      </c>
      <c r="C1514" s="1" t="s">
        <v>175</v>
      </c>
      <c r="D1514" s="1">
        <f>COUNTIFS('Raw Entries'!B:B,Table4[[#This Row],[Name]],'Raw Entries'!I:I,Table4[[#This Row],[BOOK No.]])</f>
        <v>3</v>
      </c>
      <c r="E1514" s="1">
        <f t="array" ref="E1514">IF(OR(Table4[[#This Row],[INSTALLMENT]]=1,Table4[[#This Row],[INSTALLMENT]]=2,Table4[[#This Row],[INSTALLMENT]]=3),1,0)</f>
        <v>1</v>
      </c>
      <c r="F1514" s="1">
        <f>IF(OR(Table4[[#This Row],[INSTALLMENT]]=2,Table4[[#This Row],[INSTALLMENT]]=3),2,0)</f>
        <v>2</v>
      </c>
      <c r="G1514" s="1">
        <f>IF(OR(Table4[[#This Row],[INSTALLMENT]]=3),3,0)</f>
        <v>3</v>
      </c>
    </row>
    <row r="1515" spans="1:7">
      <c r="A1515" s="1">
        <v>1873</v>
      </c>
      <c r="B1515" s="1" t="s">
        <v>178</v>
      </c>
      <c r="C1515" s="1" t="s">
        <v>175</v>
      </c>
      <c r="D1515" s="1">
        <f>COUNTIFS('Raw Entries'!B:B,Table4[[#This Row],[Name]],'Raw Entries'!I:I,Table4[[#This Row],[BOOK No.]])</f>
        <v>3</v>
      </c>
      <c r="E1515" s="1">
        <f t="array" ref="E1515">IF(OR(Table4[[#This Row],[INSTALLMENT]]=1,Table4[[#This Row],[INSTALLMENT]]=2,Table4[[#This Row],[INSTALLMENT]]=3),1,0)</f>
        <v>1</v>
      </c>
      <c r="F1515" s="1">
        <f>IF(OR(Table4[[#This Row],[INSTALLMENT]]=2,Table4[[#This Row],[INSTALLMENT]]=3),2,0)</f>
        <v>2</v>
      </c>
      <c r="G1515" s="1">
        <f>IF(OR(Table4[[#This Row],[INSTALLMENT]]=3),3,0)</f>
        <v>3</v>
      </c>
    </row>
    <row r="1516" spans="1:7">
      <c r="A1516" s="1">
        <v>1874</v>
      </c>
      <c r="B1516" s="1" t="s">
        <v>668</v>
      </c>
      <c r="C1516" s="1" t="s">
        <v>175</v>
      </c>
      <c r="D1516" s="1">
        <f>COUNTIFS('Raw Entries'!B:B,Table4[[#This Row],[Name]],'Raw Entries'!I:I,Table4[[#This Row],[BOOK No.]])</f>
        <v>3</v>
      </c>
      <c r="E1516" s="1">
        <f t="array" ref="E1516">IF(OR(Table4[[#This Row],[INSTALLMENT]]=1,Table4[[#This Row],[INSTALLMENT]]=2,Table4[[#This Row],[INSTALLMENT]]=3),1,0)</f>
        <v>1</v>
      </c>
      <c r="F1516" s="1">
        <f>IF(OR(Table4[[#This Row],[INSTALLMENT]]=2,Table4[[#This Row],[INSTALLMENT]]=3),2,0)</f>
        <v>2</v>
      </c>
      <c r="G1516" s="1">
        <f>IF(OR(Table4[[#This Row],[INSTALLMENT]]=3),3,0)</f>
        <v>3</v>
      </c>
    </row>
    <row r="1517" spans="1:7">
      <c r="A1517" s="1">
        <v>1875</v>
      </c>
      <c r="B1517" s="1" t="s">
        <v>3073</v>
      </c>
      <c r="C1517" s="1" t="s">
        <v>175</v>
      </c>
      <c r="D1517" s="1">
        <f>COUNTIFS('Raw Entries'!B:B,Table4[[#This Row],[Name]],'Raw Entries'!I:I,Table4[[#This Row],[BOOK No.]])</f>
        <v>0</v>
      </c>
      <c r="E1517" s="1">
        <f t="array" ref="E1517">IF(OR(Table4[[#This Row],[INSTALLMENT]]=1,Table4[[#This Row],[INSTALLMENT]]=2,Table4[[#This Row],[INSTALLMENT]]=3),1,0)</f>
        <v>0</v>
      </c>
      <c r="F1517" s="1">
        <f>IF(OR(Table4[[#This Row],[INSTALLMENT]]=2,Table4[[#This Row],[INSTALLMENT]]=3),2,0)</f>
        <v>0</v>
      </c>
      <c r="G1517" s="1">
        <f>IF(OR(Table4[[#This Row],[INSTALLMENT]]=3),3,0)</f>
        <v>0</v>
      </c>
    </row>
    <row r="1518" spans="1:7">
      <c r="A1518" s="1">
        <v>1876</v>
      </c>
      <c r="B1518" s="1" t="s">
        <v>3074</v>
      </c>
      <c r="C1518" s="1" t="s">
        <v>175</v>
      </c>
      <c r="D1518" s="1">
        <f>COUNTIFS('Raw Entries'!B:B,Table4[[#This Row],[Name]],'Raw Entries'!I:I,Table4[[#This Row],[BOOK No.]])</f>
        <v>0</v>
      </c>
      <c r="E1518" s="1">
        <f t="array" ref="E1518">IF(OR(Table4[[#This Row],[INSTALLMENT]]=1,Table4[[#This Row],[INSTALLMENT]]=2,Table4[[#This Row],[INSTALLMENT]]=3),1,0)</f>
        <v>0</v>
      </c>
      <c r="F1518" s="1">
        <f>IF(OR(Table4[[#This Row],[INSTALLMENT]]=2,Table4[[#This Row],[INSTALLMENT]]=3),2,0)</f>
        <v>0</v>
      </c>
      <c r="G1518" s="1">
        <f>IF(OR(Table4[[#This Row],[INSTALLMENT]]=3),3,0)</f>
        <v>0</v>
      </c>
    </row>
    <row r="1519" spans="1:7">
      <c r="A1519" s="1">
        <v>1877</v>
      </c>
      <c r="B1519" s="1" t="s">
        <v>3075</v>
      </c>
      <c r="C1519" s="1" t="s">
        <v>175</v>
      </c>
      <c r="D1519" s="1">
        <f>COUNTIFS('Raw Entries'!B:B,Table4[[#This Row],[Name]],'Raw Entries'!I:I,Table4[[#This Row],[BOOK No.]])</f>
        <v>0</v>
      </c>
      <c r="E1519" s="1">
        <f t="array" ref="E1519">IF(OR(Table4[[#This Row],[INSTALLMENT]]=1,Table4[[#This Row],[INSTALLMENT]]=2,Table4[[#This Row],[INSTALLMENT]]=3),1,0)</f>
        <v>0</v>
      </c>
      <c r="F1519" s="1">
        <f>IF(OR(Table4[[#This Row],[INSTALLMENT]]=2,Table4[[#This Row],[INSTALLMENT]]=3),2,0)</f>
        <v>0</v>
      </c>
      <c r="G1519" s="1">
        <f>IF(OR(Table4[[#This Row],[INSTALLMENT]]=3),3,0)</f>
        <v>0</v>
      </c>
    </row>
    <row r="1520" spans="1:7">
      <c r="A1520" s="1">
        <v>1878</v>
      </c>
      <c r="B1520" s="1" t="s">
        <v>3076</v>
      </c>
      <c r="C1520" s="1" t="s">
        <v>175</v>
      </c>
      <c r="D1520" s="1">
        <f>COUNTIFS('Raw Entries'!B:B,Table4[[#This Row],[Name]],'Raw Entries'!I:I,Table4[[#This Row],[BOOK No.]])</f>
        <v>0</v>
      </c>
      <c r="E1520" s="1">
        <f t="array" ref="E1520">IF(OR(Table4[[#This Row],[INSTALLMENT]]=1,Table4[[#This Row],[INSTALLMENT]]=2,Table4[[#This Row],[INSTALLMENT]]=3),1,0)</f>
        <v>0</v>
      </c>
      <c r="F1520" s="1">
        <f>IF(OR(Table4[[#This Row],[INSTALLMENT]]=2,Table4[[#This Row],[INSTALLMENT]]=3),2,0)</f>
        <v>0</v>
      </c>
      <c r="G1520" s="1">
        <f>IF(OR(Table4[[#This Row],[INSTALLMENT]]=3),3,0)</f>
        <v>0</v>
      </c>
    </row>
    <row r="1521" spans="1:7">
      <c r="A1521" s="1">
        <v>1879</v>
      </c>
      <c r="B1521" s="1" t="s">
        <v>108</v>
      </c>
      <c r="C1521" s="1" t="s">
        <v>175</v>
      </c>
      <c r="D1521" s="1">
        <f>COUNTIFS('Raw Entries'!B:B,Table4[[#This Row],[Name]],'Raw Entries'!I:I,Table4[[#This Row],[BOOK No.]])</f>
        <v>1</v>
      </c>
      <c r="E1521" s="1">
        <f t="array" ref="E1521">IF(OR(Table4[[#This Row],[INSTALLMENT]]=1,Table4[[#This Row],[INSTALLMENT]]=2,Table4[[#This Row],[INSTALLMENT]]=3),1,0)</f>
        <v>1</v>
      </c>
      <c r="F1521" s="1">
        <f>IF(OR(Table4[[#This Row],[INSTALLMENT]]=2,Table4[[#This Row],[INSTALLMENT]]=3),2,0)</f>
        <v>0</v>
      </c>
      <c r="G1521" s="1">
        <f>IF(OR(Table4[[#This Row],[INSTALLMENT]]=3),3,0)</f>
        <v>0</v>
      </c>
    </row>
    <row r="1522" spans="1:7">
      <c r="A1522" s="1">
        <v>1880</v>
      </c>
      <c r="B1522" s="1" t="s">
        <v>3077</v>
      </c>
      <c r="C1522" s="1" t="s">
        <v>175</v>
      </c>
      <c r="D1522" s="1">
        <f>COUNTIFS('Raw Entries'!B:B,Table4[[#This Row],[Name]],'Raw Entries'!I:I,Table4[[#This Row],[BOOK No.]])</f>
        <v>0</v>
      </c>
      <c r="E1522" s="1">
        <f t="array" ref="E1522">IF(OR(Table4[[#This Row],[INSTALLMENT]]=1,Table4[[#This Row],[INSTALLMENT]]=2,Table4[[#This Row],[INSTALLMENT]]=3),1,0)</f>
        <v>0</v>
      </c>
      <c r="F1522" s="1">
        <f>IF(OR(Table4[[#This Row],[INSTALLMENT]]=2,Table4[[#This Row],[INSTALLMENT]]=3),2,0)</f>
        <v>0</v>
      </c>
      <c r="G1522" s="1">
        <f>IF(OR(Table4[[#This Row],[INSTALLMENT]]=3),3,0)</f>
        <v>0</v>
      </c>
    </row>
    <row r="1523" spans="1:7">
      <c r="A1523" s="1">
        <v>1881</v>
      </c>
      <c r="B1523" s="1" t="s">
        <v>177</v>
      </c>
      <c r="C1523" s="1" t="s">
        <v>175</v>
      </c>
      <c r="D1523" s="1">
        <f>COUNTIFS('Raw Entries'!B:B,Table4[[#This Row],[Name]],'Raw Entries'!I:I,Table4[[#This Row],[BOOK No.]])</f>
        <v>1</v>
      </c>
      <c r="E1523" s="1">
        <f t="array" ref="E1523">IF(OR(Table4[[#This Row],[INSTALLMENT]]=1,Table4[[#This Row],[INSTALLMENT]]=2,Table4[[#This Row],[INSTALLMENT]]=3),1,0)</f>
        <v>1</v>
      </c>
      <c r="F1523" s="1">
        <f>IF(OR(Table4[[#This Row],[INSTALLMENT]]=2,Table4[[#This Row],[INSTALLMENT]]=3),2,0)</f>
        <v>0</v>
      </c>
      <c r="G1523" s="1">
        <f>IF(OR(Table4[[#This Row],[INSTALLMENT]]=3),3,0)</f>
        <v>0</v>
      </c>
    </row>
    <row r="1524" spans="1:7">
      <c r="A1524" s="1">
        <v>1882</v>
      </c>
      <c r="B1524" s="1" t="s">
        <v>3078</v>
      </c>
      <c r="C1524" s="1" t="s">
        <v>175</v>
      </c>
      <c r="D1524" s="1">
        <f>COUNTIFS('Raw Entries'!B:B,Table4[[#This Row],[Name]],'Raw Entries'!I:I,Table4[[#This Row],[BOOK No.]])</f>
        <v>0</v>
      </c>
      <c r="E1524" s="1">
        <f t="array" ref="E1524">IF(OR(Table4[[#This Row],[INSTALLMENT]]=1,Table4[[#This Row],[INSTALLMENT]]=2,Table4[[#This Row],[INSTALLMENT]]=3),1,0)</f>
        <v>0</v>
      </c>
      <c r="F1524" s="1">
        <f>IF(OR(Table4[[#This Row],[INSTALLMENT]]=2,Table4[[#This Row],[INSTALLMENT]]=3),2,0)</f>
        <v>0</v>
      </c>
      <c r="G1524" s="1">
        <f>IF(OR(Table4[[#This Row],[INSTALLMENT]]=3),3,0)</f>
        <v>0</v>
      </c>
    </row>
    <row r="1525" spans="1:7">
      <c r="A1525" s="1">
        <v>1883</v>
      </c>
      <c r="B1525" s="1" t="s">
        <v>3079</v>
      </c>
      <c r="C1525" s="1" t="s">
        <v>175</v>
      </c>
      <c r="D1525" s="1">
        <f>COUNTIFS('Raw Entries'!B:B,Table4[[#This Row],[Name]],'Raw Entries'!I:I,Table4[[#This Row],[BOOK No.]])</f>
        <v>0</v>
      </c>
      <c r="E1525" s="1">
        <f t="array" ref="E1525">IF(OR(Table4[[#This Row],[INSTALLMENT]]=1,Table4[[#This Row],[INSTALLMENT]]=2,Table4[[#This Row],[INSTALLMENT]]=3),1,0)</f>
        <v>0</v>
      </c>
      <c r="F1525" s="1">
        <f>IF(OR(Table4[[#This Row],[INSTALLMENT]]=2,Table4[[#This Row],[INSTALLMENT]]=3),2,0)</f>
        <v>0</v>
      </c>
      <c r="G1525" s="1">
        <f>IF(OR(Table4[[#This Row],[INSTALLMENT]]=3),3,0)</f>
        <v>0</v>
      </c>
    </row>
    <row r="1526" spans="1:7">
      <c r="A1526" s="1">
        <v>1884</v>
      </c>
      <c r="B1526" s="1" t="s">
        <v>3080</v>
      </c>
      <c r="C1526" s="1" t="s">
        <v>175</v>
      </c>
      <c r="D1526" s="1">
        <f>COUNTIFS('Raw Entries'!B:B,Table4[[#This Row],[Name]],'Raw Entries'!I:I,Table4[[#This Row],[BOOK No.]])</f>
        <v>0</v>
      </c>
      <c r="E1526" s="1">
        <f t="array" ref="E1526">IF(OR(Table4[[#This Row],[INSTALLMENT]]=1,Table4[[#This Row],[INSTALLMENT]]=2,Table4[[#This Row],[INSTALLMENT]]=3),1,0)</f>
        <v>0</v>
      </c>
      <c r="F1526" s="1">
        <f>IF(OR(Table4[[#This Row],[INSTALLMENT]]=2,Table4[[#This Row],[INSTALLMENT]]=3),2,0)</f>
        <v>0</v>
      </c>
      <c r="G1526" s="1">
        <f>IF(OR(Table4[[#This Row],[INSTALLMENT]]=3),3,0)</f>
        <v>0</v>
      </c>
    </row>
    <row r="1527" spans="1:7">
      <c r="A1527" s="1">
        <v>1885</v>
      </c>
      <c r="B1527" s="1" t="s">
        <v>3081</v>
      </c>
      <c r="C1527" s="1" t="s">
        <v>175</v>
      </c>
      <c r="D1527" s="1">
        <f>COUNTIFS('Raw Entries'!B:B,Table4[[#This Row],[Name]],'Raw Entries'!I:I,Table4[[#This Row],[BOOK No.]])</f>
        <v>0</v>
      </c>
      <c r="E1527" s="1">
        <f t="array" ref="E1527">IF(OR(Table4[[#This Row],[INSTALLMENT]]=1,Table4[[#This Row],[INSTALLMENT]]=2,Table4[[#This Row],[INSTALLMENT]]=3),1,0)</f>
        <v>0</v>
      </c>
      <c r="F1527" s="1">
        <f>IF(OR(Table4[[#This Row],[INSTALLMENT]]=2,Table4[[#This Row],[INSTALLMENT]]=3),2,0)</f>
        <v>0</v>
      </c>
      <c r="G1527" s="1">
        <f>IF(OR(Table4[[#This Row],[INSTALLMENT]]=3),3,0)</f>
        <v>0</v>
      </c>
    </row>
    <row r="1528" spans="1:7">
      <c r="A1528" s="1">
        <v>1886</v>
      </c>
      <c r="B1528" s="1" t="s">
        <v>3082</v>
      </c>
      <c r="C1528" s="1" t="s">
        <v>175</v>
      </c>
      <c r="D1528" s="1">
        <f>COUNTIFS('Raw Entries'!B:B,Table4[[#This Row],[Name]],'Raw Entries'!I:I,Table4[[#This Row],[BOOK No.]])</f>
        <v>0</v>
      </c>
      <c r="E1528" s="1">
        <f t="array" ref="E1528">IF(OR(Table4[[#This Row],[INSTALLMENT]]=1,Table4[[#This Row],[INSTALLMENT]]=2,Table4[[#This Row],[INSTALLMENT]]=3),1,0)</f>
        <v>0</v>
      </c>
      <c r="F1528" s="1">
        <f>IF(OR(Table4[[#This Row],[INSTALLMENT]]=2,Table4[[#This Row],[INSTALLMENT]]=3),2,0)</f>
        <v>0</v>
      </c>
      <c r="G1528" s="1">
        <f>IF(OR(Table4[[#This Row],[INSTALLMENT]]=3),3,0)</f>
        <v>0</v>
      </c>
    </row>
    <row r="1529" spans="1:7">
      <c r="A1529" s="1">
        <v>1887</v>
      </c>
      <c r="B1529" s="1" t="s">
        <v>176</v>
      </c>
      <c r="C1529" s="1" t="s">
        <v>175</v>
      </c>
      <c r="D1529" s="1">
        <f>COUNTIFS('Raw Entries'!B:B,Table4[[#This Row],[Name]],'Raw Entries'!I:I,Table4[[#This Row],[BOOK No.]])</f>
        <v>3</v>
      </c>
      <c r="E1529" s="1">
        <f t="array" ref="E1529">IF(OR(Table4[[#This Row],[INSTALLMENT]]=1,Table4[[#This Row],[INSTALLMENT]]=2,Table4[[#This Row],[INSTALLMENT]]=3),1,0)</f>
        <v>1</v>
      </c>
      <c r="F1529" s="1">
        <f>IF(OR(Table4[[#This Row],[INSTALLMENT]]=2,Table4[[#This Row],[INSTALLMENT]]=3),2,0)</f>
        <v>2</v>
      </c>
      <c r="G1529" s="1">
        <f>IF(OR(Table4[[#This Row],[INSTALLMENT]]=3),3,0)</f>
        <v>3</v>
      </c>
    </row>
    <row r="1530" spans="1:7">
      <c r="A1530" s="1">
        <v>1888</v>
      </c>
      <c r="B1530" s="1" t="s">
        <v>3083</v>
      </c>
      <c r="C1530" s="1" t="s">
        <v>175</v>
      </c>
      <c r="D1530" s="1">
        <f>COUNTIFS('Raw Entries'!B:B,Table4[[#This Row],[Name]],'Raw Entries'!I:I,Table4[[#This Row],[BOOK No.]])</f>
        <v>0</v>
      </c>
      <c r="E1530" s="1">
        <f t="array" ref="E1530">IF(OR(Table4[[#This Row],[INSTALLMENT]]=1,Table4[[#This Row],[INSTALLMENT]]=2,Table4[[#This Row],[INSTALLMENT]]=3),1,0)</f>
        <v>0</v>
      </c>
      <c r="F1530" s="1">
        <f>IF(OR(Table4[[#This Row],[INSTALLMENT]]=2,Table4[[#This Row],[INSTALLMENT]]=3),2,0)</f>
        <v>0</v>
      </c>
      <c r="G1530" s="1">
        <f>IF(OR(Table4[[#This Row],[INSTALLMENT]]=3),3,0)</f>
        <v>0</v>
      </c>
    </row>
    <row r="1531" spans="1:7">
      <c r="A1531" s="1">
        <v>1889</v>
      </c>
      <c r="B1531" s="1" t="s">
        <v>3084</v>
      </c>
      <c r="C1531" s="1" t="s">
        <v>175</v>
      </c>
      <c r="D1531" s="1">
        <f>COUNTIFS('Raw Entries'!B:B,Table4[[#This Row],[Name]],'Raw Entries'!I:I,Table4[[#This Row],[BOOK No.]])</f>
        <v>0</v>
      </c>
      <c r="E1531" s="1">
        <f t="array" ref="E1531">IF(OR(Table4[[#This Row],[INSTALLMENT]]=1,Table4[[#This Row],[INSTALLMENT]]=2,Table4[[#This Row],[INSTALLMENT]]=3),1,0)</f>
        <v>0</v>
      </c>
      <c r="F1531" s="1">
        <f>IF(OR(Table4[[#This Row],[INSTALLMENT]]=2,Table4[[#This Row],[INSTALLMENT]]=3),2,0)</f>
        <v>0</v>
      </c>
      <c r="G1531" s="1">
        <f>IF(OR(Table4[[#This Row],[INSTALLMENT]]=3),3,0)</f>
        <v>0</v>
      </c>
    </row>
    <row r="1532" spans="1:7">
      <c r="A1532" s="1">
        <v>1890</v>
      </c>
      <c r="B1532" s="1" t="s">
        <v>1848</v>
      </c>
      <c r="C1532" s="1" t="s">
        <v>175</v>
      </c>
      <c r="D1532" s="1">
        <f>COUNTIFS('Raw Entries'!B:B,Table4[[#This Row],[Name]],'Raw Entries'!I:I,Table4[[#This Row],[BOOK No.]])</f>
        <v>1</v>
      </c>
      <c r="E1532" s="1">
        <f t="array" ref="E1532">IF(OR(Table4[[#This Row],[INSTALLMENT]]=1,Table4[[#This Row],[INSTALLMENT]]=2,Table4[[#This Row],[INSTALLMENT]]=3),1,0)</f>
        <v>1</v>
      </c>
      <c r="F1532" s="1">
        <f>IF(OR(Table4[[#This Row],[INSTALLMENT]]=2,Table4[[#This Row],[INSTALLMENT]]=3),2,0)</f>
        <v>0</v>
      </c>
      <c r="G1532" s="1">
        <f>IF(OR(Table4[[#This Row],[INSTALLMENT]]=3),3,0)</f>
        <v>0</v>
      </c>
    </row>
    <row r="1533" spans="1:7">
      <c r="A1533" s="1">
        <v>1891</v>
      </c>
      <c r="B1533" s="1" t="s">
        <v>3085</v>
      </c>
      <c r="C1533" s="1" t="s">
        <v>175</v>
      </c>
      <c r="D1533" s="1">
        <f>COUNTIFS('Raw Entries'!B:B,Table4[[#This Row],[Name]],'Raw Entries'!I:I,Table4[[#This Row],[BOOK No.]])</f>
        <v>0</v>
      </c>
      <c r="E1533" s="1">
        <f t="array" ref="E1533">IF(OR(Table4[[#This Row],[INSTALLMENT]]=1,Table4[[#This Row],[INSTALLMENT]]=2,Table4[[#This Row],[INSTALLMENT]]=3),1,0)</f>
        <v>0</v>
      </c>
      <c r="F1533" s="1">
        <f>IF(OR(Table4[[#This Row],[INSTALLMENT]]=2,Table4[[#This Row],[INSTALLMENT]]=3),2,0)</f>
        <v>0</v>
      </c>
      <c r="G1533" s="1">
        <f>IF(OR(Table4[[#This Row],[INSTALLMENT]]=3),3,0)</f>
        <v>0</v>
      </c>
    </row>
    <row r="1534" spans="1:7">
      <c r="A1534" s="1">
        <v>1892</v>
      </c>
      <c r="B1534" s="1" t="s">
        <v>179</v>
      </c>
      <c r="C1534" s="1" t="s">
        <v>175</v>
      </c>
      <c r="D1534" s="1">
        <f>COUNTIFS('Raw Entries'!B:B,Table4[[#This Row],[Name]],'Raw Entries'!I:I,Table4[[#This Row],[BOOK No.]])</f>
        <v>1</v>
      </c>
      <c r="E1534" s="1">
        <f t="array" ref="E1534">IF(OR(Table4[[#This Row],[INSTALLMENT]]=1,Table4[[#This Row],[INSTALLMENT]]=2,Table4[[#This Row],[INSTALLMENT]]=3),1,0)</f>
        <v>1</v>
      </c>
      <c r="F1534" s="1">
        <f>IF(OR(Table4[[#This Row],[INSTALLMENT]]=2,Table4[[#This Row],[INSTALLMENT]]=3),2,0)</f>
        <v>0</v>
      </c>
      <c r="G1534" s="1">
        <f>IF(OR(Table4[[#This Row],[INSTALLMENT]]=3),3,0)</f>
        <v>0</v>
      </c>
    </row>
    <row r="1535" spans="1:7">
      <c r="A1535" s="1">
        <v>1893</v>
      </c>
      <c r="B1535" s="1" t="s">
        <v>3086</v>
      </c>
      <c r="C1535" s="1" t="s">
        <v>175</v>
      </c>
      <c r="D1535" s="1">
        <f>COUNTIFS('Raw Entries'!B:B,Table4[[#This Row],[Name]],'Raw Entries'!I:I,Table4[[#This Row],[BOOK No.]])</f>
        <v>1</v>
      </c>
      <c r="E1535" s="1">
        <f t="array" ref="E1535">IF(OR(Table4[[#This Row],[INSTALLMENT]]=1,Table4[[#This Row],[INSTALLMENT]]=2,Table4[[#This Row],[INSTALLMENT]]=3),1,0)</f>
        <v>1</v>
      </c>
      <c r="F1535" s="1">
        <f>IF(OR(Table4[[#This Row],[INSTALLMENT]]=2,Table4[[#This Row],[INSTALLMENT]]=3),2,0)</f>
        <v>0</v>
      </c>
      <c r="G1535" s="1">
        <f>IF(OR(Table4[[#This Row],[INSTALLMENT]]=3),3,0)</f>
        <v>0</v>
      </c>
    </row>
    <row r="1536" spans="1:7">
      <c r="A1536" s="1">
        <v>1894</v>
      </c>
      <c r="B1536" s="1" t="s">
        <v>3087</v>
      </c>
      <c r="C1536" s="1" t="s">
        <v>175</v>
      </c>
      <c r="D1536" s="1">
        <f>COUNTIFS('Raw Entries'!B:B,Table4[[#This Row],[Name]],'Raw Entries'!I:I,Table4[[#This Row],[BOOK No.]])</f>
        <v>0</v>
      </c>
      <c r="E1536" s="1">
        <f t="array" ref="E1536">IF(OR(Table4[[#This Row],[INSTALLMENT]]=1,Table4[[#This Row],[INSTALLMENT]]=2,Table4[[#This Row],[INSTALLMENT]]=3),1,0)</f>
        <v>0</v>
      </c>
      <c r="F1536" s="1">
        <f>IF(OR(Table4[[#This Row],[INSTALLMENT]]=2,Table4[[#This Row],[INSTALLMENT]]=3),2,0)</f>
        <v>0</v>
      </c>
      <c r="G1536" s="1">
        <f>IF(OR(Table4[[#This Row],[INSTALLMENT]]=3),3,0)</f>
        <v>0</v>
      </c>
    </row>
    <row r="1537" spans="1:7">
      <c r="A1537" s="1">
        <v>1895</v>
      </c>
      <c r="B1537" s="1" t="s">
        <v>3088</v>
      </c>
      <c r="C1537" s="1" t="s">
        <v>175</v>
      </c>
      <c r="D1537" s="1">
        <f>COUNTIFS('Raw Entries'!B:B,Table4[[#This Row],[Name]],'Raw Entries'!I:I,Table4[[#This Row],[BOOK No.]])</f>
        <v>0</v>
      </c>
      <c r="E1537" s="1">
        <f t="array" ref="E1537">IF(OR(Table4[[#This Row],[INSTALLMENT]]=1,Table4[[#This Row],[INSTALLMENT]]=2,Table4[[#This Row],[INSTALLMENT]]=3),1,0)</f>
        <v>0</v>
      </c>
      <c r="F1537" s="1">
        <f>IF(OR(Table4[[#This Row],[INSTALLMENT]]=2,Table4[[#This Row],[INSTALLMENT]]=3),2,0)</f>
        <v>0</v>
      </c>
      <c r="G1537" s="1">
        <f>IF(OR(Table4[[#This Row],[INSTALLMENT]]=3),3,0)</f>
        <v>0</v>
      </c>
    </row>
    <row r="1538" spans="1:7">
      <c r="A1538" s="1">
        <v>1896</v>
      </c>
      <c r="B1538" s="1" t="s">
        <v>184</v>
      </c>
      <c r="C1538" s="1" t="s">
        <v>175</v>
      </c>
      <c r="D1538" s="1">
        <f>COUNTIFS('Raw Entries'!B:B,Table4[[#This Row],[Name]],'Raw Entries'!I:I,Table4[[#This Row],[BOOK No.]])</f>
        <v>1</v>
      </c>
      <c r="E1538" s="1">
        <f t="array" ref="E1538">IF(OR(Table4[[#This Row],[INSTALLMENT]]=1,Table4[[#This Row],[INSTALLMENT]]=2,Table4[[#This Row],[INSTALLMENT]]=3),1,0)</f>
        <v>1</v>
      </c>
      <c r="F1538" s="1">
        <f>IF(OR(Table4[[#This Row],[INSTALLMENT]]=2,Table4[[#This Row],[INSTALLMENT]]=3),2,0)</f>
        <v>0</v>
      </c>
      <c r="G1538" s="1">
        <f>IF(OR(Table4[[#This Row],[INSTALLMENT]]=3),3,0)</f>
        <v>0</v>
      </c>
    </row>
    <row r="1539" spans="1:7">
      <c r="A1539" s="1">
        <v>1897</v>
      </c>
      <c r="B1539" s="1" t="s">
        <v>3089</v>
      </c>
      <c r="C1539" s="1" t="s">
        <v>175</v>
      </c>
      <c r="D1539" s="1">
        <f>COUNTIFS('Raw Entries'!B:B,Table4[[#This Row],[Name]],'Raw Entries'!I:I,Table4[[#This Row],[BOOK No.]])</f>
        <v>0</v>
      </c>
      <c r="E1539" s="1">
        <f t="array" ref="E1539">IF(OR(Table4[[#This Row],[INSTALLMENT]]=1,Table4[[#This Row],[INSTALLMENT]]=2,Table4[[#This Row],[INSTALLMENT]]=3),1,0)</f>
        <v>0</v>
      </c>
      <c r="F1539" s="1">
        <f>IF(OR(Table4[[#This Row],[INSTALLMENT]]=2,Table4[[#This Row],[INSTALLMENT]]=3),2,0)</f>
        <v>0</v>
      </c>
      <c r="G1539" s="1">
        <f>IF(OR(Table4[[#This Row],[INSTALLMENT]]=3),3,0)</f>
        <v>0</v>
      </c>
    </row>
    <row r="1540" spans="1:7">
      <c r="A1540" s="1">
        <v>1898</v>
      </c>
      <c r="B1540" s="1" t="s">
        <v>3090</v>
      </c>
      <c r="C1540" s="1" t="s">
        <v>175</v>
      </c>
      <c r="D1540" s="1">
        <f>COUNTIFS('Raw Entries'!B:B,Table4[[#This Row],[Name]],'Raw Entries'!I:I,Table4[[#This Row],[BOOK No.]])</f>
        <v>0</v>
      </c>
      <c r="E1540" s="1">
        <f t="array" ref="E1540">IF(OR(Table4[[#This Row],[INSTALLMENT]]=1,Table4[[#This Row],[INSTALLMENT]]=2,Table4[[#This Row],[INSTALLMENT]]=3),1,0)</f>
        <v>0</v>
      </c>
      <c r="F1540" s="1">
        <f>IF(OR(Table4[[#This Row],[INSTALLMENT]]=2,Table4[[#This Row],[INSTALLMENT]]=3),2,0)</f>
        <v>0</v>
      </c>
      <c r="G1540" s="1">
        <f>IF(OR(Table4[[#This Row],[INSTALLMENT]]=3),3,0)</f>
        <v>0</v>
      </c>
    </row>
    <row r="1541" spans="1:7">
      <c r="A1541" s="1">
        <v>1899</v>
      </c>
      <c r="B1541" s="1" t="s">
        <v>3091</v>
      </c>
      <c r="C1541" s="1" t="s">
        <v>175</v>
      </c>
      <c r="D1541" s="1">
        <f>COUNTIFS('Raw Entries'!B:B,Table4[[#This Row],[Name]],'Raw Entries'!I:I,Table4[[#This Row],[BOOK No.]])</f>
        <v>0</v>
      </c>
      <c r="E1541" s="1">
        <f t="array" ref="E1541">IF(OR(Table4[[#This Row],[INSTALLMENT]]=1,Table4[[#This Row],[INSTALLMENT]]=2,Table4[[#This Row],[INSTALLMENT]]=3),1,0)</f>
        <v>0</v>
      </c>
      <c r="F1541" s="1">
        <f>IF(OR(Table4[[#This Row],[INSTALLMENT]]=2,Table4[[#This Row],[INSTALLMENT]]=3),2,0)</f>
        <v>0</v>
      </c>
      <c r="G1541" s="1">
        <f>IF(OR(Table4[[#This Row],[INSTALLMENT]]=3),3,0)</f>
        <v>0</v>
      </c>
    </row>
    <row r="1542" spans="1:7">
      <c r="A1542" s="1">
        <v>1900</v>
      </c>
      <c r="B1542" s="1" t="s">
        <v>3092</v>
      </c>
      <c r="C1542" s="1" t="s">
        <v>175</v>
      </c>
      <c r="D1542" s="1">
        <f>COUNTIFS('Raw Entries'!B:B,Table4[[#This Row],[Name]],'Raw Entries'!I:I,Table4[[#This Row],[BOOK No.]])</f>
        <v>0</v>
      </c>
      <c r="E1542" s="1">
        <f t="array" ref="E1542">IF(OR(Table4[[#This Row],[INSTALLMENT]]=1,Table4[[#This Row],[INSTALLMENT]]=2,Table4[[#This Row],[INSTALLMENT]]=3),1,0)</f>
        <v>0</v>
      </c>
      <c r="F1542" s="1">
        <f>IF(OR(Table4[[#This Row],[INSTALLMENT]]=2,Table4[[#This Row],[INSTALLMENT]]=3),2,0)</f>
        <v>0</v>
      </c>
      <c r="G1542" s="1">
        <f>IF(OR(Table4[[#This Row],[INSTALLMENT]]=3),3,0)</f>
        <v>0</v>
      </c>
    </row>
    <row r="1543" spans="1:7">
      <c r="A1543" s="1">
        <v>1901</v>
      </c>
      <c r="B1543" s="1" t="s">
        <v>182</v>
      </c>
      <c r="C1543" s="1" t="s">
        <v>175</v>
      </c>
      <c r="D1543" s="1">
        <f>COUNTIFS('Raw Entries'!B:B,Table4[[#This Row],[Name]],'Raw Entries'!I:I,Table4[[#This Row],[BOOK No.]])</f>
        <v>1</v>
      </c>
      <c r="E1543" s="1">
        <f t="array" ref="E1543">IF(OR(Table4[[#This Row],[INSTALLMENT]]=1,Table4[[#This Row],[INSTALLMENT]]=2,Table4[[#This Row],[INSTALLMENT]]=3),1,0)</f>
        <v>1</v>
      </c>
      <c r="F1543" s="1">
        <f>IF(OR(Table4[[#This Row],[INSTALLMENT]]=2,Table4[[#This Row],[INSTALLMENT]]=3),2,0)</f>
        <v>0</v>
      </c>
      <c r="G1543" s="1">
        <f>IF(OR(Table4[[#This Row],[INSTALLMENT]]=3),3,0)</f>
        <v>0</v>
      </c>
    </row>
    <row r="1544" spans="1:7">
      <c r="A1544" s="1">
        <v>1902</v>
      </c>
      <c r="B1544" s="1" t="s">
        <v>183</v>
      </c>
      <c r="C1544" s="1" t="s">
        <v>175</v>
      </c>
      <c r="D1544" s="1">
        <f>COUNTIFS('Raw Entries'!B:B,Table4[[#This Row],[Name]],'Raw Entries'!I:I,Table4[[#This Row],[BOOK No.]])</f>
        <v>2</v>
      </c>
      <c r="E1544" s="1">
        <f t="array" ref="E1544">IF(OR(Table4[[#This Row],[INSTALLMENT]]=1,Table4[[#This Row],[INSTALLMENT]]=2,Table4[[#This Row],[INSTALLMENT]]=3),1,0)</f>
        <v>1</v>
      </c>
      <c r="F1544" s="1">
        <f>IF(OR(Table4[[#This Row],[INSTALLMENT]]=2,Table4[[#This Row],[INSTALLMENT]]=3),2,0)</f>
        <v>2</v>
      </c>
      <c r="G1544" s="1">
        <f>IF(OR(Table4[[#This Row],[INSTALLMENT]]=3),3,0)</f>
        <v>0</v>
      </c>
    </row>
    <row r="1545" spans="1:7">
      <c r="A1545" s="1">
        <v>1903</v>
      </c>
      <c r="B1545" s="1" t="s">
        <v>3093</v>
      </c>
      <c r="C1545" s="1" t="s">
        <v>175</v>
      </c>
      <c r="D1545" s="1">
        <f>COUNTIFS('Raw Entries'!B:B,Table4[[#This Row],[Name]],'Raw Entries'!I:I,Table4[[#This Row],[BOOK No.]])</f>
        <v>0</v>
      </c>
      <c r="E1545" s="1">
        <f t="array" ref="E1545">IF(OR(Table4[[#This Row],[INSTALLMENT]]=1,Table4[[#This Row],[INSTALLMENT]]=2,Table4[[#This Row],[INSTALLMENT]]=3),1,0)</f>
        <v>0</v>
      </c>
      <c r="F1545" s="1">
        <f>IF(OR(Table4[[#This Row],[INSTALLMENT]]=2,Table4[[#This Row],[INSTALLMENT]]=3),2,0)</f>
        <v>0</v>
      </c>
      <c r="G1545" s="1">
        <f>IF(OR(Table4[[#This Row],[INSTALLMENT]]=3),3,0)</f>
        <v>0</v>
      </c>
    </row>
    <row r="1546" spans="1:7">
      <c r="A1546" s="1">
        <v>1904</v>
      </c>
      <c r="B1546" s="1" t="s">
        <v>181</v>
      </c>
      <c r="C1546" s="1" t="s">
        <v>175</v>
      </c>
      <c r="D1546" s="1">
        <f>COUNTIFS('Raw Entries'!B:B,Table4[[#This Row],[Name]],'Raw Entries'!I:I,Table4[[#This Row],[BOOK No.]])</f>
        <v>1</v>
      </c>
      <c r="E1546" s="1">
        <f t="array" ref="E1546">IF(OR(Table4[[#This Row],[INSTALLMENT]]=1,Table4[[#This Row],[INSTALLMENT]]=2,Table4[[#This Row],[INSTALLMENT]]=3),1,0)</f>
        <v>1</v>
      </c>
      <c r="F1546" s="1">
        <f>IF(OR(Table4[[#This Row],[INSTALLMENT]]=2,Table4[[#This Row],[INSTALLMENT]]=3),2,0)</f>
        <v>0</v>
      </c>
      <c r="G1546" s="1">
        <f>IF(OR(Table4[[#This Row],[INSTALLMENT]]=3),3,0)</f>
        <v>0</v>
      </c>
    </row>
    <row r="1547" spans="1:7">
      <c r="A1547" s="1">
        <v>1905</v>
      </c>
      <c r="B1547" s="1" t="s">
        <v>3094</v>
      </c>
      <c r="C1547" s="1" t="s">
        <v>175</v>
      </c>
      <c r="D1547" s="1">
        <f>COUNTIFS('Raw Entries'!B:B,Table4[[#This Row],[Name]],'Raw Entries'!I:I,Table4[[#This Row],[BOOK No.]])</f>
        <v>0</v>
      </c>
      <c r="E1547" s="1">
        <f t="array" ref="E1547">IF(OR(Table4[[#This Row],[INSTALLMENT]]=1,Table4[[#This Row],[INSTALLMENT]]=2,Table4[[#This Row],[INSTALLMENT]]=3),1,0)</f>
        <v>0</v>
      </c>
      <c r="F1547" s="1">
        <f>IF(OR(Table4[[#This Row],[INSTALLMENT]]=2,Table4[[#This Row],[INSTALLMENT]]=3),2,0)</f>
        <v>0</v>
      </c>
      <c r="G1547" s="1">
        <f>IF(OR(Table4[[#This Row],[INSTALLMENT]]=3),3,0)</f>
        <v>0</v>
      </c>
    </row>
    <row r="1548" spans="1:7">
      <c r="A1548" s="1">
        <v>1906</v>
      </c>
      <c r="B1548" s="1" t="s">
        <v>3095</v>
      </c>
      <c r="C1548" s="1" t="s">
        <v>195</v>
      </c>
      <c r="D1548" s="1">
        <f>COUNTIFS('Raw Entries'!B:B,Table4[[#This Row],[Name]],'Raw Entries'!I:I,Table4[[#This Row],[BOOK No.]])</f>
        <v>0</v>
      </c>
      <c r="E1548" s="1">
        <f t="array" ref="E1548">IF(OR(Table4[[#This Row],[INSTALLMENT]]=1,Table4[[#This Row],[INSTALLMENT]]=2,Table4[[#This Row],[INSTALLMENT]]=3),1,0)</f>
        <v>0</v>
      </c>
      <c r="F1548" s="1">
        <f>IF(OR(Table4[[#This Row],[INSTALLMENT]]=2,Table4[[#This Row],[INSTALLMENT]]=3),2,0)</f>
        <v>0</v>
      </c>
      <c r="G1548" s="1">
        <f>IF(OR(Table4[[#This Row],[INSTALLMENT]]=3),3,0)</f>
        <v>0</v>
      </c>
    </row>
    <row r="1549" spans="1:7">
      <c r="A1549" s="1">
        <v>1907</v>
      </c>
      <c r="B1549" s="1" t="s">
        <v>3017</v>
      </c>
      <c r="C1549" s="1" t="s">
        <v>195</v>
      </c>
      <c r="D1549" s="1">
        <f>COUNTIFS('Raw Entries'!B:B,Table4[[#This Row],[Name]],'Raw Entries'!I:I,Table4[[#This Row],[BOOK No.]])</f>
        <v>0</v>
      </c>
      <c r="E1549" s="1">
        <f t="array" ref="E1549">IF(OR(Table4[[#This Row],[INSTALLMENT]]=1,Table4[[#This Row],[INSTALLMENT]]=2,Table4[[#This Row],[INSTALLMENT]]=3),1,0)</f>
        <v>0</v>
      </c>
      <c r="F1549" s="1">
        <f>IF(OR(Table4[[#This Row],[INSTALLMENT]]=2,Table4[[#This Row],[INSTALLMENT]]=3),2,0)</f>
        <v>0</v>
      </c>
      <c r="G1549" s="1">
        <f>IF(OR(Table4[[#This Row],[INSTALLMENT]]=3),3,0)</f>
        <v>0</v>
      </c>
    </row>
    <row r="1550" spans="1:7">
      <c r="A1550" s="1">
        <v>1908</v>
      </c>
      <c r="B1550" s="1" t="s">
        <v>669</v>
      </c>
      <c r="C1550" s="1" t="s">
        <v>195</v>
      </c>
      <c r="D1550" s="1">
        <f>COUNTIFS('Raw Entries'!B:B,Table4[[#This Row],[Name]],'Raw Entries'!I:I,Table4[[#This Row],[BOOK No.]])</f>
        <v>3</v>
      </c>
      <c r="E1550" s="1">
        <f t="array" ref="E1550">IF(OR(Table4[[#This Row],[INSTALLMENT]]=1,Table4[[#This Row],[INSTALLMENT]]=2,Table4[[#This Row],[INSTALLMENT]]=3),1,0)</f>
        <v>1</v>
      </c>
      <c r="F1550" s="1">
        <f>IF(OR(Table4[[#This Row],[INSTALLMENT]]=2,Table4[[#This Row],[INSTALLMENT]]=3),2,0)</f>
        <v>2</v>
      </c>
      <c r="G1550" s="1">
        <f>IF(OR(Table4[[#This Row],[INSTALLMENT]]=3),3,0)</f>
        <v>3</v>
      </c>
    </row>
    <row r="1551" spans="1:7">
      <c r="A1551" s="1">
        <v>1909</v>
      </c>
      <c r="B1551" s="1" t="s">
        <v>3096</v>
      </c>
      <c r="C1551" s="1" t="s">
        <v>195</v>
      </c>
      <c r="D1551" s="1">
        <f>COUNTIFS('Raw Entries'!B:B,Table4[[#This Row],[Name]],'Raw Entries'!I:I,Table4[[#This Row],[BOOK No.]])</f>
        <v>0</v>
      </c>
      <c r="E1551" s="1">
        <f t="array" ref="E1551">IF(OR(Table4[[#This Row],[INSTALLMENT]]=1,Table4[[#This Row],[INSTALLMENT]]=2,Table4[[#This Row],[INSTALLMENT]]=3),1,0)</f>
        <v>0</v>
      </c>
      <c r="F1551" s="1">
        <f>IF(OR(Table4[[#This Row],[INSTALLMENT]]=2,Table4[[#This Row],[INSTALLMENT]]=3),2,0)</f>
        <v>0</v>
      </c>
      <c r="G1551" s="1">
        <f>IF(OR(Table4[[#This Row],[INSTALLMENT]]=3),3,0)</f>
        <v>0</v>
      </c>
    </row>
    <row r="1552" spans="1:7">
      <c r="A1552" s="1">
        <v>1910</v>
      </c>
      <c r="B1552" s="1" t="s">
        <v>201</v>
      </c>
      <c r="C1552" s="1" t="s">
        <v>195</v>
      </c>
      <c r="D1552" s="1">
        <f>COUNTIFS('Raw Entries'!B:B,Table4[[#This Row],[Name]],'Raw Entries'!I:I,Table4[[#This Row],[BOOK No.]])</f>
        <v>1</v>
      </c>
      <c r="E1552" s="1">
        <f t="array" ref="E1552">IF(OR(Table4[[#This Row],[INSTALLMENT]]=1,Table4[[#This Row],[INSTALLMENT]]=2,Table4[[#This Row],[INSTALLMENT]]=3),1,0)</f>
        <v>1</v>
      </c>
      <c r="F1552" s="1">
        <f>IF(OR(Table4[[#This Row],[INSTALLMENT]]=2,Table4[[#This Row],[INSTALLMENT]]=3),2,0)</f>
        <v>0</v>
      </c>
      <c r="G1552" s="1">
        <f>IF(OR(Table4[[#This Row],[INSTALLMENT]]=3),3,0)</f>
        <v>0</v>
      </c>
    </row>
    <row r="1553" spans="1:7">
      <c r="A1553" s="1">
        <v>1911</v>
      </c>
      <c r="B1553" s="1" t="s">
        <v>3097</v>
      </c>
      <c r="C1553" s="1" t="s">
        <v>195</v>
      </c>
      <c r="D1553" s="1">
        <f>COUNTIFS('Raw Entries'!B:B,Table4[[#This Row],[Name]],'Raw Entries'!I:I,Table4[[#This Row],[BOOK No.]])</f>
        <v>0</v>
      </c>
      <c r="E1553" s="1">
        <f t="array" ref="E1553">IF(OR(Table4[[#This Row],[INSTALLMENT]]=1,Table4[[#This Row],[INSTALLMENT]]=2,Table4[[#This Row],[INSTALLMENT]]=3),1,0)</f>
        <v>0</v>
      </c>
      <c r="F1553" s="1">
        <f>IF(OR(Table4[[#This Row],[INSTALLMENT]]=2,Table4[[#This Row],[INSTALLMENT]]=3),2,0)</f>
        <v>0</v>
      </c>
      <c r="G1553" s="1">
        <f>IF(OR(Table4[[#This Row],[INSTALLMENT]]=3),3,0)</f>
        <v>0</v>
      </c>
    </row>
    <row r="1554" spans="1:7">
      <c r="A1554" s="1">
        <v>1912</v>
      </c>
      <c r="B1554" s="1" t="s">
        <v>204</v>
      </c>
      <c r="C1554" s="1" t="s">
        <v>195</v>
      </c>
      <c r="D1554" s="1">
        <f>COUNTIFS('Raw Entries'!B:B,Table4[[#This Row],[Name]],'Raw Entries'!I:I,Table4[[#This Row],[BOOK No.]])</f>
        <v>1</v>
      </c>
      <c r="E1554" s="1">
        <f t="array" ref="E1554">IF(OR(Table4[[#This Row],[INSTALLMENT]]=1,Table4[[#This Row],[INSTALLMENT]]=2,Table4[[#This Row],[INSTALLMENT]]=3),1,0)</f>
        <v>1</v>
      </c>
      <c r="F1554" s="1">
        <f>IF(OR(Table4[[#This Row],[INSTALLMENT]]=2,Table4[[#This Row],[INSTALLMENT]]=3),2,0)</f>
        <v>0</v>
      </c>
      <c r="G1554" s="1">
        <f>IF(OR(Table4[[#This Row],[INSTALLMENT]]=3),3,0)</f>
        <v>0</v>
      </c>
    </row>
    <row r="1555" spans="1:7">
      <c r="A1555" s="1">
        <v>1913</v>
      </c>
      <c r="B1555" s="1" t="s">
        <v>3098</v>
      </c>
      <c r="C1555" s="1" t="s">
        <v>195</v>
      </c>
      <c r="D1555" s="1">
        <f>COUNTIFS('Raw Entries'!B:B,Table4[[#This Row],[Name]],'Raw Entries'!I:I,Table4[[#This Row],[BOOK No.]])</f>
        <v>0</v>
      </c>
      <c r="E1555" s="1">
        <f t="array" ref="E1555">IF(OR(Table4[[#This Row],[INSTALLMENT]]=1,Table4[[#This Row],[INSTALLMENT]]=2,Table4[[#This Row],[INSTALLMENT]]=3),1,0)</f>
        <v>0</v>
      </c>
      <c r="F1555" s="1">
        <f>IF(OR(Table4[[#This Row],[INSTALLMENT]]=2,Table4[[#This Row],[INSTALLMENT]]=3),2,0)</f>
        <v>0</v>
      </c>
      <c r="G1555" s="1">
        <f>IF(OR(Table4[[#This Row],[INSTALLMENT]]=3),3,0)</f>
        <v>0</v>
      </c>
    </row>
    <row r="1556" spans="1:7">
      <c r="A1556" s="1">
        <v>1914</v>
      </c>
      <c r="B1556" s="1" t="s">
        <v>3099</v>
      </c>
      <c r="C1556" s="1" t="s">
        <v>195</v>
      </c>
      <c r="D1556" s="1">
        <f>COUNTIFS('Raw Entries'!B:B,Table4[[#This Row],[Name]],'Raw Entries'!I:I,Table4[[#This Row],[BOOK No.]])</f>
        <v>0</v>
      </c>
      <c r="E1556" s="1">
        <f t="array" ref="E1556">IF(OR(Table4[[#This Row],[INSTALLMENT]]=1,Table4[[#This Row],[INSTALLMENT]]=2,Table4[[#This Row],[INSTALLMENT]]=3),1,0)</f>
        <v>0</v>
      </c>
      <c r="F1556" s="1">
        <f>IF(OR(Table4[[#This Row],[INSTALLMENT]]=2,Table4[[#This Row],[INSTALLMENT]]=3),2,0)</f>
        <v>0</v>
      </c>
      <c r="G1556" s="1">
        <f>IF(OR(Table4[[#This Row],[INSTALLMENT]]=3),3,0)</f>
        <v>0</v>
      </c>
    </row>
    <row r="1557" spans="1:7">
      <c r="A1557" s="1">
        <v>1915</v>
      </c>
      <c r="B1557" s="1" t="s">
        <v>3100</v>
      </c>
      <c r="C1557" s="1" t="s">
        <v>195</v>
      </c>
      <c r="D1557" s="1">
        <f>COUNTIFS('Raw Entries'!B:B,Table4[[#This Row],[Name]],'Raw Entries'!I:I,Table4[[#This Row],[BOOK No.]])</f>
        <v>0</v>
      </c>
      <c r="E1557" s="1">
        <f t="array" ref="E1557">IF(OR(Table4[[#This Row],[INSTALLMENT]]=1,Table4[[#This Row],[INSTALLMENT]]=2,Table4[[#This Row],[INSTALLMENT]]=3),1,0)</f>
        <v>0</v>
      </c>
      <c r="F1557" s="1">
        <f>IF(OR(Table4[[#This Row],[INSTALLMENT]]=2,Table4[[#This Row],[INSTALLMENT]]=3),2,0)</f>
        <v>0</v>
      </c>
      <c r="G1557" s="1">
        <f>IF(OR(Table4[[#This Row],[INSTALLMENT]]=3),3,0)</f>
        <v>0</v>
      </c>
    </row>
    <row r="1558" spans="1:7">
      <c r="A1558" s="1">
        <v>1916</v>
      </c>
      <c r="B1558" s="1" t="s">
        <v>3101</v>
      </c>
      <c r="C1558" s="1" t="s">
        <v>195</v>
      </c>
      <c r="D1558" s="1">
        <f>COUNTIFS('Raw Entries'!B:B,Table4[[#This Row],[Name]],'Raw Entries'!I:I,Table4[[#This Row],[BOOK No.]])</f>
        <v>0</v>
      </c>
      <c r="E1558" s="1">
        <f t="array" ref="E1558">IF(OR(Table4[[#This Row],[INSTALLMENT]]=1,Table4[[#This Row],[INSTALLMENT]]=2,Table4[[#This Row],[INSTALLMENT]]=3),1,0)</f>
        <v>0</v>
      </c>
      <c r="F1558" s="1">
        <f>IF(OR(Table4[[#This Row],[INSTALLMENT]]=2,Table4[[#This Row],[INSTALLMENT]]=3),2,0)</f>
        <v>0</v>
      </c>
      <c r="G1558" s="1">
        <f>IF(OR(Table4[[#This Row],[INSTALLMENT]]=3),3,0)</f>
        <v>0</v>
      </c>
    </row>
    <row r="1559" spans="1:7">
      <c r="A1559" s="1">
        <v>1917</v>
      </c>
      <c r="B1559" s="1" t="s">
        <v>202</v>
      </c>
      <c r="C1559" s="1" t="s">
        <v>195</v>
      </c>
      <c r="D1559" s="1">
        <f>COUNTIFS('Raw Entries'!B:B,Table4[[#This Row],[Name]],'Raw Entries'!I:I,Table4[[#This Row],[BOOK No.]])</f>
        <v>2</v>
      </c>
      <c r="E1559" s="1">
        <f t="array" ref="E1559">IF(OR(Table4[[#This Row],[INSTALLMENT]]=1,Table4[[#This Row],[INSTALLMENT]]=2,Table4[[#This Row],[INSTALLMENT]]=3),1,0)</f>
        <v>1</v>
      </c>
      <c r="F1559" s="1">
        <f>IF(OR(Table4[[#This Row],[INSTALLMENT]]=2,Table4[[#This Row],[INSTALLMENT]]=3),2,0)</f>
        <v>2</v>
      </c>
      <c r="G1559" s="1">
        <f>IF(OR(Table4[[#This Row],[INSTALLMENT]]=3),3,0)</f>
        <v>0</v>
      </c>
    </row>
    <row r="1560" spans="1:7">
      <c r="A1560" s="1">
        <v>1918</v>
      </c>
      <c r="B1560" s="1" t="s">
        <v>198</v>
      </c>
      <c r="C1560" s="1" t="s">
        <v>195</v>
      </c>
      <c r="D1560" s="1">
        <f>COUNTIFS('Raw Entries'!B:B,Table4[[#This Row],[Name]],'Raw Entries'!I:I,Table4[[#This Row],[BOOK No.]])</f>
        <v>1</v>
      </c>
      <c r="E1560" s="1">
        <f t="array" ref="E1560">IF(OR(Table4[[#This Row],[INSTALLMENT]]=1,Table4[[#This Row],[INSTALLMENT]]=2,Table4[[#This Row],[INSTALLMENT]]=3),1,0)</f>
        <v>1</v>
      </c>
      <c r="F1560" s="1">
        <f>IF(OR(Table4[[#This Row],[INSTALLMENT]]=2,Table4[[#This Row],[INSTALLMENT]]=3),2,0)</f>
        <v>0</v>
      </c>
      <c r="G1560" s="1">
        <f>IF(OR(Table4[[#This Row],[INSTALLMENT]]=3),3,0)</f>
        <v>0</v>
      </c>
    </row>
    <row r="1561" spans="1:7">
      <c r="A1561" s="1">
        <v>1919</v>
      </c>
      <c r="B1561" s="1" t="s">
        <v>3102</v>
      </c>
      <c r="C1561" s="1" t="s">
        <v>195</v>
      </c>
      <c r="D1561" s="1">
        <f>COUNTIFS('Raw Entries'!B:B,Table4[[#This Row],[Name]],'Raw Entries'!I:I,Table4[[#This Row],[BOOK No.]])</f>
        <v>0</v>
      </c>
      <c r="E1561" s="1">
        <f t="array" ref="E1561">IF(OR(Table4[[#This Row],[INSTALLMENT]]=1,Table4[[#This Row],[INSTALLMENT]]=2,Table4[[#This Row],[INSTALLMENT]]=3),1,0)</f>
        <v>0</v>
      </c>
      <c r="F1561" s="1">
        <f>IF(OR(Table4[[#This Row],[INSTALLMENT]]=2,Table4[[#This Row],[INSTALLMENT]]=3),2,0)</f>
        <v>0</v>
      </c>
      <c r="G1561" s="1">
        <f>IF(OR(Table4[[#This Row],[INSTALLMENT]]=3),3,0)</f>
        <v>0</v>
      </c>
    </row>
    <row r="1562" spans="1:7">
      <c r="A1562" s="1">
        <v>1920</v>
      </c>
      <c r="B1562" s="1" t="s">
        <v>3103</v>
      </c>
      <c r="C1562" s="1" t="s">
        <v>195</v>
      </c>
      <c r="D1562" s="1">
        <f>COUNTIFS('Raw Entries'!B:B,Table4[[#This Row],[Name]],'Raw Entries'!I:I,Table4[[#This Row],[BOOK No.]])</f>
        <v>0</v>
      </c>
      <c r="E1562" s="1">
        <f t="array" ref="E1562">IF(OR(Table4[[#This Row],[INSTALLMENT]]=1,Table4[[#This Row],[INSTALLMENT]]=2,Table4[[#This Row],[INSTALLMENT]]=3),1,0)</f>
        <v>0</v>
      </c>
      <c r="F1562" s="1">
        <f>IF(OR(Table4[[#This Row],[INSTALLMENT]]=2,Table4[[#This Row],[INSTALLMENT]]=3),2,0)</f>
        <v>0</v>
      </c>
      <c r="G1562" s="1">
        <f>IF(OR(Table4[[#This Row],[INSTALLMENT]]=3),3,0)</f>
        <v>0</v>
      </c>
    </row>
    <row r="1563" spans="1:7">
      <c r="A1563" s="1">
        <v>1921</v>
      </c>
      <c r="B1563" s="1" t="s">
        <v>3104</v>
      </c>
      <c r="C1563" s="1" t="s">
        <v>195</v>
      </c>
      <c r="D1563" s="1">
        <f>COUNTIFS('Raw Entries'!B:B,Table4[[#This Row],[Name]],'Raw Entries'!I:I,Table4[[#This Row],[BOOK No.]])</f>
        <v>0</v>
      </c>
      <c r="E1563" s="1">
        <f t="array" ref="E1563">IF(OR(Table4[[#This Row],[INSTALLMENT]]=1,Table4[[#This Row],[INSTALLMENT]]=2,Table4[[#This Row],[INSTALLMENT]]=3),1,0)</f>
        <v>0</v>
      </c>
      <c r="F1563" s="1">
        <f>IF(OR(Table4[[#This Row],[INSTALLMENT]]=2,Table4[[#This Row],[INSTALLMENT]]=3),2,0)</f>
        <v>0</v>
      </c>
      <c r="G1563" s="1">
        <f>IF(OR(Table4[[#This Row],[INSTALLMENT]]=3),3,0)</f>
        <v>0</v>
      </c>
    </row>
    <row r="1564" spans="1:7">
      <c r="A1564" s="1">
        <v>1922</v>
      </c>
      <c r="B1564" s="1" t="s">
        <v>3105</v>
      </c>
      <c r="C1564" s="1" t="s">
        <v>195</v>
      </c>
      <c r="D1564" s="1">
        <f>COUNTIFS('Raw Entries'!B:B,Table4[[#This Row],[Name]],'Raw Entries'!I:I,Table4[[#This Row],[BOOK No.]])</f>
        <v>0</v>
      </c>
      <c r="E1564" s="1">
        <f t="array" ref="E1564">IF(OR(Table4[[#This Row],[INSTALLMENT]]=1,Table4[[#This Row],[INSTALLMENT]]=2,Table4[[#This Row],[INSTALLMENT]]=3),1,0)</f>
        <v>0</v>
      </c>
      <c r="F1564" s="1">
        <f>IF(OR(Table4[[#This Row],[INSTALLMENT]]=2,Table4[[#This Row],[INSTALLMENT]]=3),2,0)</f>
        <v>0</v>
      </c>
      <c r="G1564" s="1">
        <f>IF(OR(Table4[[#This Row],[INSTALLMENT]]=3),3,0)</f>
        <v>0</v>
      </c>
    </row>
    <row r="1565" spans="1:7">
      <c r="A1565" s="1">
        <v>1923</v>
      </c>
      <c r="B1565" s="1" t="s">
        <v>3106</v>
      </c>
      <c r="C1565" s="1" t="s">
        <v>195</v>
      </c>
      <c r="D1565" s="1">
        <f>COUNTIFS('Raw Entries'!B:B,Table4[[#This Row],[Name]],'Raw Entries'!I:I,Table4[[#This Row],[BOOK No.]])</f>
        <v>0</v>
      </c>
      <c r="E1565" s="1">
        <f t="array" ref="E1565">IF(OR(Table4[[#This Row],[INSTALLMENT]]=1,Table4[[#This Row],[INSTALLMENT]]=2,Table4[[#This Row],[INSTALLMENT]]=3),1,0)</f>
        <v>0</v>
      </c>
      <c r="F1565" s="1">
        <f>IF(OR(Table4[[#This Row],[INSTALLMENT]]=2,Table4[[#This Row],[INSTALLMENT]]=3),2,0)</f>
        <v>0</v>
      </c>
      <c r="G1565" s="1">
        <f>IF(OR(Table4[[#This Row],[INSTALLMENT]]=3),3,0)</f>
        <v>0</v>
      </c>
    </row>
    <row r="1566" spans="1:7">
      <c r="A1566" s="1">
        <v>1924</v>
      </c>
      <c r="B1566" s="1" t="s">
        <v>3107</v>
      </c>
      <c r="C1566" s="1" t="s">
        <v>195</v>
      </c>
      <c r="D1566" s="1">
        <f>COUNTIFS('Raw Entries'!B:B,Table4[[#This Row],[Name]],'Raw Entries'!I:I,Table4[[#This Row],[BOOK No.]])</f>
        <v>0</v>
      </c>
      <c r="E1566" s="1">
        <f t="array" ref="E1566">IF(OR(Table4[[#This Row],[INSTALLMENT]]=1,Table4[[#This Row],[INSTALLMENT]]=2,Table4[[#This Row],[INSTALLMENT]]=3),1,0)</f>
        <v>0</v>
      </c>
      <c r="F1566" s="1">
        <f>IF(OR(Table4[[#This Row],[INSTALLMENT]]=2,Table4[[#This Row],[INSTALLMENT]]=3),2,0)</f>
        <v>0</v>
      </c>
      <c r="G1566" s="1">
        <f>IF(OR(Table4[[#This Row],[INSTALLMENT]]=3),3,0)</f>
        <v>0</v>
      </c>
    </row>
    <row r="1567" spans="1:7">
      <c r="A1567" s="1">
        <v>1925</v>
      </c>
      <c r="B1567" s="1" t="s">
        <v>3108</v>
      </c>
      <c r="C1567" s="1" t="s">
        <v>195</v>
      </c>
      <c r="D1567" s="1">
        <f>COUNTIFS('Raw Entries'!B:B,Table4[[#This Row],[Name]],'Raw Entries'!I:I,Table4[[#This Row],[BOOK No.]])</f>
        <v>0</v>
      </c>
      <c r="E1567" s="1">
        <f t="array" ref="E1567">IF(OR(Table4[[#This Row],[INSTALLMENT]]=1,Table4[[#This Row],[INSTALLMENT]]=2,Table4[[#This Row],[INSTALLMENT]]=3),1,0)</f>
        <v>0</v>
      </c>
      <c r="F1567" s="1">
        <f>IF(OR(Table4[[#This Row],[INSTALLMENT]]=2,Table4[[#This Row],[INSTALLMENT]]=3),2,0)</f>
        <v>0</v>
      </c>
      <c r="G1567" s="1">
        <f>IF(OR(Table4[[#This Row],[INSTALLMENT]]=3),3,0)</f>
        <v>0</v>
      </c>
    </row>
    <row r="1568" spans="1:7">
      <c r="A1568" s="1">
        <v>1926</v>
      </c>
      <c r="B1568" s="1" t="s">
        <v>3109</v>
      </c>
      <c r="C1568" s="1" t="s">
        <v>195</v>
      </c>
      <c r="D1568" s="1">
        <f>COUNTIFS('Raw Entries'!B:B,Table4[[#This Row],[Name]],'Raw Entries'!I:I,Table4[[#This Row],[BOOK No.]])</f>
        <v>0</v>
      </c>
      <c r="E1568" s="1">
        <f t="array" ref="E1568">IF(OR(Table4[[#This Row],[INSTALLMENT]]=1,Table4[[#This Row],[INSTALLMENT]]=2,Table4[[#This Row],[INSTALLMENT]]=3),1,0)</f>
        <v>0</v>
      </c>
      <c r="F1568" s="1">
        <f>IF(OR(Table4[[#This Row],[INSTALLMENT]]=2,Table4[[#This Row],[INSTALLMENT]]=3),2,0)</f>
        <v>0</v>
      </c>
      <c r="G1568" s="1">
        <f>IF(OR(Table4[[#This Row],[INSTALLMENT]]=3),3,0)</f>
        <v>0</v>
      </c>
    </row>
    <row r="1569" spans="1:7">
      <c r="A1569" s="1">
        <v>1927</v>
      </c>
      <c r="B1569" s="1" t="s">
        <v>3110</v>
      </c>
      <c r="C1569" s="1" t="s">
        <v>195</v>
      </c>
      <c r="D1569" s="1">
        <f>COUNTIFS('Raw Entries'!B:B,Table4[[#This Row],[Name]],'Raw Entries'!I:I,Table4[[#This Row],[BOOK No.]])</f>
        <v>0</v>
      </c>
      <c r="E1569" s="1">
        <f t="array" ref="E1569">IF(OR(Table4[[#This Row],[INSTALLMENT]]=1,Table4[[#This Row],[INSTALLMENT]]=2,Table4[[#This Row],[INSTALLMENT]]=3),1,0)</f>
        <v>0</v>
      </c>
      <c r="F1569" s="1">
        <f>IF(OR(Table4[[#This Row],[INSTALLMENT]]=2,Table4[[#This Row],[INSTALLMENT]]=3),2,0)</f>
        <v>0</v>
      </c>
      <c r="G1569" s="1">
        <f>IF(OR(Table4[[#This Row],[INSTALLMENT]]=3),3,0)</f>
        <v>0</v>
      </c>
    </row>
    <row r="1570" spans="1:7">
      <c r="A1570" s="1">
        <v>1928</v>
      </c>
      <c r="B1570" s="1" t="s">
        <v>3111</v>
      </c>
      <c r="C1570" s="1" t="s">
        <v>195</v>
      </c>
      <c r="D1570" s="1">
        <f>COUNTIFS('Raw Entries'!B:B,Table4[[#This Row],[Name]],'Raw Entries'!I:I,Table4[[#This Row],[BOOK No.]])</f>
        <v>0</v>
      </c>
      <c r="E1570" s="1">
        <f t="array" ref="E1570">IF(OR(Table4[[#This Row],[INSTALLMENT]]=1,Table4[[#This Row],[INSTALLMENT]]=2,Table4[[#This Row],[INSTALLMENT]]=3),1,0)</f>
        <v>0</v>
      </c>
      <c r="F1570" s="1">
        <f>IF(OR(Table4[[#This Row],[INSTALLMENT]]=2,Table4[[#This Row],[INSTALLMENT]]=3),2,0)</f>
        <v>0</v>
      </c>
      <c r="G1570" s="1">
        <f>IF(OR(Table4[[#This Row],[INSTALLMENT]]=3),3,0)</f>
        <v>0</v>
      </c>
    </row>
    <row r="1571" spans="1:7">
      <c r="A1571" s="1">
        <v>1929</v>
      </c>
      <c r="B1571" s="1" t="s">
        <v>196</v>
      </c>
      <c r="C1571" s="1" t="s">
        <v>195</v>
      </c>
      <c r="D1571" s="1">
        <f>COUNTIFS('Raw Entries'!B:B,Table4[[#This Row],[Name]],'Raw Entries'!I:I,Table4[[#This Row],[BOOK No.]])</f>
        <v>3</v>
      </c>
      <c r="E1571" s="1">
        <f t="array" ref="E1571">IF(OR(Table4[[#This Row],[INSTALLMENT]]=1,Table4[[#This Row],[INSTALLMENT]]=2,Table4[[#This Row],[INSTALLMENT]]=3),1,0)</f>
        <v>1</v>
      </c>
      <c r="F1571" s="1">
        <f>IF(OR(Table4[[#This Row],[INSTALLMENT]]=2,Table4[[#This Row],[INSTALLMENT]]=3),2,0)</f>
        <v>2</v>
      </c>
      <c r="G1571" s="1">
        <f>IF(OR(Table4[[#This Row],[INSTALLMENT]]=3),3,0)</f>
        <v>3</v>
      </c>
    </row>
    <row r="1572" spans="1:7">
      <c r="A1572" s="1">
        <v>1930</v>
      </c>
      <c r="B1572" s="1" t="s">
        <v>3112</v>
      </c>
      <c r="C1572" s="1" t="s">
        <v>195</v>
      </c>
      <c r="D1572" s="1">
        <f>COUNTIFS('Raw Entries'!B:B,Table4[[#This Row],[Name]],'Raw Entries'!I:I,Table4[[#This Row],[BOOK No.]])</f>
        <v>0</v>
      </c>
      <c r="E1572" s="1">
        <f t="array" ref="E1572">IF(OR(Table4[[#This Row],[INSTALLMENT]]=1,Table4[[#This Row],[INSTALLMENT]]=2,Table4[[#This Row],[INSTALLMENT]]=3),1,0)</f>
        <v>0</v>
      </c>
      <c r="F1572" s="1">
        <f>IF(OR(Table4[[#This Row],[INSTALLMENT]]=2,Table4[[#This Row],[INSTALLMENT]]=3),2,0)</f>
        <v>0</v>
      </c>
      <c r="G1572" s="1">
        <f>IF(OR(Table4[[#This Row],[INSTALLMENT]]=3),3,0)</f>
        <v>0</v>
      </c>
    </row>
    <row r="1573" spans="1:7">
      <c r="A1573" s="1">
        <v>1931</v>
      </c>
      <c r="B1573" s="1" t="s">
        <v>197</v>
      </c>
      <c r="C1573" s="1" t="s">
        <v>195</v>
      </c>
      <c r="D1573" s="1">
        <f>COUNTIFS('Raw Entries'!B:B,Table4[[#This Row],[Name]],'Raw Entries'!I:I,Table4[[#This Row],[BOOK No.]])</f>
        <v>2</v>
      </c>
      <c r="E1573" s="1">
        <f t="array" ref="E1573">IF(OR(Table4[[#This Row],[INSTALLMENT]]=1,Table4[[#This Row],[INSTALLMENT]]=2,Table4[[#This Row],[INSTALLMENT]]=3),1,0)</f>
        <v>1</v>
      </c>
      <c r="F1573" s="1">
        <f>IF(OR(Table4[[#This Row],[INSTALLMENT]]=2,Table4[[#This Row],[INSTALLMENT]]=3),2,0)</f>
        <v>2</v>
      </c>
      <c r="G1573" s="1">
        <f>IF(OR(Table4[[#This Row],[INSTALLMENT]]=3),3,0)</f>
        <v>0</v>
      </c>
    </row>
    <row r="1574" spans="1:7">
      <c r="A1574" s="1">
        <v>1932</v>
      </c>
      <c r="B1574" s="1" t="s">
        <v>3113</v>
      </c>
      <c r="C1574" s="1" t="s">
        <v>195</v>
      </c>
      <c r="D1574" s="1">
        <f>COUNTIFS('Raw Entries'!B:B,Table4[[#This Row],[Name]],'Raw Entries'!I:I,Table4[[#This Row],[BOOK No.]])</f>
        <v>0</v>
      </c>
      <c r="E1574" s="1">
        <f t="array" ref="E1574">IF(OR(Table4[[#This Row],[INSTALLMENT]]=1,Table4[[#This Row],[INSTALLMENT]]=2,Table4[[#This Row],[INSTALLMENT]]=3),1,0)</f>
        <v>0</v>
      </c>
      <c r="F1574" s="1">
        <f>IF(OR(Table4[[#This Row],[INSTALLMENT]]=2,Table4[[#This Row],[INSTALLMENT]]=3),2,0)</f>
        <v>0</v>
      </c>
      <c r="G1574" s="1">
        <f>IF(OR(Table4[[#This Row],[INSTALLMENT]]=3),3,0)</f>
        <v>0</v>
      </c>
    </row>
    <row r="1575" spans="1:7">
      <c r="A1575" s="1">
        <v>1933</v>
      </c>
      <c r="B1575" s="1" t="s">
        <v>3114</v>
      </c>
      <c r="C1575" s="1" t="s">
        <v>195</v>
      </c>
      <c r="D1575" s="1">
        <f>COUNTIFS('Raw Entries'!B:B,Table4[[#This Row],[Name]],'Raw Entries'!I:I,Table4[[#This Row],[BOOK No.]])</f>
        <v>0</v>
      </c>
      <c r="E1575" s="1">
        <f t="array" ref="E1575">IF(OR(Table4[[#This Row],[INSTALLMENT]]=1,Table4[[#This Row],[INSTALLMENT]]=2,Table4[[#This Row],[INSTALLMENT]]=3),1,0)</f>
        <v>0</v>
      </c>
      <c r="F1575" s="1">
        <f>IF(OR(Table4[[#This Row],[INSTALLMENT]]=2,Table4[[#This Row],[INSTALLMENT]]=3),2,0)</f>
        <v>0</v>
      </c>
      <c r="G1575" s="1">
        <f>IF(OR(Table4[[#This Row],[INSTALLMENT]]=3),3,0)</f>
        <v>0</v>
      </c>
    </row>
    <row r="1576" spans="1:7">
      <c r="A1576" s="1">
        <v>1934</v>
      </c>
      <c r="B1576" s="1" t="s">
        <v>199</v>
      </c>
      <c r="C1576" s="1" t="s">
        <v>195</v>
      </c>
      <c r="D1576" s="1">
        <f>COUNTIFS('Raw Entries'!B:B,Table4[[#This Row],[Name]],'Raw Entries'!I:I,Table4[[#This Row],[BOOK No.]])</f>
        <v>3</v>
      </c>
      <c r="E1576" s="1">
        <f t="array" ref="E1576">IF(OR(Table4[[#This Row],[INSTALLMENT]]=1,Table4[[#This Row],[INSTALLMENT]]=2,Table4[[#This Row],[INSTALLMENT]]=3),1,0)</f>
        <v>1</v>
      </c>
      <c r="F1576" s="1">
        <f>IF(OR(Table4[[#This Row],[INSTALLMENT]]=2,Table4[[#This Row],[INSTALLMENT]]=3),2,0)</f>
        <v>2</v>
      </c>
      <c r="G1576" s="1">
        <f>IF(OR(Table4[[#This Row],[INSTALLMENT]]=3),3,0)</f>
        <v>3</v>
      </c>
    </row>
    <row r="1577" spans="1:7">
      <c r="A1577" s="1">
        <v>1935</v>
      </c>
      <c r="B1577" s="1" t="s">
        <v>3115</v>
      </c>
      <c r="C1577" s="1" t="s">
        <v>195</v>
      </c>
      <c r="D1577" s="1">
        <f>COUNTIFS('Raw Entries'!B:B,Table4[[#This Row],[Name]],'Raw Entries'!I:I,Table4[[#This Row],[BOOK No.]])</f>
        <v>0</v>
      </c>
      <c r="E1577" s="1">
        <f t="array" ref="E1577">IF(OR(Table4[[#This Row],[INSTALLMENT]]=1,Table4[[#This Row],[INSTALLMENT]]=2,Table4[[#This Row],[INSTALLMENT]]=3),1,0)</f>
        <v>0</v>
      </c>
      <c r="F1577" s="1">
        <f>IF(OR(Table4[[#This Row],[INSTALLMENT]]=2,Table4[[#This Row],[INSTALLMENT]]=3),2,0)</f>
        <v>0</v>
      </c>
      <c r="G1577" s="1">
        <f>IF(OR(Table4[[#This Row],[INSTALLMENT]]=3),3,0)</f>
        <v>0</v>
      </c>
    </row>
    <row r="1578" spans="1:7">
      <c r="A1578" s="1">
        <v>1936</v>
      </c>
      <c r="B1578" s="1" t="s">
        <v>3116</v>
      </c>
      <c r="C1578" s="1" t="s">
        <v>195</v>
      </c>
      <c r="D1578" s="1">
        <f>COUNTIFS('Raw Entries'!B:B,Table4[[#This Row],[Name]],'Raw Entries'!I:I,Table4[[#This Row],[BOOK No.]])</f>
        <v>0</v>
      </c>
      <c r="E1578" s="1">
        <f t="array" ref="E1578">IF(OR(Table4[[#This Row],[INSTALLMENT]]=1,Table4[[#This Row],[INSTALLMENT]]=2,Table4[[#This Row],[INSTALLMENT]]=3),1,0)</f>
        <v>0</v>
      </c>
      <c r="F1578" s="1">
        <f>IF(OR(Table4[[#This Row],[INSTALLMENT]]=2,Table4[[#This Row],[INSTALLMENT]]=3),2,0)</f>
        <v>0</v>
      </c>
      <c r="G1578" s="1">
        <f>IF(OR(Table4[[#This Row],[INSTALLMENT]]=3),3,0)</f>
        <v>0</v>
      </c>
    </row>
    <row r="1579" spans="1:7">
      <c r="A1579" s="1">
        <v>1937</v>
      </c>
      <c r="B1579" s="1" t="s">
        <v>3117</v>
      </c>
      <c r="C1579" s="1" t="s">
        <v>195</v>
      </c>
      <c r="D1579" s="1">
        <f>COUNTIFS('Raw Entries'!B:B,Table4[[#This Row],[Name]],'Raw Entries'!I:I,Table4[[#This Row],[BOOK No.]])</f>
        <v>0</v>
      </c>
      <c r="E1579" s="1">
        <f t="array" ref="E1579">IF(OR(Table4[[#This Row],[INSTALLMENT]]=1,Table4[[#This Row],[INSTALLMENT]]=2,Table4[[#This Row],[INSTALLMENT]]=3),1,0)</f>
        <v>0</v>
      </c>
      <c r="F1579" s="1">
        <f>IF(OR(Table4[[#This Row],[INSTALLMENT]]=2,Table4[[#This Row],[INSTALLMENT]]=3),2,0)</f>
        <v>0</v>
      </c>
      <c r="G1579" s="1">
        <f>IF(OR(Table4[[#This Row],[INSTALLMENT]]=3),3,0)</f>
        <v>0</v>
      </c>
    </row>
    <row r="1580" spans="1:7">
      <c r="A1580" s="1">
        <v>1938</v>
      </c>
      <c r="B1580" s="1" t="s">
        <v>3118</v>
      </c>
      <c r="C1580" s="1" t="s">
        <v>195</v>
      </c>
      <c r="D1580" s="1">
        <f>COUNTIFS('Raw Entries'!B:B,Table4[[#This Row],[Name]],'Raw Entries'!I:I,Table4[[#This Row],[BOOK No.]])</f>
        <v>0</v>
      </c>
      <c r="E1580" s="1">
        <f t="array" ref="E1580">IF(OR(Table4[[#This Row],[INSTALLMENT]]=1,Table4[[#This Row],[INSTALLMENT]]=2,Table4[[#This Row],[INSTALLMENT]]=3),1,0)</f>
        <v>0</v>
      </c>
      <c r="F1580" s="1">
        <f>IF(OR(Table4[[#This Row],[INSTALLMENT]]=2,Table4[[#This Row],[INSTALLMENT]]=3),2,0)</f>
        <v>0</v>
      </c>
      <c r="G1580" s="1">
        <f>IF(OR(Table4[[#This Row],[INSTALLMENT]]=3),3,0)</f>
        <v>0</v>
      </c>
    </row>
    <row r="1581" spans="1:7">
      <c r="A1581" s="1">
        <v>1939</v>
      </c>
      <c r="B1581" s="1" t="s">
        <v>3119</v>
      </c>
      <c r="C1581" s="1" t="s">
        <v>195</v>
      </c>
      <c r="D1581" s="1">
        <f>COUNTIFS('Raw Entries'!B:B,Table4[[#This Row],[Name]],'Raw Entries'!I:I,Table4[[#This Row],[BOOK No.]])</f>
        <v>0</v>
      </c>
      <c r="E1581" s="1">
        <f t="array" ref="E1581">IF(OR(Table4[[#This Row],[INSTALLMENT]]=1,Table4[[#This Row],[INSTALLMENT]]=2,Table4[[#This Row],[INSTALLMENT]]=3),1,0)</f>
        <v>0</v>
      </c>
      <c r="F1581" s="1">
        <f>IF(OR(Table4[[#This Row],[INSTALLMENT]]=2,Table4[[#This Row],[INSTALLMENT]]=3),2,0)</f>
        <v>0</v>
      </c>
      <c r="G1581" s="1">
        <f>IF(OR(Table4[[#This Row],[INSTALLMENT]]=3),3,0)</f>
        <v>0</v>
      </c>
    </row>
    <row r="1582" spans="1:7">
      <c r="A1582" s="1">
        <v>1940</v>
      </c>
      <c r="B1582" s="1" t="s">
        <v>3120</v>
      </c>
      <c r="C1582" s="1" t="s">
        <v>195</v>
      </c>
      <c r="D1582" s="1">
        <f>COUNTIFS('Raw Entries'!B:B,Table4[[#This Row],[Name]],'Raw Entries'!I:I,Table4[[#This Row],[BOOK No.]])</f>
        <v>0</v>
      </c>
      <c r="E1582" s="1">
        <f t="array" ref="E1582">IF(OR(Table4[[#This Row],[INSTALLMENT]]=1,Table4[[#This Row],[INSTALLMENT]]=2,Table4[[#This Row],[INSTALLMENT]]=3),1,0)</f>
        <v>0</v>
      </c>
      <c r="F1582" s="1">
        <f>IF(OR(Table4[[#This Row],[INSTALLMENT]]=2,Table4[[#This Row],[INSTALLMENT]]=3),2,0)</f>
        <v>0</v>
      </c>
      <c r="G1582" s="1">
        <f>IF(OR(Table4[[#This Row],[INSTALLMENT]]=3),3,0)</f>
        <v>0</v>
      </c>
    </row>
    <row r="1583" spans="1:7">
      <c r="A1583" s="1">
        <v>1941</v>
      </c>
      <c r="B1583" s="1" t="s">
        <v>3121</v>
      </c>
      <c r="C1583" s="1" t="s">
        <v>195</v>
      </c>
      <c r="D1583" s="1">
        <f>COUNTIFS('Raw Entries'!B:B,Table4[[#This Row],[Name]],'Raw Entries'!I:I,Table4[[#This Row],[BOOK No.]])</f>
        <v>0</v>
      </c>
      <c r="E1583" s="1">
        <f t="array" ref="E1583">IF(OR(Table4[[#This Row],[INSTALLMENT]]=1,Table4[[#This Row],[INSTALLMENT]]=2,Table4[[#This Row],[INSTALLMENT]]=3),1,0)</f>
        <v>0</v>
      </c>
      <c r="F1583" s="1">
        <f>IF(OR(Table4[[#This Row],[INSTALLMENT]]=2,Table4[[#This Row],[INSTALLMENT]]=3),2,0)</f>
        <v>0</v>
      </c>
      <c r="G1583" s="1">
        <f>IF(OR(Table4[[#This Row],[INSTALLMENT]]=3),3,0)</f>
        <v>0</v>
      </c>
    </row>
    <row r="1584" spans="1:7">
      <c r="A1584" s="1">
        <v>1942</v>
      </c>
      <c r="B1584" s="1" t="s">
        <v>3122</v>
      </c>
      <c r="C1584" s="1" t="s">
        <v>195</v>
      </c>
      <c r="D1584" s="1">
        <f>COUNTIFS('Raw Entries'!B:B,Table4[[#This Row],[Name]],'Raw Entries'!I:I,Table4[[#This Row],[BOOK No.]])</f>
        <v>0</v>
      </c>
      <c r="E1584" s="1">
        <f t="array" ref="E1584">IF(OR(Table4[[#This Row],[INSTALLMENT]]=1,Table4[[#This Row],[INSTALLMENT]]=2,Table4[[#This Row],[INSTALLMENT]]=3),1,0)</f>
        <v>0</v>
      </c>
      <c r="F1584" s="1">
        <f>IF(OR(Table4[[#This Row],[INSTALLMENT]]=2,Table4[[#This Row],[INSTALLMENT]]=3),2,0)</f>
        <v>0</v>
      </c>
      <c r="G1584" s="1">
        <f>IF(OR(Table4[[#This Row],[INSTALLMENT]]=3),3,0)</f>
        <v>0</v>
      </c>
    </row>
    <row r="1585" spans="1:7">
      <c r="A1585" s="1">
        <v>1943</v>
      </c>
      <c r="B1585" s="1" t="s">
        <v>203</v>
      </c>
      <c r="C1585" s="1" t="s">
        <v>195</v>
      </c>
      <c r="D1585" s="1">
        <f>COUNTIFS('Raw Entries'!B:B,Table4[[#This Row],[Name]],'Raw Entries'!I:I,Table4[[#This Row],[BOOK No.]])</f>
        <v>1</v>
      </c>
      <c r="E1585" s="1">
        <f t="array" ref="E1585">IF(OR(Table4[[#This Row],[INSTALLMENT]]=1,Table4[[#This Row],[INSTALLMENT]]=2,Table4[[#This Row],[INSTALLMENT]]=3),1,0)</f>
        <v>1</v>
      </c>
      <c r="F1585" s="1">
        <f>IF(OR(Table4[[#This Row],[INSTALLMENT]]=2,Table4[[#This Row],[INSTALLMENT]]=3),2,0)</f>
        <v>0</v>
      </c>
      <c r="G1585" s="1">
        <f>IF(OR(Table4[[#This Row],[INSTALLMENT]]=3),3,0)</f>
        <v>0</v>
      </c>
    </row>
    <row r="1586" spans="1:7">
      <c r="A1586" s="1">
        <v>1944</v>
      </c>
      <c r="B1586" s="1" t="s">
        <v>209</v>
      </c>
      <c r="C1586" s="1" t="s">
        <v>205</v>
      </c>
      <c r="D1586" s="1">
        <f>COUNTIFS('Raw Entries'!B:B,Table4[[#This Row],[Name]],'Raw Entries'!I:I,Table4[[#This Row],[BOOK No.]])</f>
        <v>2</v>
      </c>
      <c r="E1586" s="1">
        <f t="array" ref="E1586">IF(OR(Table4[[#This Row],[INSTALLMENT]]=1,Table4[[#This Row],[INSTALLMENT]]=2,Table4[[#This Row],[INSTALLMENT]]=3),1,0)</f>
        <v>1</v>
      </c>
      <c r="F1586" s="1">
        <f>IF(OR(Table4[[#This Row],[INSTALLMENT]]=2,Table4[[#This Row],[INSTALLMENT]]=3),2,0)</f>
        <v>2</v>
      </c>
      <c r="G1586" s="1">
        <f>IF(OR(Table4[[#This Row],[INSTALLMENT]]=3),3,0)</f>
        <v>0</v>
      </c>
    </row>
    <row r="1587" spans="1:7">
      <c r="A1587" s="1">
        <v>1945</v>
      </c>
      <c r="B1587" s="1" t="s">
        <v>3123</v>
      </c>
      <c r="C1587" s="1" t="s">
        <v>205</v>
      </c>
      <c r="D1587" s="1">
        <f>COUNTIFS('Raw Entries'!B:B,Table4[[#This Row],[Name]],'Raw Entries'!I:I,Table4[[#This Row],[BOOK No.]])</f>
        <v>0</v>
      </c>
      <c r="E1587" s="1">
        <f t="array" ref="E1587">IF(OR(Table4[[#This Row],[INSTALLMENT]]=1,Table4[[#This Row],[INSTALLMENT]]=2,Table4[[#This Row],[INSTALLMENT]]=3),1,0)</f>
        <v>0</v>
      </c>
      <c r="F1587" s="1">
        <f>IF(OR(Table4[[#This Row],[INSTALLMENT]]=2,Table4[[#This Row],[INSTALLMENT]]=3),2,0)</f>
        <v>0</v>
      </c>
      <c r="G1587" s="1">
        <f>IF(OR(Table4[[#This Row],[INSTALLMENT]]=3),3,0)</f>
        <v>0</v>
      </c>
    </row>
    <row r="1588" spans="1:7">
      <c r="A1588" s="1">
        <v>1946</v>
      </c>
      <c r="B1588" s="1" t="s">
        <v>3124</v>
      </c>
      <c r="C1588" s="1" t="s">
        <v>205</v>
      </c>
      <c r="D1588" s="1">
        <f>COUNTIFS('Raw Entries'!B:B,Table4[[#This Row],[Name]],'Raw Entries'!I:I,Table4[[#This Row],[BOOK No.]])</f>
        <v>0</v>
      </c>
      <c r="E1588" s="1">
        <f t="array" ref="E1588">IF(OR(Table4[[#This Row],[INSTALLMENT]]=1,Table4[[#This Row],[INSTALLMENT]]=2,Table4[[#This Row],[INSTALLMENT]]=3),1,0)</f>
        <v>0</v>
      </c>
      <c r="F1588" s="1">
        <f>IF(OR(Table4[[#This Row],[INSTALLMENT]]=2,Table4[[#This Row],[INSTALLMENT]]=3),2,0)</f>
        <v>0</v>
      </c>
      <c r="G1588" s="1">
        <f>IF(OR(Table4[[#This Row],[INSTALLMENT]]=3),3,0)</f>
        <v>0</v>
      </c>
    </row>
    <row r="1589" spans="1:7">
      <c r="A1589" s="1">
        <v>1947</v>
      </c>
      <c r="B1589" s="1" t="s">
        <v>3125</v>
      </c>
      <c r="C1589" s="1" t="s">
        <v>205</v>
      </c>
      <c r="D1589" s="1">
        <f>COUNTIFS('Raw Entries'!B:B,Table4[[#This Row],[Name]],'Raw Entries'!I:I,Table4[[#This Row],[BOOK No.]])</f>
        <v>0</v>
      </c>
      <c r="E1589" s="1">
        <f t="array" ref="E1589">IF(OR(Table4[[#This Row],[INSTALLMENT]]=1,Table4[[#This Row],[INSTALLMENT]]=2,Table4[[#This Row],[INSTALLMENT]]=3),1,0)</f>
        <v>0</v>
      </c>
      <c r="F1589" s="1">
        <f>IF(OR(Table4[[#This Row],[INSTALLMENT]]=2,Table4[[#This Row],[INSTALLMENT]]=3),2,0)</f>
        <v>0</v>
      </c>
      <c r="G1589" s="1">
        <f>IF(OR(Table4[[#This Row],[INSTALLMENT]]=3),3,0)</f>
        <v>0</v>
      </c>
    </row>
    <row r="1590" spans="1:7">
      <c r="A1590" s="1">
        <v>1948</v>
      </c>
      <c r="B1590" s="1" t="s">
        <v>3126</v>
      </c>
      <c r="C1590" s="1" t="s">
        <v>205</v>
      </c>
      <c r="D1590" s="1">
        <f>COUNTIFS('Raw Entries'!B:B,Table4[[#This Row],[Name]],'Raw Entries'!I:I,Table4[[#This Row],[BOOK No.]])</f>
        <v>0</v>
      </c>
      <c r="E1590" s="1">
        <f t="array" ref="E1590">IF(OR(Table4[[#This Row],[INSTALLMENT]]=1,Table4[[#This Row],[INSTALLMENT]]=2,Table4[[#This Row],[INSTALLMENT]]=3),1,0)</f>
        <v>0</v>
      </c>
      <c r="F1590" s="1">
        <f>IF(OR(Table4[[#This Row],[INSTALLMENT]]=2,Table4[[#This Row],[INSTALLMENT]]=3),2,0)</f>
        <v>0</v>
      </c>
      <c r="G1590" s="1">
        <f>IF(OR(Table4[[#This Row],[INSTALLMENT]]=3),3,0)</f>
        <v>0</v>
      </c>
    </row>
    <row r="1591" spans="1:7">
      <c r="A1591" s="1">
        <v>1949</v>
      </c>
      <c r="B1591" s="1" t="s">
        <v>3127</v>
      </c>
      <c r="C1591" s="1" t="s">
        <v>205</v>
      </c>
      <c r="D1591" s="1">
        <f>COUNTIFS('Raw Entries'!B:B,Table4[[#This Row],[Name]],'Raw Entries'!I:I,Table4[[#This Row],[BOOK No.]])</f>
        <v>0</v>
      </c>
      <c r="E1591" s="1">
        <f t="array" ref="E1591">IF(OR(Table4[[#This Row],[INSTALLMENT]]=1,Table4[[#This Row],[INSTALLMENT]]=2,Table4[[#This Row],[INSTALLMENT]]=3),1,0)</f>
        <v>0</v>
      </c>
      <c r="F1591" s="1">
        <f>IF(OR(Table4[[#This Row],[INSTALLMENT]]=2,Table4[[#This Row],[INSTALLMENT]]=3),2,0)</f>
        <v>0</v>
      </c>
      <c r="G1591" s="1">
        <f>IF(OR(Table4[[#This Row],[INSTALLMENT]]=3),3,0)</f>
        <v>0</v>
      </c>
    </row>
    <row r="1592" spans="1:7">
      <c r="A1592" s="1">
        <v>1950</v>
      </c>
      <c r="B1592" s="1" t="s">
        <v>3128</v>
      </c>
      <c r="C1592" s="1" t="s">
        <v>205</v>
      </c>
      <c r="D1592" s="1">
        <f>COUNTIFS('Raw Entries'!B:B,Table4[[#This Row],[Name]],'Raw Entries'!I:I,Table4[[#This Row],[BOOK No.]])</f>
        <v>0</v>
      </c>
      <c r="E1592" s="1">
        <f t="array" ref="E1592">IF(OR(Table4[[#This Row],[INSTALLMENT]]=1,Table4[[#This Row],[INSTALLMENT]]=2,Table4[[#This Row],[INSTALLMENT]]=3),1,0)</f>
        <v>0</v>
      </c>
      <c r="F1592" s="1">
        <f>IF(OR(Table4[[#This Row],[INSTALLMENT]]=2,Table4[[#This Row],[INSTALLMENT]]=3),2,0)</f>
        <v>0</v>
      </c>
      <c r="G1592" s="1">
        <f>IF(OR(Table4[[#This Row],[INSTALLMENT]]=3),3,0)</f>
        <v>0</v>
      </c>
    </row>
    <row r="1593" spans="1:7">
      <c r="A1593" s="1">
        <v>1951</v>
      </c>
      <c r="B1593" s="1" t="s">
        <v>3129</v>
      </c>
      <c r="C1593" s="1" t="s">
        <v>205</v>
      </c>
      <c r="D1593" s="1">
        <f>COUNTIFS('Raw Entries'!B:B,Table4[[#This Row],[Name]],'Raw Entries'!I:I,Table4[[#This Row],[BOOK No.]])</f>
        <v>0</v>
      </c>
      <c r="E1593" s="1">
        <f t="array" ref="E1593">IF(OR(Table4[[#This Row],[INSTALLMENT]]=1,Table4[[#This Row],[INSTALLMENT]]=2,Table4[[#This Row],[INSTALLMENT]]=3),1,0)</f>
        <v>0</v>
      </c>
      <c r="F1593" s="1">
        <f>IF(OR(Table4[[#This Row],[INSTALLMENT]]=2,Table4[[#This Row],[INSTALLMENT]]=3),2,0)</f>
        <v>0</v>
      </c>
      <c r="G1593" s="1">
        <f>IF(OR(Table4[[#This Row],[INSTALLMENT]]=3),3,0)</f>
        <v>0</v>
      </c>
    </row>
    <row r="1594" spans="1:7">
      <c r="A1594" s="1">
        <v>1952</v>
      </c>
      <c r="B1594" s="1" t="s">
        <v>139</v>
      </c>
      <c r="C1594" s="1" t="s">
        <v>205</v>
      </c>
      <c r="D1594" s="1">
        <f>COUNTIFS('Raw Entries'!B:B,Table4[[#This Row],[Name]],'Raw Entries'!I:I,Table4[[#This Row],[BOOK No.]])</f>
        <v>0</v>
      </c>
      <c r="E1594" s="1">
        <f t="array" ref="E1594">IF(OR(Table4[[#This Row],[INSTALLMENT]]=1,Table4[[#This Row],[INSTALLMENT]]=2,Table4[[#This Row],[INSTALLMENT]]=3),1,0)</f>
        <v>0</v>
      </c>
      <c r="F1594" s="1">
        <f>IF(OR(Table4[[#This Row],[INSTALLMENT]]=2,Table4[[#This Row],[INSTALLMENT]]=3),2,0)</f>
        <v>0</v>
      </c>
      <c r="G1594" s="1">
        <f>IF(OR(Table4[[#This Row],[INSTALLMENT]]=3),3,0)</f>
        <v>0</v>
      </c>
    </row>
    <row r="1595" spans="1:7">
      <c r="A1595" s="1">
        <v>1953</v>
      </c>
      <c r="B1595" s="1" t="s">
        <v>3130</v>
      </c>
      <c r="C1595" s="1" t="s">
        <v>205</v>
      </c>
      <c r="D1595" s="1">
        <f>COUNTIFS('Raw Entries'!B:B,Table4[[#This Row],[Name]],'Raw Entries'!I:I,Table4[[#This Row],[BOOK No.]])</f>
        <v>0</v>
      </c>
      <c r="E1595" s="1">
        <f t="array" ref="E1595">IF(OR(Table4[[#This Row],[INSTALLMENT]]=1,Table4[[#This Row],[INSTALLMENT]]=2,Table4[[#This Row],[INSTALLMENT]]=3),1,0)</f>
        <v>0</v>
      </c>
      <c r="F1595" s="1">
        <f>IF(OR(Table4[[#This Row],[INSTALLMENT]]=2,Table4[[#This Row],[INSTALLMENT]]=3),2,0)</f>
        <v>0</v>
      </c>
      <c r="G1595" s="1">
        <f>IF(OR(Table4[[#This Row],[INSTALLMENT]]=3),3,0)</f>
        <v>0</v>
      </c>
    </row>
    <row r="1596" spans="1:7">
      <c r="A1596" s="1">
        <v>1954</v>
      </c>
      <c r="B1596" s="1" t="s">
        <v>3131</v>
      </c>
      <c r="C1596" s="1" t="s">
        <v>205</v>
      </c>
      <c r="D1596" s="1">
        <f>COUNTIFS('Raw Entries'!B:B,Table4[[#This Row],[Name]],'Raw Entries'!I:I,Table4[[#This Row],[BOOK No.]])</f>
        <v>0</v>
      </c>
      <c r="E1596" s="1">
        <f t="array" ref="E1596">IF(OR(Table4[[#This Row],[INSTALLMENT]]=1,Table4[[#This Row],[INSTALLMENT]]=2,Table4[[#This Row],[INSTALLMENT]]=3),1,0)</f>
        <v>0</v>
      </c>
      <c r="F1596" s="1">
        <f>IF(OR(Table4[[#This Row],[INSTALLMENT]]=2,Table4[[#This Row],[INSTALLMENT]]=3),2,0)</f>
        <v>0</v>
      </c>
      <c r="G1596" s="1">
        <f>IF(OR(Table4[[#This Row],[INSTALLMENT]]=3),3,0)</f>
        <v>0</v>
      </c>
    </row>
    <row r="1597" spans="1:7">
      <c r="A1597" s="1">
        <v>1955</v>
      </c>
      <c r="B1597" s="1" t="s">
        <v>3132</v>
      </c>
      <c r="C1597" s="1" t="s">
        <v>205</v>
      </c>
      <c r="D1597" s="1">
        <f>COUNTIFS('Raw Entries'!B:B,Table4[[#This Row],[Name]],'Raw Entries'!I:I,Table4[[#This Row],[BOOK No.]])</f>
        <v>0</v>
      </c>
      <c r="E1597" s="1">
        <f t="array" ref="E1597">IF(OR(Table4[[#This Row],[INSTALLMENT]]=1,Table4[[#This Row],[INSTALLMENT]]=2,Table4[[#This Row],[INSTALLMENT]]=3),1,0)</f>
        <v>0</v>
      </c>
      <c r="F1597" s="1">
        <f>IF(OR(Table4[[#This Row],[INSTALLMENT]]=2,Table4[[#This Row],[INSTALLMENT]]=3),2,0)</f>
        <v>0</v>
      </c>
      <c r="G1597" s="1">
        <f>IF(OR(Table4[[#This Row],[INSTALLMENT]]=3),3,0)</f>
        <v>0</v>
      </c>
    </row>
    <row r="1598" spans="1:7">
      <c r="A1598" s="1">
        <v>1956</v>
      </c>
      <c r="B1598" s="1" t="s">
        <v>3133</v>
      </c>
      <c r="C1598" s="1" t="s">
        <v>205</v>
      </c>
      <c r="D1598" s="1">
        <f>COUNTIFS('Raw Entries'!B:B,Table4[[#This Row],[Name]],'Raw Entries'!I:I,Table4[[#This Row],[BOOK No.]])</f>
        <v>3</v>
      </c>
      <c r="E1598" s="1">
        <f t="array" ref="E1598">IF(OR(Table4[[#This Row],[INSTALLMENT]]=1,Table4[[#This Row],[INSTALLMENT]]=2,Table4[[#This Row],[INSTALLMENT]]=3),1,0)</f>
        <v>1</v>
      </c>
      <c r="F1598" s="1">
        <f>IF(OR(Table4[[#This Row],[INSTALLMENT]]=2,Table4[[#This Row],[INSTALLMENT]]=3),2,0)</f>
        <v>2</v>
      </c>
      <c r="G1598" s="1">
        <f>IF(OR(Table4[[#This Row],[INSTALLMENT]]=3),3,0)</f>
        <v>3</v>
      </c>
    </row>
    <row r="1599" spans="1:7">
      <c r="A1599" s="1">
        <v>1957</v>
      </c>
      <c r="B1599" s="1" t="s">
        <v>3134</v>
      </c>
      <c r="C1599" s="1" t="s">
        <v>205</v>
      </c>
      <c r="D1599" s="1">
        <f>COUNTIFS('Raw Entries'!B:B,Table4[[#This Row],[Name]],'Raw Entries'!I:I,Table4[[#This Row],[BOOK No.]])</f>
        <v>0</v>
      </c>
      <c r="E1599" s="1">
        <f t="array" ref="E1599">IF(OR(Table4[[#This Row],[INSTALLMENT]]=1,Table4[[#This Row],[INSTALLMENT]]=2,Table4[[#This Row],[INSTALLMENT]]=3),1,0)</f>
        <v>0</v>
      </c>
      <c r="F1599" s="1">
        <f>IF(OR(Table4[[#This Row],[INSTALLMENT]]=2,Table4[[#This Row],[INSTALLMENT]]=3),2,0)</f>
        <v>0</v>
      </c>
      <c r="G1599" s="1">
        <f>IF(OR(Table4[[#This Row],[INSTALLMENT]]=3),3,0)</f>
        <v>0</v>
      </c>
    </row>
    <row r="1600" spans="1:7">
      <c r="A1600" s="1">
        <v>1958</v>
      </c>
      <c r="B1600" s="1" t="s">
        <v>3135</v>
      </c>
      <c r="C1600" s="1" t="s">
        <v>205</v>
      </c>
      <c r="D1600" s="1">
        <f>COUNTIFS('Raw Entries'!B:B,Table4[[#This Row],[Name]],'Raw Entries'!I:I,Table4[[#This Row],[BOOK No.]])</f>
        <v>0</v>
      </c>
      <c r="E1600" s="1">
        <f t="array" ref="E1600">IF(OR(Table4[[#This Row],[INSTALLMENT]]=1,Table4[[#This Row],[INSTALLMENT]]=2,Table4[[#This Row],[INSTALLMENT]]=3),1,0)</f>
        <v>0</v>
      </c>
      <c r="F1600" s="1">
        <f>IF(OR(Table4[[#This Row],[INSTALLMENT]]=2,Table4[[#This Row],[INSTALLMENT]]=3),2,0)</f>
        <v>0</v>
      </c>
      <c r="G1600" s="1">
        <f>IF(OR(Table4[[#This Row],[INSTALLMENT]]=3),3,0)</f>
        <v>0</v>
      </c>
    </row>
    <row r="1601" spans="1:7">
      <c r="A1601" s="1">
        <v>1959</v>
      </c>
      <c r="B1601" s="1" t="s">
        <v>210</v>
      </c>
      <c r="C1601" s="1" t="s">
        <v>205</v>
      </c>
      <c r="D1601" s="1">
        <f>COUNTIFS('Raw Entries'!B:B,Table4[[#This Row],[Name]],'Raw Entries'!I:I,Table4[[#This Row],[BOOK No.]])</f>
        <v>3</v>
      </c>
      <c r="E1601" s="1">
        <f t="array" ref="E1601">IF(OR(Table4[[#This Row],[INSTALLMENT]]=1,Table4[[#This Row],[INSTALLMENT]]=2,Table4[[#This Row],[INSTALLMENT]]=3),1,0)</f>
        <v>1</v>
      </c>
      <c r="F1601" s="1">
        <f>IF(OR(Table4[[#This Row],[INSTALLMENT]]=2,Table4[[#This Row],[INSTALLMENT]]=3),2,0)</f>
        <v>2</v>
      </c>
      <c r="G1601" s="1">
        <f>IF(OR(Table4[[#This Row],[INSTALLMENT]]=3),3,0)</f>
        <v>3</v>
      </c>
    </row>
    <row r="1602" spans="1:7">
      <c r="A1602" s="1">
        <v>1960</v>
      </c>
      <c r="B1602" s="1" t="s">
        <v>3136</v>
      </c>
      <c r="C1602" s="1" t="s">
        <v>205</v>
      </c>
      <c r="D1602" s="1">
        <f>COUNTIFS('Raw Entries'!B:B,Table4[[#This Row],[Name]],'Raw Entries'!I:I,Table4[[#This Row],[BOOK No.]])</f>
        <v>1</v>
      </c>
      <c r="E1602" s="1">
        <f t="array" ref="E1602">IF(OR(Table4[[#This Row],[INSTALLMENT]]=1,Table4[[#This Row],[INSTALLMENT]]=2,Table4[[#This Row],[INSTALLMENT]]=3),1,0)</f>
        <v>1</v>
      </c>
      <c r="F1602" s="1">
        <f>IF(OR(Table4[[#This Row],[INSTALLMENT]]=2,Table4[[#This Row],[INSTALLMENT]]=3),2,0)</f>
        <v>0</v>
      </c>
      <c r="G1602" s="1">
        <f>IF(OR(Table4[[#This Row],[INSTALLMENT]]=3),3,0)</f>
        <v>0</v>
      </c>
    </row>
    <row r="1603" spans="1:7">
      <c r="A1603" s="1">
        <v>1961</v>
      </c>
      <c r="B1603" s="1" t="s">
        <v>3137</v>
      </c>
      <c r="C1603" s="1" t="s">
        <v>205</v>
      </c>
      <c r="D1603" s="1">
        <f>COUNTIFS('Raw Entries'!B:B,Table4[[#This Row],[Name]],'Raw Entries'!I:I,Table4[[#This Row],[BOOK No.]])</f>
        <v>0</v>
      </c>
      <c r="E1603" s="1">
        <f t="array" ref="E1603">IF(OR(Table4[[#This Row],[INSTALLMENT]]=1,Table4[[#This Row],[INSTALLMENT]]=2,Table4[[#This Row],[INSTALLMENT]]=3),1,0)</f>
        <v>0</v>
      </c>
      <c r="F1603" s="1">
        <f>IF(OR(Table4[[#This Row],[INSTALLMENT]]=2,Table4[[#This Row],[INSTALLMENT]]=3),2,0)</f>
        <v>0</v>
      </c>
      <c r="G1603" s="1">
        <f>IF(OR(Table4[[#This Row],[INSTALLMENT]]=3),3,0)</f>
        <v>0</v>
      </c>
    </row>
    <row r="1604" spans="1:7">
      <c r="A1604" s="1">
        <v>1962</v>
      </c>
      <c r="B1604" s="1" t="s">
        <v>3138</v>
      </c>
      <c r="C1604" s="1" t="s">
        <v>205</v>
      </c>
      <c r="D1604" s="1">
        <f>COUNTIFS('Raw Entries'!B:B,Table4[[#This Row],[Name]],'Raw Entries'!I:I,Table4[[#This Row],[BOOK No.]])</f>
        <v>0</v>
      </c>
      <c r="E1604" s="1">
        <f t="array" ref="E1604">IF(OR(Table4[[#This Row],[INSTALLMENT]]=1,Table4[[#This Row],[INSTALLMENT]]=2,Table4[[#This Row],[INSTALLMENT]]=3),1,0)</f>
        <v>0</v>
      </c>
      <c r="F1604" s="1">
        <f>IF(OR(Table4[[#This Row],[INSTALLMENT]]=2,Table4[[#This Row],[INSTALLMENT]]=3),2,0)</f>
        <v>0</v>
      </c>
      <c r="G1604" s="1">
        <f>IF(OR(Table4[[#This Row],[INSTALLMENT]]=3),3,0)</f>
        <v>0</v>
      </c>
    </row>
    <row r="1605" spans="1:7">
      <c r="A1605" s="1">
        <v>1963</v>
      </c>
      <c r="B1605" s="1" t="s">
        <v>3139</v>
      </c>
      <c r="C1605" s="1" t="s">
        <v>205</v>
      </c>
      <c r="D1605" s="1">
        <f>COUNTIFS('Raw Entries'!B:B,Table4[[#This Row],[Name]],'Raw Entries'!I:I,Table4[[#This Row],[BOOK No.]])</f>
        <v>0</v>
      </c>
      <c r="E1605" s="1">
        <f t="array" ref="E1605">IF(OR(Table4[[#This Row],[INSTALLMENT]]=1,Table4[[#This Row],[INSTALLMENT]]=2,Table4[[#This Row],[INSTALLMENT]]=3),1,0)</f>
        <v>0</v>
      </c>
      <c r="F1605" s="1">
        <f>IF(OR(Table4[[#This Row],[INSTALLMENT]]=2,Table4[[#This Row],[INSTALLMENT]]=3),2,0)</f>
        <v>0</v>
      </c>
      <c r="G1605" s="1">
        <f>IF(OR(Table4[[#This Row],[INSTALLMENT]]=3),3,0)</f>
        <v>0</v>
      </c>
    </row>
    <row r="1606" spans="1:7">
      <c r="A1606" s="1">
        <v>1964</v>
      </c>
      <c r="B1606" s="1" t="s">
        <v>208</v>
      </c>
      <c r="C1606" s="1" t="s">
        <v>205</v>
      </c>
      <c r="D1606" s="1">
        <f>COUNTIFS('Raw Entries'!B:B,Table4[[#This Row],[Name]],'Raw Entries'!I:I,Table4[[#This Row],[BOOK No.]])</f>
        <v>2</v>
      </c>
      <c r="E1606" s="1">
        <f t="array" ref="E1606">IF(OR(Table4[[#This Row],[INSTALLMENT]]=1,Table4[[#This Row],[INSTALLMENT]]=2,Table4[[#This Row],[INSTALLMENT]]=3),1,0)</f>
        <v>1</v>
      </c>
      <c r="F1606" s="1">
        <f>IF(OR(Table4[[#This Row],[INSTALLMENT]]=2,Table4[[#This Row],[INSTALLMENT]]=3),2,0)</f>
        <v>2</v>
      </c>
      <c r="G1606" s="1">
        <f>IF(OR(Table4[[#This Row],[INSTALLMENT]]=3),3,0)</f>
        <v>0</v>
      </c>
    </row>
    <row r="1607" spans="1:7">
      <c r="A1607" s="1">
        <v>1965</v>
      </c>
      <c r="B1607" s="1" t="s">
        <v>3140</v>
      </c>
      <c r="C1607" s="1" t="s">
        <v>205</v>
      </c>
      <c r="D1607" s="1">
        <f>COUNTIFS('Raw Entries'!B:B,Table4[[#This Row],[Name]],'Raw Entries'!I:I,Table4[[#This Row],[BOOK No.]])</f>
        <v>0</v>
      </c>
      <c r="E1607" s="1">
        <f t="array" ref="E1607">IF(OR(Table4[[#This Row],[INSTALLMENT]]=1,Table4[[#This Row],[INSTALLMENT]]=2,Table4[[#This Row],[INSTALLMENT]]=3),1,0)</f>
        <v>0</v>
      </c>
      <c r="F1607" s="1">
        <f>IF(OR(Table4[[#This Row],[INSTALLMENT]]=2,Table4[[#This Row],[INSTALLMENT]]=3),2,0)</f>
        <v>0</v>
      </c>
      <c r="G1607" s="1">
        <f>IF(OR(Table4[[#This Row],[INSTALLMENT]]=3),3,0)</f>
        <v>0</v>
      </c>
    </row>
    <row r="1608" spans="1:7">
      <c r="A1608" s="1">
        <v>1966</v>
      </c>
      <c r="B1608" s="1" t="s">
        <v>206</v>
      </c>
      <c r="C1608" s="1" t="s">
        <v>205</v>
      </c>
      <c r="D1608" s="1">
        <f>COUNTIFS('Raw Entries'!B:B,Table4[[#This Row],[Name]],'Raw Entries'!I:I,Table4[[#This Row],[BOOK No.]])</f>
        <v>3</v>
      </c>
      <c r="E1608" s="1">
        <f t="array" ref="E1608">IF(OR(Table4[[#This Row],[INSTALLMENT]]=1,Table4[[#This Row],[INSTALLMENT]]=2,Table4[[#This Row],[INSTALLMENT]]=3),1,0)</f>
        <v>1</v>
      </c>
      <c r="F1608" s="1">
        <f>IF(OR(Table4[[#This Row],[INSTALLMENT]]=2,Table4[[#This Row],[INSTALLMENT]]=3),2,0)</f>
        <v>2</v>
      </c>
      <c r="G1608" s="1">
        <f>IF(OR(Table4[[#This Row],[INSTALLMENT]]=3),3,0)</f>
        <v>3</v>
      </c>
    </row>
    <row r="1609" spans="1:7">
      <c r="A1609" s="1">
        <v>1967</v>
      </c>
      <c r="B1609" s="1" t="s">
        <v>3141</v>
      </c>
      <c r="C1609" s="1" t="s">
        <v>205</v>
      </c>
      <c r="D1609" s="1">
        <f>COUNTIFS('Raw Entries'!B:B,Table4[[#This Row],[Name]],'Raw Entries'!I:I,Table4[[#This Row],[BOOK No.]])</f>
        <v>0</v>
      </c>
      <c r="E1609" s="1">
        <f t="array" ref="E1609">IF(OR(Table4[[#This Row],[INSTALLMENT]]=1,Table4[[#This Row],[INSTALLMENT]]=2,Table4[[#This Row],[INSTALLMENT]]=3),1,0)</f>
        <v>0</v>
      </c>
      <c r="F1609" s="1">
        <f>IF(OR(Table4[[#This Row],[INSTALLMENT]]=2,Table4[[#This Row],[INSTALLMENT]]=3),2,0)</f>
        <v>0</v>
      </c>
      <c r="G1609" s="1">
        <f>IF(OR(Table4[[#This Row],[INSTALLMENT]]=3),3,0)</f>
        <v>0</v>
      </c>
    </row>
    <row r="1610" spans="1:7">
      <c r="A1610" s="1">
        <v>1968</v>
      </c>
      <c r="B1610" s="1" t="s">
        <v>3142</v>
      </c>
      <c r="C1610" s="1" t="s">
        <v>205</v>
      </c>
      <c r="D1610" s="1">
        <f>COUNTIFS('Raw Entries'!B:B,Table4[[#This Row],[Name]],'Raw Entries'!I:I,Table4[[#This Row],[BOOK No.]])</f>
        <v>0</v>
      </c>
      <c r="E1610" s="1">
        <f t="array" ref="E1610">IF(OR(Table4[[#This Row],[INSTALLMENT]]=1,Table4[[#This Row],[INSTALLMENT]]=2,Table4[[#This Row],[INSTALLMENT]]=3),1,0)</f>
        <v>0</v>
      </c>
      <c r="F1610" s="1">
        <f>IF(OR(Table4[[#This Row],[INSTALLMENT]]=2,Table4[[#This Row],[INSTALLMENT]]=3),2,0)</f>
        <v>0</v>
      </c>
      <c r="G1610" s="1">
        <f>IF(OR(Table4[[#This Row],[INSTALLMENT]]=3),3,0)</f>
        <v>0</v>
      </c>
    </row>
    <row r="1611" spans="1:7">
      <c r="A1611" s="1">
        <v>1969</v>
      </c>
      <c r="B1611" s="1" t="s">
        <v>3143</v>
      </c>
      <c r="C1611" s="1" t="s">
        <v>205</v>
      </c>
      <c r="D1611" s="1">
        <f>COUNTIFS('Raw Entries'!B:B,Table4[[#This Row],[Name]],'Raw Entries'!I:I,Table4[[#This Row],[BOOK No.]])</f>
        <v>0</v>
      </c>
      <c r="E1611" s="1">
        <f t="array" ref="E1611">IF(OR(Table4[[#This Row],[INSTALLMENT]]=1,Table4[[#This Row],[INSTALLMENT]]=2,Table4[[#This Row],[INSTALLMENT]]=3),1,0)</f>
        <v>0</v>
      </c>
      <c r="F1611" s="1">
        <f>IF(OR(Table4[[#This Row],[INSTALLMENT]]=2,Table4[[#This Row],[INSTALLMENT]]=3),2,0)</f>
        <v>0</v>
      </c>
      <c r="G1611" s="1">
        <f>IF(OR(Table4[[#This Row],[INSTALLMENT]]=3),3,0)</f>
        <v>0</v>
      </c>
    </row>
    <row r="1612" spans="1:7">
      <c r="A1612" s="1">
        <v>1970</v>
      </c>
      <c r="B1612" s="1" t="s">
        <v>3144</v>
      </c>
      <c r="C1612" s="1" t="s">
        <v>205</v>
      </c>
      <c r="D1612" s="1">
        <f>COUNTIFS('Raw Entries'!B:B,Table4[[#This Row],[Name]],'Raw Entries'!I:I,Table4[[#This Row],[BOOK No.]])</f>
        <v>0</v>
      </c>
      <c r="E1612" s="1">
        <f t="array" ref="E1612">IF(OR(Table4[[#This Row],[INSTALLMENT]]=1,Table4[[#This Row],[INSTALLMENT]]=2,Table4[[#This Row],[INSTALLMENT]]=3),1,0)</f>
        <v>0</v>
      </c>
      <c r="F1612" s="1">
        <f>IF(OR(Table4[[#This Row],[INSTALLMENT]]=2,Table4[[#This Row],[INSTALLMENT]]=3),2,0)</f>
        <v>0</v>
      </c>
      <c r="G1612" s="1">
        <f>IF(OR(Table4[[#This Row],[INSTALLMENT]]=3),3,0)</f>
        <v>0</v>
      </c>
    </row>
    <row r="1613" spans="1:7">
      <c r="A1613" s="1">
        <v>1971</v>
      </c>
      <c r="B1613" s="1" t="s">
        <v>3145</v>
      </c>
      <c r="C1613" s="1" t="s">
        <v>205</v>
      </c>
      <c r="D1613" s="1">
        <f>COUNTIFS('Raw Entries'!B:B,Table4[[#This Row],[Name]],'Raw Entries'!I:I,Table4[[#This Row],[BOOK No.]])</f>
        <v>0</v>
      </c>
      <c r="E1613" s="1">
        <f t="array" ref="E1613">IF(OR(Table4[[#This Row],[INSTALLMENT]]=1,Table4[[#This Row],[INSTALLMENT]]=2,Table4[[#This Row],[INSTALLMENT]]=3),1,0)</f>
        <v>0</v>
      </c>
      <c r="F1613" s="1">
        <f>IF(OR(Table4[[#This Row],[INSTALLMENT]]=2,Table4[[#This Row],[INSTALLMENT]]=3),2,0)</f>
        <v>0</v>
      </c>
      <c r="G1613" s="1">
        <f>IF(OR(Table4[[#This Row],[INSTALLMENT]]=3),3,0)</f>
        <v>0</v>
      </c>
    </row>
    <row r="1614" spans="1:7">
      <c r="A1614" s="1">
        <v>1972</v>
      </c>
      <c r="B1614" s="1" t="s">
        <v>3146</v>
      </c>
      <c r="C1614" s="1" t="s">
        <v>205</v>
      </c>
      <c r="D1614" s="1">
        <f>COUNTIFS('Raw Entries'!B:B,Table4[[#This Row],[Name]],'Raw Entries'!I:I,Table4[[#This Row],[BOOK No.]])</f>
        <v>0</v>
      </c>
      <c r="E1614" s="1">
        <f t="array" ref="E1614">IF(OR(Table4[[#This Row],[INSTALLMENT]]=1,Table4[[#This Row],[INSTALLMENT]]=2,Table4[[#This Row],[INSTALLMENT]]=3),1,0)</f>
        <v>0</v>
      </c>
      <c r="F1614" s="1">
        <f>IF(OR(Table4[[#This Row],[INSTALLMENT]]=2,Table4[[#This Row],[INSTALLMENT]]=3),2,0)</f>
        <v>0</v>
      </c>
      <c r="G1614" s="1">
        <f>IF(OR(Table4[[#This Row],[INSTALLMENT]]=3),3,0)</f>
        <v>0</v>
      </c>
    </row>
    <row r="1615" spans="1:7">
      <c r="A1615" s="1">
        <v>1973</v>
      </c>
      <c r="B1615" s="1" t="s">
        <v>207</v>
      </c>
      <c r="C1615" s="1" t="s">
        <v>205</v>
      </c>
      <c r="D1615" s="1">
        <f>COUNTIFS('Raw Entries'!B:B,Table4[[#This Row],[Name]],'Raw Entries'!I:I,Table4[[#This Row],[BOOK No.]])</f>
        <v>3</v>
      </c>
      <c r="E1615" s="1">
        <f t="array" ref="E1615">IF(OR(Table4[[#This Row],[INSTALLMENT]]=1,Table4[[#This Row],[INSTALLMENT]]=2,Table4[[#This Row],[INSTALLMENT]]=3),1,0)</f>
        <v>1</v>
      </c>
      <c r="F1615" s="1">
        <f>IF(OR(Table4[[#This Row],[INSTALLMENT]]=2,Table4[[#This Row],[INSTALLMENT]]=3),2,0)</f>
        <v>2</v>
      </c>
      <c r="G1615" s="1">
        <f>IF(OR(Table4[[#This Row],[INSTALLMENT]]=3),3,0)</f>
        <v>3</v>
      </c>
    </row>
    <row r="1616" spans="1:7">
      <c r="A1616" s="1">
        <v>1974</v>
      </c>
      <c r="B1616" s="1" t="s">
        <v>3147</v>
      </c>
      <c r="C1616" s="1" t="s">
        <v>205</v>
      </c>
      <c r="D1616" s="1">
        <f>COUNTIFS('Raw Entries'!B:B,Table4[[#This Row],[Name]],'Raw Entries'!I:I,Table4[[#This Row],[BOOK No.]])</f>
        <v>0</v>
      </c>
      <c r="E1616" s="1">
        <f t="array" ref="E1616">IF(OR(Table4[[#This Row],[INSTALLMENT]]=1,Table4[[#This Row],[INSTALLMENT]]=2,Table4[[#This Row],[INSTALLMENT]]=3),1,0)</f>
        <v>0</v>
      </c>
      <c r="F1616" s="1">
        <f>IF(OR(Table4[[#This Row],[INSTALLMENT]]=2,Table4[[#This Row],[INSTALLMENT]]=3),2,0)</f>
        <v>0</v>
      </c>
      <c r="G1616" s="1">
        <f>IF(OR(Table4[[#This Row],[INSTALLMENT]]=3),3,0)</f>
        <v>0</v>
      </c>
    </row>
    <row r="1617" spans="1:7">
      <c r="A1617" s="1">
        <v>1975</v>
      </c>
      <c r="B1617" s="1" t="s">
        <v>3148</v>
      </c>
      <c r="C1617" s="1" t="s">
        <v>205</v>
      </c>
      <c r="D1617" s="1">
        <f>COUNTIFS('Raw Entries'!B:B,Table4[[#This Row],[Name]],'Raw Entries'!I:I,Table4[[#This Row],[BOOK No.]])</f>
        <v>0</v>
      </c>
      <c r="E1617" s="1">
        <f t="array" ref="E1617">IF(OR(Table4[[#This Row],[INSTALLMENT]]=1,Table4[[#This Row],[INSTALLMENT]]=2,Table4[[#This Row],[INSTALLMENT]]=3),1,0)</f>
        <v>0</v>
      </c>
      <c r="F1617" s="1">
        <f>IF(OR(Table4[[#This Row],[INSTALLMENT]]=2,Table4[[#This Row],[INSTALLMENT]]=3),2,0)</f>
        <v>0</v>
      </c>
      <c r="G1617" s="1">
        <f>IF(OR(Table4[[#This Row],[INSTALLMENT]]=3),3,0)</f>
        <v>0</v>
      </c>
    </row>
    <row r="1618" spans="1:7">
      <c r="A1618" s="1">
        <v>1976</v>
      </c>
      <c r="B1618" s="1" t="s">
        <v>3149</v>
      </c>
      <c r="C1618" s="1" t="s">
        <v>205</v>
      </c>
      <c r="D1618" s="1">
        <f>COUNTIFS('Raw Entries'!B:B,Table4[[#This Row],[Name]],'Raw Entries'!I:I,Table4[[#This Row],[BOOK No.]])</f>
        <v>0</v>
      </c>
      <c r="E1618" s="1">
        <f t="array" ref="E1618">IF(OR(Table4[[#This Row],[INSTALLMENT]]=1,Table4[[#This Row],[INSTALLMENT]]=2,Table4[[#This Row],[INSTALLMENT]]=3),1,0)</f>
        <v>0</v>
      </c>
      <c r="F1618" s="1">
        <f>IF(OR(Table4[[#This Row],[INSTALLMENT]]=2,Table4[[#This Row],[INSTALLMENT]]=3),2,0)</f>
        <v>0</v>
      </c>
      <c r="G1618" s="1">
        <f>IF(OR(Table4[[#This Row],[INSTALLMENT]]=3),3,0)</f>
        <v>0</v>
      </c>
    </row>
    <row r="1619" spans="1:7">
      <c r="A1619" s="1">
        <v>1977</v>
      </c>
      <c r="B1619" s="1" t="s">
        <v>3150</v>
      </c>
      <c r="C1619" s="1" t="s">
        <v>205</v>
      </c>
      <c r="D1619" s="1">
        <f>COUNTIFS('Raw Entries'!B:B,Table4[[#This Row],[Name]],'Raw Entries'!I:I,Table4[[#This Row],[BOOK No.]])</f>
        <v>0</v>
      </c>
      <c r="E1619" s="1">
        <f t="array" ref="E1619">IF(OR(Table4[[#This Row],[INSTALLMENT]]=1,Table4[[#This Row],[INSTALLMENT]]=2,Table4[[#This Row],[INSTALLMENT]]=3),1,0)</f>
        <v>0</v>
      </c>
      <c r="F1619" s="1">
        <f>IF(OR(Table4[[#This Row],[INSTALLMENT]]=2,Table4[[#This Row],[INSTALLMENT]]=3),2,0)</f>
        <v>0</v>
      </c>
      <c r="G1619" s="1">
        <f>IF(OR(Table4[[#This Row],[INSTALLMENT]]=3),3,0)</f>
        <v>0</v>
      </c>
    </row>
    <row r="1620" spans="1:7">
      <c r="A1620" s="1">
        <v>1978</v>
      </c>
      <c r="B1620" s="1" t="s">
        <v>3151</v>
      </c>
      <c r="C1620" s="1" t="s">
        <v>205</v>
      </c>
      <c r="D1620" s="1">
        <f>COUNTIFS('Raw Entries'!B:B,Table4[[#This Row],[Name]],'Raw Entries'!I:I,Table4[[#This Row],[BOOK No.]])</f>
        <v>0</v>
      </c>
      <c r="E1620" s="1">
        <f t="array" ref="E1620">IF(OR(Table4[[#This Row],[INSTALLMENT]]=1,Table4[[#This Row],[INSTALLMENT]]=2,Table4[[#This Row],[INSTALLMENT]]=3),1,0)</f>
        <v>0</v>
      </c>
      <c r="F1620" s="1">
        <f>IF(OR(Table4[[#This Row],[INSTALLMENT]]=2,Table4[[#This Row],[INSTALLMENT]]=3),2,0)</f>
        <v>0</v>
      </c>
      <c r="G1620" s="1">
        <f>IF(OR(Table4[[#This Row],[INSTALLMENT]]=3),3,0)</f>
        <v>0</v>
      </c>
    </row>
    <row r="1621" spans="1:7">
      <c r="A1621" s="1">
        <v>1979</v>
      </c>
      <c r="B1621" s="1" t="s">
        <v>3152</v>
      </c>
      <c r="C1621" s="1" t="s">
        <v>205</v>
      </c>
      <c r="D1621" s="1">
        <f>COUNTIFS('Raw Entries'!B:B,Table4[[#This Row],[Name]],'Raw Entries'!I:I,Table4[[#This Row],[BOOK No.]])</f>
        <v>0</v>
      </c>
      <c r="E1621" s="1">
        <f t="array" ref="E1621">IF(OR(Table4[[#This Row],[INSTALLMENT]]=1,Table4[[#This Row],[INSTALLMENT]]=2,Table4[[#This Row],[INSTALLMENT]]=3),1,0)</f>
        <v>0</v>
      </c>
      <c r="F1621" s="1">
        <f>IF(OR(Table4[[#This Row],[INSTALLMENT]]=2,Table4[[#This Row],[INSTALLMENT]]=3),2,0)</f>
        <v>0</v>
      </c>
      <c r="G1621" s="1">
        <f>IF(OR(Table4[[#This Row],[INSTALLMENT]]=3),3,0)</f>
        <v>0</v>
      </c>
    </row>
    <row r="1622" spans="1:7">
      <c r="A1622" s="1">
        <v>1980</v>
      </c>
      <c r="B1622" s="1" t="s">
        <v>3153</v>
      </c>
      <c r="C1622" s="1" t="s">
        <v>205</v>
      </c>
      <c r="D1622" s="1">
        <f>COUNTIFS('Raw Entries'!B:B,Table4[[#This Row],[Name]],'Raw Entries'!I:I,Table4[[#This Row],[BOOK No.]])</f>
        <v>0</v>
      </c>
      <c r="E1622" s="1">
        <f t="array" ref="E1622">IF(OR(Table4[[#This Row],[INSTALLMENT]]=1,Table4[[#This Row],[INSTALLMENT]]=2,Table4[[#This Row],[INSTALLMENT]]=3),1,0)</f>
        <v>0</v>
      </c>
      <c r="F1622" s="1">
        <f>IF(OR(Table4[[#This Row],[INSTALLMENT]]=2,Table4[[#This Row],[INSTALLMENT]]=3),2,0)</f>
        <v>0</v>
      </c>
      <c r="G1622" s="1">
        <f>IF(OR(Table4[[#This Row],[INSTALLMENT]]=3),3,0)</f>
        <v>0</v>
      </c>
    </row>
    <row r="1623" spans="1:7">
      <c r="A1623" s="1">
        <v>1981</v>
      </c>
      <c r="B1623" s="1" t="s">
        <v>3154</v>
      </c>
      <c r="C1623" s="1" t="s">
        <v>205</v>
      </c>
      <c r="D1623" s="1">
        <f>COUNTIFS('Raw Entries'!B:B,Table4[[#This Row],[Name]],'Raw Entries'!I:I,Table4[[#This Row],[BOOK No.]])</f>
        <v>0</v>
      </c>
      <c r="E1623" s="1">
        <f t="array" ref="E1623">IF(OR(Table4[[#This Row],[INSTALLMENT]]=1,Table4[[#This Row],[INSTALLMENT]]=2,Table4[[#This Row],[INSTALLMENT]]=3),1,0)</f>
        <v>0</v>
      </c>
      <c r="F1623" s="1">
        <f>IF(OR(Table4[[#This Row],[INSTALLMENT]]=2,Table4[[#This Row],[INSTALLMENT]]=3),2,0)</f>
        <v>0</v>
      </c>
      <c r="G1623" s="1">
        <f>IF(OR(Table4[[#This Row],[INSTALLMENT]]=3),3,0)</f>
        <v>0</v>
      </c>
    </row>
    <row r="1624" spans="1:7">
      <c r="A1624" s="1">
        <v>1982</v>
      </c>
      <c r="B1624" s="1" t="s">
        <v>3155</v>
      </c>
      <c r="C1624" s="1" t="s">
        <v>211</v>
      </c>
      <c r="D1624" s="1">
        <f>COUNTIFS('Raw Entries'!B:B,Table4[[#This Row],[Name]],'Raw Entries'!I:I,Table4[[#This Row],[BOOK No.]])</f>
        <v>0</v>
      </c>
      <c r="E1624" s="1">
        <f t="array" ref="E1624">IF(OR(Table4[[#This Row],[INSTALLMENT]]=1,Table4[[#This Row],[INSTALLMENT]]=2,Table4[[#This Row],[INSTALLMENT]]=3),1,0)</f>
        <v>0</v>
      </c>
      <c r="F1624" s="1">
        <f>IF(OR(Table4[[#This Row],[INSTALLMENT]]=2,Table4[[#This Row],[INSTALLMENT]]=3),2,0)</f>
        <v>0</v>
      </c>
      <c r="G1624" s="1">
        <f>IF(OR(Table4[[#This Row],[INSTALLMENT]]=3),3,0)</f>
        <v>0</v>
      </c>
    </row>
    <row r="1625" spans="1:7">
      <c r="A1625" s="1">
        <v>1983</v>
      </c>
      <c r="B1625" s="1" t="s">
        <v>3156</v>
      </c>
      <c r="C1625" s="1" t="s">
        <v>211</v>
      </c>
      <c r="D1625" s="1">
        <f>COUNTIFS('Raw Entries'!B:B,Table4[[#This Row],[Name]],'Raw Entries'!I:I,Table4[[#This Row],[BOOK No.]])</f>
        <v>0</v>
      </c>
      <c r="E1625" s="1">
        <f t="array" ref="E1625">IF(OR(Table4[[#This Row],[INSTALLMENT]]=1,Table4[[#This Row],[INSTALLMENT]]=2,Table4[[#This Row],[INSTALLMENT]]=3),1,0)</f>
        <v>0</v>
      </c>
      <c r="F1625" s="1">
        <f>IF(OR(Table4[[#This Row],[INSTALLMENT]]=2,Table4[[#This Row],[INSTALLMENT]]=3),2,0)</f>
        <v>0</v>
      </c>
      <c r="G1625" s="1">
        <f>IF(OR(Table4[[#This Row],[INSTALLMENT]]=3),3,0)</f>
        <v>0</v>
      </c>
    </row>
    <row r="1626" spans="1:7">
      <c r="A1626" s="1">
        <v>1984</v>
      </c>
      <c r="B1626" s="1" t="s">
        <v>3125</v>
      </c>
      <c r="C1626" s="1" t="s">
        <v>211</v>
      </c>
      <c r="D1626" s="1">
        <f>COUNTIFS('Raw Entries'!B:B,Table4[[#This Row],[Name]],'Raw Entries'!I:I,Table4[[#This Row],[BOOK No.]])</f>
        <v>0</v>
      </c>
      <c r="E1626" s="1">
        <f t="array" ref="E1626">IF(OR(Table4[[#This Row],[INSTALLMENT]]=1,Table4[[#This Row],[INSTALLMENT]]=2,Table4[[#This Row],[INSTALLMENT]]=3),1,0)</f>
        <v>0</v>
      </c>
      <c r="F1626" s="1">
        <f>IF(OR(Table4[[#This Row],[INSTALLMENT]]=2,Table4[[#This Row],[INSTALLMENT]]=3),2,0)</f>
        <v>0</v>
      </c>
      <c r="G1626" s="1">
        <f>IF(OR(Table4[[#This Row],[INSTALLMENT]]=3),3,0)</f>
        <v>0</v>
      </c>
    </row>
    <row r="1627" spans="1:7">
      <c r="A1627" s="1">
        <v>1985</v>
      </c>
      <c r="B1627" s="1" t="s">
        <v>3157</v>
      </c>
      <c r="C1627" s="1" t="s">
        <v>211</v>
      </c>
      <c r="D1627" s="1">
        <f>COUNTIFS('Raw Entries'!B:B,Table4[[#This Row],[Name]],'Raw Entries'!I:I,Table4[[#This Row],[BOOK No.]])</f>
        <v>0</v>
      </c>
      <c r="E1627" s="1">
        <f t="array" ref="E1627">IF(OR(Table4[[#This Row],[INSTALLMENT]]=1,Table4[[#This Row],[INSTALLMENT]]=2,Table4[[#This Row],[INSTALLMENT]]=3),1,0)</f>
        <v>0</v>
      </c>
      <c r="F1627" s="1">
        <f>IF(OR(Table4[[#This Row],[INSTALLMENT]]=2,Table4[[#This Row],[INSTALLMENT]]=3),2,0)</f>
        <v>0</v>
      </c>
      <c r="G1627" s="1">
        <f>IF(OR(Table4[[#This Row],[INSTALLMENT]]=3),3,0)</f>
        <v>0</v>
      </c>
    </row>
    <row r="1628" spans="1:7">
      <c r="A1628" s="1">
        <v>1986</v>
      </c>
      <c r="B1628" s="1" t="s">
        <v>3158</v>
      </c>
      <c r="C1628" s="1" t="s">
        <v>211</v>
      </c>
      <c r="D1628" s="1">
        <f>COUNTIFS('Raw Entries'!B:B,Table4[[#This Row],[Name]],'Raw Entries'!I:I,Table4[[#This Row],[BOOK No.]])</f>
        <v>0</v>
      </c>
      <c r="E1628" s="1">
        <f t="array" ref="E1628">IF(OR(Table4[[#This Row],[INSTALLMENT]]=1,Table4[[#This Row],[INSTALLMENT]]=2,Table4[[#This Row],[INSTALLMENT]]=3),1,0)</f>
        <v>0</v>
      </c>
      <c r="F1628" s="1">
        <f>IF(OR(Table4[[#This Row],[INSTALLMENT]]=2,Table4[[#This Row],[INSTALLMENT]]=3),2,0)</f>
        <v>0</v>
      </c>
      <c r="G1628" s="1">
        <f>IF(OR(Table4[[#This Row],[INSTALLMENT]]=3),3,0)</f>
        <v>0</v>
      </c>
    </row>
    <row r="1629" spans="1:7">
      <c r="A1629" s="1">
        <v>1987</v>
      </c>
      <c r="B1629" s="1" t="s">
        <v>3098</v>
      </c>
      <c r="C1629" s="1" t="s">
        <v>211</v>
      </c>
      <c r="D1629" s="1">
        <f>COUNTIFS('Raw Entries'!B:B,Table4[[#This Row],[Name]],'Raw Entries'!I:I,Table4[[#This Row],[BOOK No.]])</f>
        <v>0</v>
      </c>
      <c r="E1629" s="1">
        <f t="array" ref="E1629">IF(OR(Table4[[#This Row],[INSTALLMENT]]=1,Table4[[#This Row],[INSTALLMENT]]=2,Table4[[#This Row],[INSTALLMENT]]=3),1,0)</f>
        <v>0</v>
      </c>
      <c r="F1629" s="1">
        <f>IF(OR(Table4[[#This Row],[INSTALLMENT]]=2,Table4[[#This Row],[INSTALLMENT]]=3),2,0)</f>
        <v>0</v>
      </c>
      <c r="G1629" s="1">
        <f>IF(OR(Table4[[#This Row],[INSTALLMENT]]=3),3,0)</f>
        <v>0</v>
      </c>
    </row>
    <row r="1630" spans="1:7">
      <c r="A1630" s="1">
        <v>1988</v>
      </c>
      <c r="B1630" s="1" t="s">
        <v>3159</v>
      </c>
      <c r="C1630" s="1" t="s">
        <v>211</v>
      </c>
      <c r="D1630" s="1">
        <f>COUNTIFS('Raw Entries'!B:B,Table4[[#This Row],[Name]],'Raw Entries'!I:I,Table4[[#This Row],[BOOK No.]])</f>
        <v>0</v>
      </c>
      <c r="E1630" s="1">
        <f t="array" ref="E1630">IF(OR(Table4[[#This Row],[INSTALLMENT]]=1,Table4[[#This Row],[INSTALLMENT]]=2,Table4[[#This Row],[INSTALLMENT]]=3),1,0)</f>
        <v>0</v>
      </c>
      <c r="F1630" s="1">
        <f>IF(OR(Table4[[#This Row],[INSTALLMENT]]=2,Table4[[#This Row],[INSTALLMENT]]=3),2,0)</f>
        <v>0</v>
      </c>
      <c r="G1630" s="1">
        <f>IF(OR(Table4[[#This Row],[INSTALLMENT]]=3),3,0)</f>
        <v>0</v>
      </c>
    </row>
    <row r="1631" spans="1:7">
      <c r="A1631" s="1">
        <v>1989</v>
      </c>
      <c r="B1631" s="1" t="s">
        <v>3160</v>
      </c>
      <c r="C1631" s="1" t="s">
        <v>211</v>
      </c>
      <c r="D1631" s="1">
        <f>COUNTIFS('Raw Entries'!B:B,Table4[[#This Row],[Name]],'Raw Entries'!I:I,Table4[[#This Row],[BOOK No.]])</f>
        <v>0</v>
      </c>
      <c r="E1631" s="1">
        <f t="array" ref="E1631">IF(OR(Table4[[#This Row],[INSTALLMENT]]=1,Table4[[#This Row],[INSTALLMENT]]=2,Table4[[#This Row],[INSTALLMENT]]=3),1,0)</f>
        <v>0</v>
      </c>
      <c r="F1631" s="1">
        <f>IF(OR(Table4[[#This Row],[INSTALLMENT]]=2,Table4[[#This Row],[INSTALLMENT]]=3),2,0)</f>
        <v>0</v>
      </c>
      <c r="G1631" s="1">
        <f>IF(OR(Table4[[#This Row],[INSTALLMENT]]=3),3,0)</f>
        <v>0</v>
      </c>
    </row>
    <row r="1632" spans="1:7">
      <c r="A1632" s="1">
        <v>1990</v>
      </c>
      <c r="B1632" s="1" t="s">
        <v>3161</v>
      </c>
      <c r="C1632" s="1" t="s">
        <v>211</v>
      </c>
      <c r="D1632" s="1">
        <f>COUNTIFS('Raw Entries'!B:B,Table4[[#This Row],[Name]],'Raw Entries'!I:I,Table4[[#This Row],[BOOK No.]])</f>
        <v>0</v>
      </c>
      <c r="E1632" s="1">
        <f t="array" ref="E1632">IF(OR(Table4[[#This Row],[INSTALLMENT]]=1,Table4[[#This Row],[INSTALLMENT]]=2,Table4[[#This Row],[INSTALLMENT]]=3),1,0)</f>
        <v>0</v>
      </c>
      <c r="F1632" s="1">
        <f>IF(OR(Table4[[#This Row],[INSTALLMENT]]=2,Table4[[#This Row],[INSTALLMENT]]=3),2,0)</f>
        <v>0</v>
      </c>
      <c r="G1632" s="1">
        <f>IF(OR(Table4[[#This Row],[INSTALLMENT]]=3),3,0)</f>
        <v>0</v>
      </c>
    </row>
    <row r="1633" spans="1:7">
      <c r="A1633" s="1">
        <v>1991</v>
      </c>
      <c r="B1633" s="1" t="s">
        <v>220</v>
      </c>
      <c r="C1633" s="1" t="s">
        <v>211</v>
      </c>
      <c r="D1633" s="1">
        <f>COUNTIFS('Raw Entries'!B:B,Table4[[#This Row],[Name]],'Raw Entries'!I:I,Table4[[#This Row],[BOOK No.]])</f>
        <v>1</v>
      </c>
      <c r="E1633" s="1">
        <f t="array" ref="E1633">IF(OR(Table4[[#This Row],[INSTALLMENT]]=1,Table4[[#This Row],[INSTALLMENT]]=2,Table4[[#This Row],[INSTALLMENT]]=3),1,0)</f>
        <v>1</v>
      </c>
      <c r="F1633" s="1">
        <f>IF(OR(Table4[[#This Row],[INSTALLMENT]]=2,Table4[[#This Row],[INSTALLMENT]]=3),2,0)</f>
        <v>0</v>
      </c>
      <c r="G1633" s="1">
        <f>IF(OR(Table4[[#This Row],[INSTALLMENT]]=3),3,0)</f>
        <v>0</v>
      </c>
    </row>
    <row r="1634" spans="1:7">
      <c r="A1634" s="1">
        <v>1992</v>
      </c>
      <c r="B1634" s="1" t="s">
        <v>217</v>
      </c>
      <c r="C1634" s="1" t="s">
        <v>211</v>
      </c>
      <c r="D1634" s="1">
        <f>COUNTIFS('Raw Entries'!B:B,Table4[[#This Row],[Name]],'Raw Entries'!I:I,Table4[[#This Row],[BOOK No.]])</f>
        <v>1</v>
      </c>
      <c r="E1634" s="1">
        <f t="array" ref="E1634">IF(OR(Table4[[#This Row],[INSTALLMENT]]=1,Table4[[#This Row],[INSTALLMENT]]=2,Table4[[#This Row],[INSTALLMENT]]=3),1,0)</f>
        <v>1</v>
      </c>
      <c r="F1634" s="1">
        <f>IF(OR(Table4[[#This Row],[INSTALLMENT]]=2,Table4[[#This Row],[INSTALLMENT]]=3),2,0)</f>
        <v>0</v>
      </c>
      <c r="G1634" s="1">
        <f>IF(OR(Table4[[#This Row],[INSTALLMENT]]=3),3,0)</f>
        <v>0</v>
      </c>
    </row>
    <row r="1635" spans="1:7">
      <c r="A1635" s="1">
        <v>1993</v>
      </c>
      <c r="B1635" s="1" t="s">
        <v>3162</v>
      </c>
      <c r="C1635" s="1" t="s">
        <v>211</v>
      </c>
      <c r="D1635" s="1">
        <f>COUNTIFS('Raw Entries'!B:B,Table4[[#This Row],[Name]],'Raw Entries'!I:I,Table4[[#This Row],[BOOK No.]])</f>
        <v>0</v>
      </c>
      <c r="E1635" s="1">
        <f t="array" ref="E1635">IF(OR(Table4[[#This Row],[INSTALLMENT]]=1,Table4[[#This Row],[INSTALLMENT]]=2,Table4[[#This Row],[INSTALLMENT]]=3),1,0)</f>
        <v>0</v>
      </c>
      <c r="F1635" s="1">
        <f>IF(OR(Table4[[#This Row],[INSTALLMENT]]=2,Table4[[#This Row],[INSTALLMENT]]=3),2,0)</f>
        <v>0</v>
      </c>
      <c r="G1635" s="1">
        <f>IF(OR(Table4[[#This Row],[INSTALLMENT]]=3),3,0)</f>
        <v>0</v>
      </c>
    </row>
    <row r="1636" spans="1:7">
      <c r="A1636" s="1">
        <v>1994</v>
      </c>
      <c r="B1636" s="1" t="s">
        <v>3163</v>
      </c>
      <c r="C1636" s="1" t="s">
        <v>211</v>
      </c>
      <c r="D1636" s="1">
        <f>COUNTIFS('Raw Entries'!B:B,Table4[[#This Row],[Name]],'Raw Entries'!I:I,Table4[[#This Row],[BOOK No.]])</f>
        <v>0</v>
      </c>
      <c r="E1636" s="1">
        <f t="array" ref="E1636">IF(OR(Table4[[#This Row],[INSTALLMENT]]=1,Table4[[#This Row],[INSTALLMENT]]=2,Table4[[#This Row],[INSTALLMENT]]=3),1,0)</f>
        <v>0</v>
      </c>
      <c r="F1636" s="1">
        <f>IF(OR(Table4[[#This Row],[INSTALLMENT]]=2,Table4[[#This Row],[INSTALLMENT]]=3),2,0)</f>
        <v>0</v>
      </c>
      <c r="G1636" s="1">
        <f>IF(OR(Table4[[#This Row],[INSTALLMENT]]=3),3,0)</f>
        <v>0</v>
      </c>
    </row>
    <row r="1637" spans="1:7">
      <c r="A1637" s="1">
        <v>1995</v>
      </c>
      <c r="B1637" s="1" t="s">
        <v>216</v>
      </c>
      <c r="C1637" s="1" t="s">
        <v>211</v>
      </c>
      <c r="D1637" s="1">
        <f>COUNTIFS('Raw Entries'!B:B,Table4[[#This Row],[Name]],'Raw Entries'!I:I,Table4[[#This Row],[BOOK No.]])</f>
        <v>1</v>
      </c>
      <c r="E1637" s="1">
        <f t="array" ref="E1637">IF(OR(Table4[[#This Row],[INSTALLMENT]]=1,Table4[[#This Row],[INSTALLMENT]]=2,Table4[[#This Row],[INSTALLMENT]]=3),1,0)</f>
        <v>1</v>
      </c>
      <c r="F1637" s="1">
        <f>IF(OR(Table4[[#This Row],[INSTALLMENT]]=2,Table4[[#This Row],[INSTALLMENT]]=3),2,0)</f>
        <v>0</v>
      </c>
      <c r="G1637" s="1">
        <f>IF(OR(Table4[[#This Row],[INSTALLMENT]]=3),3,0)</f>
        <v>0</v>
      </c>
    </row>
    <row r="1638" spans="1:7">
      <c r="A1638" s="1">
        <v>1996</v>
      </c>
      <c r="B1638" s="1" t="s">
        <v>3164</v>
      </c>
      <c r="C1638" s="1" t="s">
        <v>211</v>
      </c>
      <c r="D1638" s="1">
        <f>COUNTIFS('Raw Entries'!B:B,Table4[[#This Row],[Name]],'Raw Entries'!I:I,Table4[[#This Row],[BOOK No.]])</f>
        <v>0</v>
      </c>
      <c r="E1638" s="1">
        <f t="array" ref="E1638">IF(OR(Table4[[#This Row],[INSTALLMENT]]=1,Table4[[#This Row],[INSTALLMENT]]=2,Table4[[#This Row],[INSTALLMENT]]=3),1,0)</f>
        <v>0</v>
      </c>
      <c r="F1638" s="1">
        <f>IF(OR(Table4[[#This Row],[INSTALLMENT]]=2,Table4[[#This Row],[INSTALLMENT]]=3),2,0)</f>
        <v>0</v>
      </c>
      <c r="G1638" s="1">
        <f>IF(OR(Table4[[#This Row],[INSTALLMENT]]=3),3,0)</f>
        <v>0</v>
      </c>
    </row>
    <row r="1639" spans="1:7">
      <c r="A1639" s="1">
        <v>1997</v>
      </c>
      <c r="B1639" s="1" t="s">
        <v>619</v>
      </c>
      <c r="C1639" s="1" t="s">
        <v>211</v>
      </c>
      <c r="D1639" s="1">
        <f>COUNTIFS('Raw Entries'!B:B,Table4[[#This Row],[Name]],'Raw Entries'!I:I,Table4[[#This Row],[BOOK No.]])</f>
        <v>3</v>
      </c>
      <c r="E1639" s="1">
        <f t="array" ref="E1639">IF(OR(Table4[[#This Row],[INSTALLMENT]]=1,Table4[[#This Row],[INSTALLMENT]]=2,Table4[[#This Row],[INSTALLMENT]]=3),1,0)</f>
        <v>1</v>
      </c>
      <c r="F1639" s="1">
        <f>IF(OR(Table4[[#This Row],[INSTALLMENT]]=2,Table4[[#This Row],[INSTALLMENT]]=3),2,0)</f>
        <v>2</v>
      </c>
      <c r="G1639" s="1">
        <f>IF(OR(Table4[[#This Row],[INSTALLMENT]]=3),3,0)</f>
        <v>3</v>
      </c>
    </row>
    <row r="1640" spans="1:7">
      <c r="A1640" s="1">
        <v>1998</v>
      </c>
      <c r="B1640" s="1" t="s">
        <v>3165</v>
      </c>
      <c r="C1640" s="1" t="s">
        <v>211</v>
      </c>
      <c r="D1640" s="1">
        <f>COUNTIFS('Raw Entries'!B:B,Table4[[#This Row],[Name]],'Raw Entries'!I:I,Table4[[#This Row],[BOOK No.]])</f>
        <v>0</v>
      </c>
      <c r="E1640" s="1">
        <f t="array" ref="E1640">IF(OR(Table4[[#This Row],[INSTALLMENT]]=1,Table4[[#This Row],[INSTALLMENT]]=2,Table4[[#This Row],[INSTALLMENT]]=3),1,0)</f>
        <v>0</v>
      </c>
      <c r="F1640" s="1">
        <f>IF(OR(Table4[[#This Row],[INSTALLMENT]]=2,Table4[[#This Row],[INSTALLMENT]]=3),2,0)</f>
        <v>0</v>
      </c>
      <c r="G1640" s="1">
        <f>IF(OR(Table4[[#This Row],[INSTALLMENT]]=3),3,0)</f>
        <v>0</v>
      </c>
    </row>
    <row r="1641" spans="1:7">
      <c r="A1641" s="1">
        <v>1999</v>
      </c>
      <c r="B1641" s="1" t="s">
        <v>3166</v>
      </c>
      <c r="C1641" s="1" t="s">
        <v>211</v>
      </c>
      <c r="D1641" s="1">
        <f>COUNTIFS('Raw Entries'!B:B,Table4[[#This Row],[Name]],'Raw Entries'!I:I,Table4[[#This Row],[BOOK No.]])</f>
        <v>0</v>
      </c>
      <c r="E1641" s="1">
        <f t="array" ref="E1641">IF(OR(Table4[[#This Row],[INSTALLMENT]]=1,Table4[[#This Row],[INSTALLMENT]]=2,Table4[[#This Row],[INSTALLMENT]]=3),1,0)</f>
        <v>0</v>
      </c>
      <c r="F1641" s="1">
        <f>IF(OR(Table4[[#This Row],[INSTALLMENT]]=2,Table4[[#This Row],[INSTALLMENT]]=3),2,0)</f>
        <v>0</v>
      </c>
      <c r="G1641" s="1">
        <f>IF(OR(Table4[[#This Row],[INSTALLMENT]]=3),3,0)</f>
        <v>0</v>
      </c>
    </row>
    <row r="1642" spans="1:7">
      <c r="A1642" s="1">
        <v>2000</v>
      </c>
      <c r="B1642" s="1" t="s">
        <v>3167</v>
      </c>
      <c r="C1642" s="1" t="s">
        <v>211</v>
      </c>
      <c r="D1642" s="1">
        <f>COUNTIFS('Raw Entries'!B:B,Table4[[#This Row],[Name]],'Raw Entries'!I:I,Table4[[#This Row],[BOOK No.]])</f>
        <v>0</v>
      </c>
      <c r="E1642" s="1">
        <f t="array" ref="E1642">IF(OR(Table4[[#This Row],[INSTALLMENT]]=1,Table4[[#This Row],[INSTALLMENT]]=2,Table4[[#This Row],[INSTALLMENT]]=3),1,0)</f>
        <v>0</v>
      </c>
      <c r="F1642" s="1">
        <f>IF(OR(Table4[[#This Row],[INSTALLMENT]]=2,Table4[[#This Row],[INSTALLMENT]]=3),2,0)</f>
        <v>0</v>
      </c>
      <c r="G1642" s="1">
        <f>IF(OR(Table4[[#This Row],[INSTALLMENT]]=3),3,0)</f>
        <v>0</v>
      </c>
    </row>
    <row r="1643" spans="1:7">
      <c r="A1643" s="1">
        <v>2001</v>
      </c>
      <c r="B1643" s="1" t="s">
        <v>214</v>
      </c>
      <c r="C1643" s="1" t="s">
        <v>211</v>
      </c>
      <c r="D1643" s="1">
        <f>COUNTIFS('Raw Entries'!B:B,Table4[[#This Row],[Name]],'Raw Entries'!I:I,Table4[[#This Row],[BOOK No.]])</f>
        <v>2</v>
      </c>
      <c r="E1643" s="1">
        <f t="array" ref="E1643">IF(OR(Table4[[#This Row],[INSTALLMENT]]=1,Table4[[#This Row],[INSTALLMENT]]=2,Table4[[#This Row],[INSTALLMENT]]=3),1,0)</f>
        <v>1</v>
      </c>
      <c r="F1643" s="1">
        <f>IF(OR(Table4[[#This Row],[INSTALLMENT]]=2,Table4[[#This Row],[INSTALLMENT]]=3),2,0)</f>
        <v>2</v>
      </c>
      <c r="G1643" s="1">
        <f>IF(OR(Table4[[#This Row],[INSTALLMENT]]=3),3,0)</f>
        <v>0</v>
      </c>
    </row>
    <row r="1644" spans="1:7">
      <c r="A1644" s="1">
        <v>2002</v>
      </c>
      <c r="B1644" s="1" t="s">
        <v>213</v>
      </c>
      <c r="C1644" s="1" t="s">
        <v>211</v>
      </c>
      <c r="D1644" s="1">
        <f>COUNTIFS('Raw Entries'!B:B,Table4[[#This Row],[Name]],'Raw Entries'!I:I,Table4[[#This Row],[BOOK No.]])</f>
        <v>1</v>
      </c>
      <c r="E1644" s="1">
        <f t="array" ref="E1644">IF(OR(Table4[[#This Row],[INSTALLMENT]]=1,Table4[[#This Row],[INSTALLMENT]]=2,Table4[[#This Row],[INSTALLMENT]]=3),1,0)</f>
        <v>1</v>
      </c>
      <c r="F1644" s="1">
        <f>IF(OR(Table4[[#This Row],[INSTALLMENT]]=2,Table4[[#This Row],[INSTALLMENT]]=3),2,0)</f>
        <v>0</v>
      </c>
      <c r="G1644" s="1">
        <f>IF(OR(Table4[[#This Row],[INSTALLMENT]]=3),3,0)</f>
        <v>0</v>
      </c>
    </row>
    <row r="1645" spans="1:7">
      <c r="A1645" s="1">
        <v>2003</v>
      </c>
      <c r="B1645" s="1" t="s">
        <v>3168</v>
      </c>
      <c r="C1645" s="1" t="s">
        <v>211</v>
      </c>
      <c r="D1645" s="1">
        <f>COUNTIFS('Raw Entries'!B:B,Table4[[#This Row],[Name]],'Raw Entries'!I:I,Table4[[#This Row],[BOOK No.]])</f>
        <v>0</v>
      </c>
      <c r="E1645" s="1">
        <f t="array" ref="E1645">IF(OR(Table4[[#This Row],[INSTALLMENT]]=1,Table4[[#This Row],[INSTALLMENT]]=2,Table4[[#This Row],[INSTALLMENT]]=3),1,0)</f>
        <v>0</v>
      </c>
      <c r="F1645" s="1">
        <f>IF(OR(Table4[[#This Row],[INSTALLMENT]]=2,Table4[[#This Row],[INSTALLMENT]]=3),2,0)</f>
        <v>0</v>
      </c>
      <c r="G1645" s="1">
        <f>IF(OR(Table4[[#This Row],[INSTALLMENT]]=3),3,0)</f>
        <v>0</v>
      </c>
    </row>
    <row r="1646" spans="1:7">
      <c r="A1646" s="1">
        <v>2004</v>
      </c>
      <c r="B1646" s="1" t="s">
        <v>3169</v>
      </c>
      <c r="C1646" s="1" t="s">
        <v>211</v>
      </c>
      <c r="D1646" s="1">
        <f>COUNTIFS('Raw Entries'!B:B,Table4[[#This Row],[Name]],'Raw Entries'!I:I,Table4[[#This Row],[BOOK No.]])</f>
        <v>0</v>
      </c>
      <c r="E1646" s="1">
        <f t="array" ref="E1646">IF(OR(Table4[[#This Row],[INSTALLMENT]]=1,Table4[[#This Row],[INSTALLMENT]]=2,Table4[[#This Row],[INSTALLMENT]]=3),1,0)</f>
        <v>0</v>
      </c>
      <c r="F1646" s="1">
        <f>IF(OR(Table4[[#This Row],[INSTALLMENT]]=2,Table4[[#This Row],[INSTALLMENT]]=3),2,0)</f>
        <v>0</v>
      </c>
      <c r="G1646" s="1">
        <f>IF(OR(Table4[[#This Row],[INSTALLMENT]]=3),3,0)</f>
        <v>0</v>
      </c>
    </row>
    <row r="1647" spans="1:7">
      <c r="A1647" s="1">
        <v>2005</v>
      </c>
      <c r="B1647" s="1" t="s">
        <v>219</v>
      </c>
      <c r="C1647" s="1" t="s">
        <v>211</v>
      </c>
      <c r="D1647" s="1">
        <f>COUNTIFS('Raw Entries'!B:B,Table4[[#This Row],[Name]],'Raw Entries'!I:I,Table4[[#This Row],[BOOK No.]])</f>
        <v>3</v>
      </c>
      <c r="E1647" s="1">
        <f t="array" ref="E1647">IF(OR(Table4[[#This Row],[INSTALLMENT]]=1,Table4[[#This Row],[INSTALLMENT]]=2,Table4[[#This Row],[INSTALLMENT]]=3),1,0)</f>
        <v>1</v>
      </c>
      <c r="F1647" s="1">
        <f>IF(OR(Table4[[#This Row],[INSTALLMENT]]=2,Table4[[#This Row],[INSTALLMENT]]=3),2,0)</f>
        <v>2</v>
      </c>
      <c r="G1647" s="1">
        <f>IF(OR(Table4[[#This Row],[INSTALLMENT]]=3),3,0)</f>
        <v>3</v>
      </c>
    </row>
    <row r="1648" spans="1:7">
      <c r="A1648" s="1">
        <v>2006</v>
      </c>
      <c r="B1648" s="1" t="s">
        <v>3954</v>
      </c>
      <c r="C1648" s="1" t="s">
        <v>211</v>
      </c>
      <c r="D1648" s="1">
        <f>COUNTIFS('Raw Entries'!B:B,Table4[[#This Row],[Name]],'Raw Entries'!I:I,Table4[[#This Row],[BOOK No.]])</f>
        <v>0</v>
      </c>
      <c r="E1648" s="1">
        <f t="array" ref="E1648">IF(OR(Table4[[#This Row],[INSTALLMENT]]=1,Table4[[#This Row],[INSTALLMENT]]=2,Table4[[#This Row],[INSTALLMENT]]=3),1,0)</f>
        <v>0</v>
      </c>
      <c r="F1648" s="1">
        <f>IF(OR(Table4[[#This Row],[INSTALLMENT]]=2,Table4[[#This Row],[INSTALLMENT]]=3),2,0)</f>
        <v>0</v>
      </c>
      <c r="G1648" s="1">
        <f>IF(OR(Table4[[#This Row],[INSTALLMENT]]=3),3,0)</f>
        <v>0</v>
      </c>
    </row>
    <row r="1649" spans="1:7">
      <c r="A1649" s="1">
        <v>2007</v>
      </c>
      <c r="B1649" s="1" t="s">
        <v>215</v>
      </c>
      <c r="C1649" s="1" t="s">
        <v>211</v>
      </c>
      <c r="D1649" s="1">
        <f>COUNTIFS('Raw Entries'!B:B,Table4[[#This Row],[Name]],'Raw Entries'!I:I,Table4[[#This Row],[BOOK No.]])</f>
        <v>3</v>
      </c>
      <c r="E1649" s="1">
        <f t="array" ref="E1649">IF(OR(Table4[[#This Row],[INSTALLMENT]]=1,Table4[[#This Row],[INSTALLMENT]]=2,Table4[[#This Row],[INSTALLMENT]]=3),1,0)</f>
        <v>1</v>
      </c>
      <c r="F1649" s="1">
        <f>IF(OR(Table4[[#This Row],[INSTALLMENT]]=2,Table4[[#This Row],[INSTALLMENT]]=3),2,0)</f>
        <v>2</v>
      </c>
      <c r="G1649" s="1">
        <f>IF(OR(Table4[[#This Row],[INSTALLMENT]]=3),3,0)</f>
        <v>3</v>
      </c>
    </row>
    <row r="1650" spans="1:7">
      <c r="A1650" s="1">
        <v>2008</v>
      </c>
      <c r="B1650" s="1" t="s">
        <v>3170</v>
      </c>
      <c r="C1650" s="1" t="s">
        <v>211</v>
      </c>
      <c r="D1650" s="1">
        <f>COUNTIFS('Raw Entries'!B:B,Table4[[#This Row],[Name]],'Raw Entries'!I:I,Table4[[#This Row],[BOOK No.]])</f>
        <v>0</v>
      </c>
      <c r="E1650" s="1">
        <f t="array" ref="E1650">IF(OR(Table4[[#This Row],[INSTALLMENT]]=1,Table4[[#This Row],[INSTALLMENT]]=2,Table4[[#This Row],[INSTALLMENT]]=3),1,0)</f>
        <v>0</v>
      </c>
      <c r="F1650" s="1">
        <f>IF(OR(Table4[[#This Row],[INSTALLMENT]]=2,Table4[[#This Row],[INSTALLMENT]]=3),2,0)</f>
        <v>0</v>
      </c>
      <c r="G1650" s="1">
        <f>IF(OR(Table4[[#This Row],[INSTALLMENT]]=3),3,0)</f>
        <v>0</v>
      </c>
    </row>
    <row r="1651" spans="1:7">
      <c r="A1651" s="1">
        <v>2009</v>
      </c>
      <c r="B1651" s="1" t="s">
        <v>3171</v>
      </c>
      <c r="C1651" s="1" t="s">
        <v>211</v>
      </c>
      <c r="D1651" s="1">
        <f>COUNTIFS('Raw Entries'!B:B,Table4[[#This Row],[Name]],'Raw Entries'!I:I,Table4[[#This Row],[BOOK No.]])</f>
        <v>0</v>
      </c>
      <c r="E1651" s="1">
        <f t="array" ref="E1651">IF(OR(Table4[[#This Row],[INSTALLMENT]]=1,Table4[[#This Row],[INSTALLMENT]]=2,Table4[[#This Row],[INSTALLMENT]]=3),1,0)</f>
        <v>0</v>
      </c>
      <c r="F1651" s="1">
        <f>IF(OR(Table4[[#This Row],[INSTALLMENT]]=2,Table4[[#This Row],[INSTALLMENT]]=3),2,0)</f>
        <v>0</v>
      </c>
      <c r="G1651" s="1">
        <f>IF(OR(Table4[[#This Row],[INSTALLMENT]]=3),3,0)</f>
        <v>0</v>
      </c>
    </row>
    <row r="1652" spans="1:7">
      <c r="A1652" s="1">
        <v>2010</v>
      </c>
      <c r="B1652" s="1" t="s">
        <v>3172</v>
      </c>
      <c r="C1652" s="1" t="s">
        <v>211</v>
      </c>
      <c r="D1652" s="1">
        <f>COUNTIFS('Raw Entries'!B:B,Table4[[#This Row],[Name]],'Raw Entries'!I:I,Table4[[#This Row],[BOOK No.]])</f>
        <v>0</v>
      </c>
      <c r="E1652" s="1">
        <f t="array" ref="E1652">IF(OR(Table4[[#This Row],[INSTALLMENT]]=1,Table4[[#This Row],[INSTALLMENT]]=2,Table4[[#This Row],[INSTALLMENT]]=3),1,0)</f>
        <v>0</v>
      </c>
      <c r="F1652" s="1">
        <f>IF(OR(Table4[[#This Row],[INSTALLMENT]]=2,Table4[[#This Row],[INSTALLMENT]]=3),2,0)</f>
        <v>0</v>
      </c>
      <c r="G1652" s="1">
        <f>IF(OR(Table4[[#This Row],[INSTALLMENT]]=3),3,0)</f>
        <v>0</v>
      </c>
    </row>
    <row r="1653" spans="1:7">
      <c r="A1653" s="1">
        <v>2011</v>
      </c>
      <c r="B1653" s="1" t="s">
        <v>212</v>
      </c>
      <c r="C1653" s="1" t="s">
        <v>211</v>
      </c>
      <c r="D1653" s="1">
        <f>COUNTIFS('Raw Entries'!B:B,Table4[[#This Row],[Name]],'Raw Entries'!I:I,Table4[[#This Row],[BOOK No.]])</f>
        <v>3</v>
      </c>
      <c r="E1653" s="1">
        <f t="array" ref="E1653">IF(OR(Table4[[#This Row],[INSTALLMENT]]=1,Table4[[#This Row],[INSTALLMENT]]=2,Table4[[#This Row],[INSTALLMENT]]=3),1,0)</f>
        <v>1</v>
      </c>
      <c r="F1653" s="1">
        <f>IF(OR(Table4[[#This Row],[INSTALLMENT]]=2,Table4[[#This Row],[INSTALLMENT]]=3),2,0)</f>
        <v>2</v>
      </c>
      <c r="G1653" s="1">
        <f>IF(OR(Table4[[#This Row],[INSTALLMENT]]=3),3,0)</f>
        <v>3</v>
      </c>
    </row>
    <row r="1654" spans="1:7">
      <c r="A1654" s="1">
        <v>2012</v>
      </c>
      <c r="B1654" s="1" t="s">
        <v>199</v>
      </c>
      <c r="C1654" s="1" t="s">
        <v>211</v>
      </c>
      <c r="D1654" s="1">
        <f>COUNTIFS('Raw Entries'!B:B,Table4[[#This Row],[Name]],'Raw Entries'!I:I,Table4[[#This Row],[BOOK No.]])</f>
        <v>1</v>
      </c>
      <c r="E1654" s="1">
        <f t="array" ref="E1654">IF(OR(Table4[[#This Row],[INSTALLMENT]]=1,Table4[[#This Row],[INSTALLMENT]]=2,Table4[[#This Row],[INSTALLMENT]]=3),1,0)</f>
        <v>1</v>
      </c>
      <c r="F1654" s="1">
        <f>IF(OR(Table4[[#This Row],[INSTALLMENT]]=2,Table4[[#This Row],[INSTALLMENT]]=3),2,0)</f>
        <v>0</v>
      </c>
      <c r="G1654" s="1">
        <f>IF(OR(Table4[[#This Row],[INSTALLMENT]]=3),3,0)</f>
        <v>0</v>
      </c>
    </row>
    <row r="1655" spans="1:7">
      <c r="A1655" s="1">
        <v>2013</v>
      </c>
      <c r="B1655" s="1" t="s">
        <v>218</v>
      </c>
      <c r="C1655" s="1" t="s">
        <v>211</v>
      </c>
      <c r="D1655" s="1">
        <f>COUNTIFS('Raw Entries'!B:B,Table4[[#This Row],[Name]],'Raw Entries'!I:I,Table4[[#This Row],[BOOK No.]])</f>
        <v>2</v>
      </c>
      <c r="E1655" s="1">
        <f t="array" ref="E1655">IF(OR(Table4[[#This Row],[INSTALLMENT]]=1,Table4[[#This Row],[INSTALLMENT]]=2,Table4[[#This Row],[INSTALLMENT]]=3),1,0)</f>
        <v>1</v>
      </c>
      <c r="F1655" s="1">
        <f>IF(OR(Table4[[#This Row],[INSTALLMENT]]=2,Table4[[#This Row],[INSTALLMENT]]=3),2,0)</f>
        <v>2</v>
      </c>
      <c r="G1655" s="1">
        <f>IF(OR(Table4[[#This Row],[INSTALLMENT]]=3),3,0)</f>
        <v>0</v>
      </c>
    </row>
    <row r="1656" spans="1:7">
      <c r="A1656" s="1">
        <v>2014</v>
      </c>
      <c r="B1656" s="1" t="s">
        <v>3173</v>
      </c>
      <c r="C1656" s="1" t="s">
        <v>211</v>
      </c>
      <c r="D1656" s="1">
        <f>COUNTIFS('Raw Entries'!B:B,Table4[[#This Row],[Name]],'Raw Entries'!I:I,Table4[[#This Row],[BOOK No.]])</f>
        <v>0</v>
      </c>
      <c r="E1656" s="1">
        <f t="array" ref="E1656">IF(OR(Table4[[#This Row],[INSTALLMENT]]=1,Table4[[#This Row],[INSTALLMENT]]=2,Table4[[#This Row],[INSTALLMENT]]=3),1,0)</f>
        <v>0</v>
      </c>
      <c r="F1656" s="1">
        <f>IF(OR(Table4[[#This Row],[INSTALLMENT]]=2,Table4[[#This Row],[INSTALLMENT]]=3),2,0)</f>
        <v>0</v>
      </c>
      <c r="G1656" s="1">
        <f>IF(OR(Table4[[#This Row],[INSTALLMENT]]=3),3,0)</f>
        <v>0</v>
      </c>
    </row>
    <row r="1657" spans="1:7">
      <c r="A1657" s="1">
        <v>2015</v>
      </c>
      <c r="B1657" s="1" t="s">
        <v>3174</v>
      </c>
      <c r="C1657" s="1" t="s">
        <v>211</v>
      </c>
      <c r="D1657" s="1">
        <f>COUNTIFS('Raw Entries'!B:B,Table4[[#This Row],[Name]],'Raw Entries'!I:I,Table4[[#This Row],[BOOK No.]])</f>
        <v>0</v>
      </c>
      <c r="E1657" s="1">
        <f t="array" ref="E1657">IF(OR(Table4[[#This Row],[INSTALLMENT]]=1,Table4[[#This Row],[INSTALLMENT]]=2,Table4[[#This Row],[INSTALLMENT]]=3),1,0)</f>
        <v>0</v>
      </c>
      <c r="F1657" s="1">
        <f>IF(OR(Table4[[#This Row],[INSTALLMENT]]=2,Table4[[#This Row],[INSTALLMENT]]=3),2,0)</f>
        <v>0</v>
      </c>
      <c r="G1657" s="1">
        <f>IF(OR(Table4[[#This Row],[INSTALLMENT]]=3),3,0)</f>
        <v>0</v>
      </c>
    </row>
    <row r="1658" spans="1:7">
      <c r="A1658" s="1">
        <v>2016</v>
      </c>
      <c r="B1658" s="1" t="s">
        <v>3175</v>
      </c>
      <c r="C1658" s="1" t="s">
        <v>211</v>
      </c>
      <c r="D1658" s="1">
        <f>COUNTIFS('Raw Entries'!B:B,Table4[[#This Row],[Name]],'Raw Entries'!I:I,Table4[[#This Row],[BOOK No.]])</f>
        <v>0</v>
      </c>
      <c r="E1658" s="1">
        <f t="array" ref="E1658">IF(OR(Table4[[#This Row],[INSTALLMENT]]=1,Table4[[#This Row],[INSTALLMENT]]=2,Table4[[#This Row],[INSTALLMENT]]=3),1,0)</f>
        <v>0</v>
      </c>
      <c r="F1658" s="1">
        <f>IF(OR(Table4[[#This Row],[INSTALLMENT]]=2,Table4[[#This Row],[INSTALLMENT]]=3),2,0)</f>
        <v>0</v>
      </c>
      <c r="G1658" s="1">
        <f>IF(OR(Table4[[#This Row],[INSTALLMENT]]=3),3,0)</f>
        <v>0</v>
      </c>
    </row>
    <row r="1659" spans="1:7">
      <c r="A1659" s="1">
        <v>2017</v>
      </c>
      <c r="B1659" s="1" t="s">
        <v>3176</v>
      </c>
      <c r="C1659" s="1" t="s">
        <v>211</v>
      </c>
      <c r="D1659" s="1">
        <f>COUNTIFS('Raw Entries'!B:B,Table4[[#This Row],[Name]],'Raw Entries'!I:I,Table4[[#This Row],[BOOK No.]])</f>
        <v>0</v>
      </c>
      <c r="E1659" s="1">
        <f t="array" ref="E1659">IF(OR(Table4[[#This Row],[INSTALLMENT]]=1,Table4[[#This Row],[INSTALLMENT]]=2,Table4[[#This Row],[INSTALLMENT]]=3),1,0)</f>
        <v>0</v>
      </c>
      <c r="F1659" s="1">
        <f>IF(OR(Table4[[#This Row],[INSTALLMENT]]=2,Table4[[#This Row],[INSTALLMENT]]=3),2,0)</f>
        <v>0</v>
      </c>
      <c r="G1659" s="1">
        <f>IF(OR(Table4[[#This Row],[INSTALLMENT]]=3),3,0)</f>
        <v>0</v>
      </c>
    </row>
    <row r="1660" spans="1:7">
      <c r="A1660" s="1">
        <v>2018</v>
      </c>
      <c r="B1660" s="1" t="s">
        <v>3177</v>
      </c>
      <c r="C1660" s="1" t="s">
        <v>211</v>
      </c>
      <c r="D1660" s="1">
        <f>COUNTIFS('Raw Entries'!B:B,Table4[[#This Row],[Name]],'Raw Entries'!I:I,Table4[[#This Row],[BOOK No.]])</f>
        <v>0</v>
      </c>
      <c r="E1660" s="1">
        <f t="array" ref="E1660">IF(OR(Table4[[#This Row],[INSTALLMENT]]=1,Table4[[#This Row],[INSTALLMENT]]=2,Table4[[#This Row],[INSTALLMENT]]=3),1,0)</f>
        <v>0</v>
      </c>
      <c r="F1660" s="1">
        <f>IF(OR(Table4[[#This Row],[INSTALLMENT]]=2,Table4[[#This Row],[INSTALLMENT]]=3),2,0)</f>
        <v>0</v>
      </c>
      <c r="G1660" s="1">
        <f>IF(OR(Table4[[#This Row],[INSTALLMENT]]=3),3,0)</f>
        <v>0</v>
      </c>
    </row>
    <row r="1661" spans="1:7">
      <c r="A1661" s="1">
        <v>2019</v>
      </c>
      <c r="B1661" s="1" t="s">
        <v>3178</v>
      </c>
      <c r="C1661" s="1" t="s">
        <v>221</v>
      </c>
      <c r="D1661" s="1">
        <f>COUNTIFS('Raw Entries'!B:B,Table4[[#This Row],[Name]],'Raw Entries'!I:I,Table4[[#This Row],[BOOK No.]])</f>
        <v>0</v>
      </c>
      <c r="E1661" s="1">
        <f t="array" ref="E1661">IF(OR(Table4[[#This Row],[INSTALLMENT]]=1,Table4[[#This Row],[INSTALLMENT]]=2,Table4[[#This Row],[INSTALLMENT]]=3),1,0)</f>
        <v>0</v>
      </c>
      <c r="F1661" s="1">
        <f>IF(OR(Table4[[#This Row],[INSTALLMENT]]=2,Table4[[#This Row],[INSTALLMENT]]=3),2,0)</f>
        <v>0</v>
      </c>
      <c r="G1661" s="1">
        <f>IF(OR(Table4[[#This Row],[INSTALLMENT]]=3),3,0)</f>
        <v>0</v>
      </c>
    </row>
    <row r="1662" spans="1:7">
      <c r="A1662" s="1">
        <v>2020</v>
      </c>
      <c r="B1662" s="1" t="s">
        <v>3179</v>
      </c>
      <c r="C1662" s="1" t="s">
        <v>221</v>
      </c>
      <c r="D1662" s="1">
        <f>COUNTIFS('Raw Entries'!B:B,Table4[[#This Row],[Name]],'Raw Entries'!I:I,Table4[[#This Row],[BOOK No.]])</f>
        <v>0</v>
      </c>
      <c r="E1662" s="1">
        <f t="array" ref="E1662">IF(OR(Table4[[#This Row],[INSTALLMENT]]=1,Table4[[#This Row],[INSTALLMENT]]=2,Table4[[#This Row],[INSTALLMENT]]=3),1,0)</f>
        <v>0</v>
      </c>
      <c r="F1662" s="1">
        <f>IF(OR(Table4[[#This Row],[INSTALLMENT]]=2,Table4[[#This Row],[INSTALLMENT]]=3),2,0)</f>
        <v>0</v>
      </c>
      <c r="G1662" s="1">
        <f>IF(OR(Table4[[#This Row],[INSTALLMENT]]=3),3,0)</f>
        <v>0</v>
      </c>
    </row>
    <row r="1663" spans="1:7">
      <c r="A1663" s="1">
        <v>2021</v>
      </c>
      <c r="B1663" s="1" t="s">
        <v>3180</v>
      </c>
      <c r="C1663" s="1" t="s">
        <v>221</v>
      </c>
      <c r="D1663" s="1">
        <f>COUNTIFS('Raw Entries'!B:B,Table4[[#This Row],[Name]],'Raw Entries'!I:I,Table4[[#This Row],[BOOK No.]])</f>
        <v>0</v>
      </c>
      <c r="E1663" s="1">
        <f t="array" ref="E1663">IF(OR(Table4[[#This Row],[INSTALLMENT]]=1,Table4[[#This Row],[INSTALLMENT]]=2,Table4[[#This Row],[INSTALLMENT]]=3),1,0)</f>
        <v>0</v>
      </c>
      <c r="F1663" s="1">
        <f>IF(OR(Table4[[#This Row],[INSTALLMENT]]=2,Table4[[#This Row],[INSTALLMENT]]=3),2,0)</f>
        <v>0</v>
      </c>
      <c r="G1663" s="1">
        <f>IF(OR(Table4[[#This Row],[INSTALLMENT]]=3),3,0)</f>
        <v>0</v>
      </c>
    </row>
    <row r="1664" spans="1:7">
      <c r="A1664" s="1">
        <v>2022</v>
      </c>
      <c r="B1664" s="1" t="s">
        <v>3181</v>
      </c>
      <c r="C1664" s="1" t="s">
        <v>221</v>
      </c>
      <c r="D1664" s="1">
        <f>COUNTIFS('Raw Entries'!B:B,Table4[[#This Row],[Name]],'Raw Entries'!I:I,Table4[[#This Row],[BOOK No.]])</f>
        <v>0</v>
      </c>
      <c r="E1664" s="1">
        <f t="array" ref="E1664">IF(OR(Table4[[#This Row],[INSTALLMENT]]=1,Table4[[#This Row],[INSTALLMENT]]=2,Table4[[#This Row],[INSTALLMENT]]=3),1,0)</f>
        <v>0</v>
      </c>
      <c r="F1664" s="1">
        <f>IF(OR(Table4[[#This Row],[INSTALLMENT]]=2,Table4[[#This Row],[INSTALLMENT]]=3),2,0)</f>
        <v>0</v>
      </c>
      <c r="G1664" s="1">
        <f>IF(OR(Table4[[#This Row],[INSTALLMENT]]=3),3,0)</f>
        <v>0</v>
      </c>
    </row>
    <row r="1665" spans="1:7">
      <c r="A1665" s="1">
        <v>2023</v>
      </c>
      <c r="B1665" s="1" t="s">
        <v>3182</v>
      </c>
      <c r="C1665" s="1" t="s">
        <v>221</v>
      </c>
      <c r="D1665" s="1">
        <f>COUNTIFS('Raw Entries'!B:B,Table4[[#This Row],[Name]],'Raw Entries'!I:I,Table4[[#This Row],[BOOK No.]])</f>
        <v>0</v>
      </c>
      <c r="E1665" s="1">
        <f t="array" ref="E1665">IF(OR(Table4[[#This Row],[INSTALLMENT]]=1,Table4[[#This Row],[INSTALLMENT]]=2,Table4[[#This Row],[INSTALLMENT]]=3),1,0)</f>
        <v>0</v>
      </c>
      <c r="F1665" s="1">
        <f>IF(OR(Table4[[#This Row],[INSTALLMENT]]=2,Table4[[#This Row],[INSTALLMENT]]=3),2,0)</f>
        <v>0</v>
      </c>
      <c r="G1665" s="1">
        <f>IF(OR(Table4[[#This Row],[INSTALLMENT]]=3),3,0)</f>
        <v>0</v>
      </c>
    </row>
    <row r="1666" spans="1:7">
      <c r="A1666" s="1">
        <v>2024</v>
      </c>
      <c r="B1666" s="1" t="s">
        <v>3183</v>
      </c>
      <c r="C1666" s="1" t="s">
        <v>221</v>
      </c>
      <c r="D1666" s="1">
        <f>COUNTIFS('Raw Entries'!B:B,Table4[[#This Row],[Name]],'Raw Entries'!I:I,Table4[[#This Row],[BOOK No.]])</f>
        <v>0</v>
      </c>
      <c r="E1666" s="1">
        <f t="array" ref="E1666">IF(OR(Table4[[#This Row],[INSTALLMENT]]=1,Table4[[#This Row],[INSTALLMENT]]=2,Table4[[#This Row],[INSTALLMENT]]=3),1,0)</f>
        <v>0</v>
      </c>
      <c r="F1666" s="1">
        <f>IF(OR(Table4[[#This Row],[INSTALLMENT]]=2,Table4[[#This Row],[INSTALLMENT]]=3),2,0)</f>
        <v>0</v>
      </c>
      <c r="G1666" s="1">
        <f>IF(OR(Table4[[#This Row],[INSTALLMENT]]=3),3,0)</f>
        <v>0</v>
      </c>
    </row>
    <row r="1667" spans="1:7">
      <c r="A1667" s="1">
        <v>2025</v>
      </c>
      <c r="B1667" s="1" t="s">
        <v>3184</v>
      </c>
      <c r="C1667" s="1" t="s">
        <v>221</v>
      </c>
      <c r="D1667" s="1">
        <f>COUNTIFS('Raw Entries'!B:B,Table4[[#This Row],[Name]],'Raw Entries'!I:I,Table4[[#This Row],[BOOK No.]])</f>
        <v>0</v>
      </c>
      <c r="E1667" s="1">
        <f t="array" ref="E1667">IF(OR(Table4[[#This Row],[INSTALLMENT]]=1,Table4[[#This Row],[INSTALLMENT]]=2,Table4[[#This Row],[INSTALLMENT]]=3),1,0)</f>
        <v>0</v>
      </c>
      <c r="F1667" s="1">
        <f>IF(OR(Table4[[#This Row],[INSTALLMENT]]=2,Table4[[#This Row],[INSTALLMENT]]=3),2,0)</f>
        <v>0</v>
      </c>
      <c r="G1667" s="1">
        <f>IF(OR(Table4[[#This Row],[INSTALLMENT]]=3),3,0)</f>
        <v>0</v>
      </c>
    </row>
    <row r="1668" spans="1:7">
      <c r="A1668" s="1">
        <v>2026</v>
      </c>
      <c r="B1668" s="1" t="s">
        <v>3163</v>
      </c>
      <c r="C1668" s="1" t="s">
        <v>221</v>
      </c>
      <c r="D1668" s="1">
        <f>COUNTIFS('Raw Entries'!B:B,Table4[[#This Row],[Name]],'Raw Entries'!I:I,Table4[[#This Row],[BOOK No.]])</f>
        <v>0</v>
      </c>
      <c r="E1668" s="1">
        <f t="array" ref="E1668">IF(OR(Table4[[#This Row],[INSTALLMENT]]=1,Table4[[#This Row],[INSTALLMENT]]=2,Table4[[#This Row],[INSTALLMENT]]=3),1,0)</f>
        <v>0</v>
      </c>
      <c r="F1668" s="1">
        <f>IF(OR(Table4[[#This Row],[INSTALLMENT]]=2,Table4[[#This Row],[INSTALLMENT]]=3),2,0)</f>
        <v>0</v>
      </c>
      <c r="G1668" s="1">
        <f>IF(OR(Table4[[#This Row],[INSTALLMENT]]=3),3,0)</f>
        <v>0</v>
      </c>
    </row>
    <row r="1669" spans="1:7">
      <c r="A1669" s="1">
        <v>2027</v>
      </c>
      <c r="B1669" s="1" t="s">
        <v>3185</v>
      </c>
      <c r="C1669" s="1" t="s">
        <v>221</v>
      </c>
      <c r="D1669" s="1">
        <f>COUNTIFS('Raw Entries'!B:B,Table4[[#This Row],[Name]],'Raw Entries'!I:I,Table4[[#This Row],[BOOK No.]])</f>
        <v>0</v>
      </c>
      <c r="E1669" s="1">
        <f t="array" ref="E1669">IF(OR(Table4[[#This Row],[INSTALLMENT]]=1,Table4[[#This Row],[INSTALLMENT]]=2,Table4[[#This Row],[INSTALLMENT]]=3),1,0)</f>
        <v>0</v>
      </c>
      <c r="F1669" s="1">
        <f>IF(OR(Table4[[#This Row],[INSTALLMENT]]=2,Table4[[#This Row],[INSTALLMENT]]=3),2,0)</f>
        <v>0</v>
      </c>
      <c r="G1669" s="1">
        <f>IF(OR(Table4[[#This Row],[INSTALLMENT]]=3),3,0)</f>
        <v>0</v>
      </c>
    </row>
    <row r="1670" spans="1:7">
      <c r="A1670" s="1">
        <v>2028</v>
      </c>
      <c r="B1670" s="1" t="s">
        <v>3186</v>
      </c>
      <c r="C1670" s="1" t="s">
        <v>221</v>
      </c>
      <c r="D1670" s="1">
        <f>COUNTIFS('Raw Entries'!B:B,Table4[[#This Row],[Name]],'Raw Entries'!I:I,Table4[[#This Row],[BOOK No.]])</f>
        <v>0</v>
      </c>
      <c r="E1670" s="1">
        <f t="array" ref="E1670">IF(OR(Table4[[#This Row],[INSTALLMENT]]=1,Table4[[#This Row],[INSTALLMENT]]=2,Table4[[#This Row],[INSTALLMENT]]=3),1,0)</f>
        <v>0</v>
      </c>
      <c r="F1670" s="1">
        <f>IF(OR(Table4[[#This Row],[INSTALLMENT]]=2,Table4[[#This Row],[INSTALLMENT]]=3),2,0)</f>
        <v>0</v>
      </c>
      <c r="G1670" s="1">
        <f>IF(OR(Table4[[#This Row],[INSTALLMENT]]=3),3,0)</f>
        <v>0</v>
      </c>
    </row>
    <row r="1671" spans="1:7">
      <c r="A1671" s="1">
        <v>2029</v>
      </c>
      <c r="B1671" s="1" t="s">
        <v>3187</v>
      </c>
      <c r="C1671" s="1" t="s">
        <v>221</v>
      </c>
      <c r="D1671" s="1">
        <f>COUNTIFS('Raw Entries'!B:B,Table4[[#This Row],[Name]],'Raw Entries'!I:I,Table4[[#This Row],[BOOK No.]])</f>
        <v>0</v>
      </c>
      <c r="E1671" s="1">
        <f t="array" ref="E1671">IF(OR(Table4[[#This Row],[INSTALLMENT]]=1,Table4[[#This Row],[INSTALLMENT]]=2,Table4[[#This Row],[INSTALLMENT]]=3),1,0)</f>
        <v>0</v>
      </c>
      <c r="F1671" s="1">
        <f>IF(OR(Table4[[#This Row],[INSTALLMENT]]=2,Table4[[#This Row],[INSTALLMENT]]=3),2,0)</f>
        <v>0</v>
      </c>
      <c r="G1671" s="1">
        <f>IF(OR(Table4[[#This Row],[INSTALLMENT]]=3),3,0)</f>
        <v>0</v>
      </c>
    </row>
    <row r="1672" spans="1:7">
      <c r="A1672" s="1">
        <v>2030</v>
      </c>
      <c r="B1672" s="1" t="s">
        <v>3188</v>
      </c>
      <c r="C1672" s="1" t="s">
        <v>221</v>
      </c>
      <c r="D1672" s="1">
        <f>COUNTIFS('Raw Entries'!B:B,Table4[[#This Row],[Name]],'Raw Entries'!I:I,Table4[[#This Row],[BOOK No.]])</f>
        <v>0</v>
      </c>
      <c r="E1672" s="1">
        <f t="array" ref="E1672">IF(OR(Table4[[#This Row],[INSTALLMENT]]=1,Table4[[#This Row],[INSTALLMENT]]=2,Table4[[#This Row],[INSTALLMENT]]=3),1,0)</f>
        <v>0</v>
      </c>
      <c r="F1672" s="1">
        <f>IF(OR(Table4[[#This Row],[INSTALLMENT]]=2,Table4[[#This Row],[INSTALLMENT]]=3),2,0)</f>
        <v>0</v>
      </c>
      <c r="G1672" s="1">
        <f>IF(OR(Table4[[#This Row],[INSTALLMENT]]=3),3,0)</f>
        <v>0</v>
      </c>
    </row>
    <row r="1673" spans="1:7">
      <c r="A1673" s="1">
        <v>2031</v>
      </c>
      <c r="B1673" s="1" t="s">
        <v>3189</v>
      </c>
      <c r="C1673" s="1" t="s">
        <v>221</v>
      </c>
      <c r="D1673" s="1">
        <f>COUNTIFS('Raw Entries'!B:B,Table4[[#This Row],[Name]],'Raw Entries'!I:I,Table4[[#This Row],[BOOK No.]])</f>
        <v>3</v>
      </c>
      <c r="E1673" s="1">
        <f t="array" ref="E1673">IF(OR(Table4[[#This Row],[INSTALLMENT]]=1,Table4[[#This Row],[INSTALLMENT]]=2,Table4[[#This Row],[INSTALLMENT]]=3),1,0)</f>
        <v>1</v>
      </c>
      <c r="F1673" s="1">
        <f>IF(OR(Table4[[#This Row],[INSTALLMENT]]=2,Table4[[#This Row],[INSTALLMENT]]=3),2,0)</f>
        <v>2</v>
      </c>
      <c r="G1673" s="1">
        <f>IF(OR(Table4[[#This Row],[INSTALLMENT]]=3),3,0)</f>
        <v>3</v>
      </c>
    </row>
    <row r="1674" spans="1:7">
      <c r="A1674" s="1">
        <v>2032</v>
      </c>
      <c r="B1674" s="1" t="s">
        <v>1909</v>
      </c>
      <c r="C1674" s="1" t="s">
        <v>221</v>
      </c>
      <c r="D1674" s="1">
        <f>COUNTIFS('Raw Entries'!B:B,Table4[[#This Row],[Name]],'Raw Entries'!I:I,Table4[[#This Row],[BOOK No.]])</f>
        <v>1</v>
      </c>
      <c r="E1674" s="1">
        <f t="array" ref="E1674">IF(OR(Table4[[#This Row],[INSTALLMENT]]=1,Table4[[#This Row],[INSTALLMENT]]=2,Table4[[#This Row],[INSTALLMENT]]=3),1,0)</f>
        <v>1</v>
      </c>
      <c r="F1674" s="1">
        <f>IF(OR(Table4[[#This Row],[INSTALLMENT]]=2,Table4[[#This Row],[INSTALLMENT]]=3),2,0)</f>
        <v>0</v>
      </c>
      <c r="G1674" s="1">
        <f>IF(OR(Table4[[#This Row],[INSTALLMENT]]=3),3,0)</f>
        <v>0</v>
      </c>
    </row>
    <row r="1675" spans="1:7">
      <c r="A1675" s="1">
        <v>2033</v>
      </c>
      <c r="B1675" s="1" t="s">
        <v>225</v>
      </c>
      <c r="C1675" s="1" t="s">
        <v>221</v>
      </c>
      <c r="D1675" s="1">
        <f>COUNTIFS('Raw Entries'!B:B,Table4[[#This Row],[Name]],'Raw Entries'!I:I,Table4[[#This Row],[BOOK No.]])</f>
        <v>3</v>
      </c>
      <c r="E1675" s="1">
        <f t="array" ref="E1675">IF(OR(Table4[[#This Row],[INSTALLMENT]]=1,Table4[[#This Row],[INSTALLMENT]]=2,Table4[[#This Row],[INSTALLMENT]]=3),1,0)</f>
        <v>1</v>
      </c>
      <c r="F1675" s="1">
        <f>IF(OR(Table4[[#This Row],[INSTALLMENT]]=2,Table4[[#This Row],[INSTALLMENT]]=3),2,0)</f>
        <v>2</v>
      </c>
      <c r="G1675" s="1">
        <f>IF(OR(Table4[[#This Row],[INSTALLMENT]]=3),3,0)</f>
        <v>3</v>
      </c>
    </row>
    <row r="1676" spans="1:7">
      <c r="A1676" s="1">
        <v>2034</v>
      </c>
      <c r="B1676" s="1" t="s">
        <v>3190</v>
      </c>
      <c r="C1676" s="1" t="s">
        <v>221</v>
      </c>
      <c r="D1676" s="1">
        <f>COUNTIFS('Raw Entries'!B:B,Table4[[#This Row],[Name]],'Raw Entries'!I:I,Table4[[#This Row],[BOOK No.]])</f>
        <v>0</v>
      </c>
      <c r="E1676" s="1">
        <f t="array" ref="E1676">IF(OR(Table4[[#This Row],[INSTALLMENT]]=1,Table4[[#This Row],[INSTALLMENT]]=2,Table4[[#This Row],[INSTALLMENT]]=3),1,0)</f>
        <v>0</v>
      </c>
      <c r="F1676" s="1">
        <f>IF(OR(Table4[[#This Row],[INSTALLMENT]]=2,Table4[[#This Row],[INSTALLMENT]]=3),2,0)</f>
        <v>0</v>
      </c>
      <c r="G1676" s="1">
        <f>IF(OR(Table4[[#This Row],[INSTALLMENT]]=3),3,0)</f>
        <v>0</v>
      </c>
    </row>
    <row r="1677" spans="1:7">
      <c r="A1677" s="1">
        <v>2035</v>
      </c>
      <c r="B1677" s="1" t="s">
        <v>3191</v>
      </c>
      <c r="C1677" s="1" t="s">
        <v>221</v>
      </c>
      <c r="D1677" s="1">
        <f>COUNTIFS('Raw Entries'!B:B,Table4[[#This Row],[Name]],'Raw Entries'!I:I,Table4[[#This Row],[BOOK No.]])</f>
        <v>0</v>
      </c>
      <c r="E1677" s="1">
        <f t="array" ref="E1677">IF(OR(Table4[[#This Row],[INSTALLMENT]]=1,Table4[[#This Row],[INSTALLMENT]]=2,Table4[[#This Row],[INSTALLMENT]]=3),1,0)</f>
        <v>0</v>
      </c>
      <c r="F1677" s="1">
        <f>IF(OR(Table4[[#This Row],[INSTALLMENT]]=2,Table4[[#This Row],[INSTALLMENT]]=3),2,0)</f>
        <v>0</v>
      </c>
      <c r="G1677" s="1">
        <f>IF(OR(Table4[[#This Row],[INSTALLMENT]]=3),3,0)</f>
        <v>0</v>
      </c>
    </row>
    <row r="1678" spans="1:7">
      <c r="A1678" s="1">
        <v>2036</v>
      </c>
      <c r="B1678" s="1" t="s">
        <v>3192</v>
      </c>
      <c r="C1678" s="1" t="s">
        <v>221</v>
      </c>
      <c r="D1678" s="1">
        <f>COUNTIFS('Raw Entries'!B:B,Table4[[#This Row],[Name]],'Raw Entries'!I:I,Table4[[#This Row],[BOOK No.]])</f>
        <v>0</v>
      </c>
      <c r="E1678" s="1">
        <f t="array" ref="E1678">IF(OR(Table4[[#This Row],[INSTALLMENT]]=1,Table4[[#This Row],[INSTALLMENT]]=2,Table4[[#This Row],[INSTALLMENT]]=3),1,0)</f>
        <v>0</v>
      </c>
      <c r="F1678" s="1">
        <f>IF(OR(Table4[[#This Row],[INSTALLMENT]]=2,Table4[[#This Row],[INSTALLMENT]]=3),2,0)</f>
        <v>0</v>
      </c>
      <c r="G1678" s="1">
        <f>IF(OR(Table4[[#This Row],[INSTALLMENT]]=3),3,0)</f>
        <v>0</v>
      </c>
    </row>
    <row r="1679" spans="1:7">
      <c r="A1679" s="1">
        <v>2037</v>
      </c>
      <c r="B1679" s="1" t="s">
        <v>3193</v>
      </c>
      <c r="C1679" s="1" t="s">
        <v>221</v>
      </c>
      <c r="D1679" s="1">
        <f>COUNTIFS('Raw Entries'!B:B,Table4[[#This Row],[Name]],'Raw Entries'!I:I,Table4[[#This Row],[BOOK No.]])</f>
        <v>0</v>
      </c>
      <c r="E1679" s="1">
        <f t="array" ref="E1679">IF(OR(Table4[[#This Row],[INSTALLMENT]]=1,Table4[[#This Row],[INSTALLMENT]]=2,Table4[[#This Row],[INSTALLMENT]]=3),1,0)</f>
        <v>0</v>
      </c>
      <c r="F1679" s="1">
        <f>IF(OR(Table4[[#This Row],[INSTALLMENT]]=2,Table4[[#This Row],[INSTALLMENT]]=3),2,0)</f>
        <v>0</v>
      </c>
      <c r="G1679" s="1">
        <f>IF(OR(Table4[[#This Row],[INSTALLMENT]]=3),3,0)</f>
        <v>0</v>
      </c>
    </row>
    <row r="1680" spans="1:7">
      <c r="A1680" s="1">
        <v>2038</v>
      </c>
      <c r="B1680" s="1" t="s">
        <v>3194</v>
      </c>
      <c r="C1680" s="1" t="s">
        <v>221</v>
      </c>
      <c r="D1680" s="1">
        <f>COUNTIFS('Raw Entries'!B:B,Table4[[#This Row],[Name]],'Raw Entries'!I:I,Table4[[#This Row],[BOOK No.]])</f>
        <v>0</v>
      </c>
      <c r="E1680" s="1">
        <f t="array" ref="E1680">IF(OR(Table4[[#This Row],[INSTALLMENT]]=1,Table4[[#This Row],[INSTALLMENT]]=2,Table4[[#This Row],[INSTALLMENT]]=3),1,0)</f>
        <v>0</v>
      </c>
      <c r="F1680" s="1">
        <f>IF(OR(Table4[[#This Row],[INSTALLMENT]]=2,Table4[[#This Row],[INSTALLMENT]]=3),2,0)</f>
        <v>0</v>
      </c>
      <c r="G1680" s="1">
        <f>IF(OR(Table4[[#This Row],[INSTALLMENT]]=3),3,0)</f>
        <v>0</v>
      </c>
    </row>
    <row r="1681" spans="1:7">
      <c r="A1681" s="1">
        <v>2039</v>
      </c>
      <c r="B1681" s="1" t="s">
        <v>3195</v>
      </c>
      <c r="C1681" s="1" t="s">
        <v>221</v>
      </c>
      <c r="D1681" s="1">
        <f>COUNTIFS('Raw Entries'!B:B,Table4[[#This Row],[Name]],'Raw Entries'!I:I,Table4[[#This Row],[BOOK No.]])</f>
        <v>0</v>
      </c>
      <c r="E1681" s="1">
        <f t="array" ref="E1681">IF(OR(Table4[[#This Row],[INSTALLMENT]]=1,Table4[[#This Row],[INSTALLMENT]]=2,Table4[[#This Row],[INSTALLMENT]]=3),1,0)</f>
        <v>0</v>
      </c>
      <c r="F1681" s="1">
        <f>IF(OR(Table4[[#This Row],[INSTALLMENT]]=2,Table4[[#This Row],[INSTALLMENT]]=3),2,0)</f>
        <v>0</v>
      </c>
      <c r="G1681" s="1">
        <f>IF(OR(Table4[[#This Row],[INSTALLMENT]]=3),3,0)</f>
        <v>0</v>
      </c>
    </row>
    <row r="1682" spans="1:7">
      <c r="A1682" s="1">
        <v>2040</v>
      </c>
      <c r="B1682" s="1" t="s">
        <v>3196</v>
      </c>
      <c r="C1682" s="1" t="s">
        <v>221</v>
      </c>
      <c r="D1682" s="1">
        <f>COUNTIFS('Raw Entries'!B:B,Table4[[#This Row],[Name]],'Raw Entries'!I:I,Table4[[#This Row],[BOOK No.]])</f>
        <v>0</v>
      </c>
      <c r="E1682" s="1">
        <f t="array" ref="E1682">IF(OR(Table4[[#This Row],[INSTALLMENT]]=1,Table4[[#This Row],[INSTALLMENT]]=2,Table4[[#This Row],[INSTALLMENT]]=3),1,0)</f>
        <v>0</v>
      </c>
      <c r="F1682" s="1">
        <f>IF(OR(Table4[[#This Row],[INSTALLMENT]]=2,Table4[[#This Row],[INSTALLMENT]]=3),2,0)</f>
        <v>0</v>
      </c>
      <c r="G1682" s="1">
        <f>IF(OR(Table4[[#This Row],[INSTALLMENT]]=3),3,0)</f>
        <v>0</v>
      </c>
    </row>
    <row r="1683" spans="1:7">
      <c r="A1683" s="1">
        <v>2041</v>
      </c>
      <c r="B1683" s="1" t="s">
        <v>3197</v>
      </c>
      <c r="C1683" s="1" t="s">
        <v>227</v>
      </c>
      <c r="D1683" s="1">
        <f>COUNTIFS('Raw Entries'!B:B,Table4[[#This Row],[Name]],'Raw Entries'!I:I,Table4[[#This Row],[BOOK No.]])</f>
        <v>0</v>
      </c>
      <c r="E1683" s="1">
        <f t="array" ref="E1683">IF(OR(Table4[[#This Row],[INSTALLMENT]]=1,Table4[[#This Row],[INSTALLMENT]]=2,Table4[[#This Row],[INSTALLMENT]]=3),1,0)</f>
        <v>0</v>
      </c>
      <c r="F1683" s="1">
        <f>IF(OR(Table4[[#This Row],[INSTALLMENT]]=2,Table4[[#This Row],[INSTALLMENT]]=3),2,0)</f>
        <v>0</v>
      </c>
      <c r="G1683" s="1">
        <f>IF(OR(Table4[[#This Row],[INSTALLMENT]]=3),3,0)</f>
        <v>0</v>
      </c>
    </row>
    <row r="1684" spans="1:7">
      <c r="A1684" s="1">
        <v>2042</v>
      </c>
      <c r="B1684" s="1" t="s">
        <v>3198</v>
      </c>
      <c r="C1684" s="1" t="s">
        <v>227</v>
      </c>
      <c r="D1684" s="1">
        <f>COUNTIFS('Raw Entries'!B:B,Table4[[#This Row],[Name]],'Raw Entries'!I:I,Table4[[#This Row],[BOOK No.]])</f>
        <v>0</v>
      </c>
      <c r="E1684" s="1">
        <f t="array" ref="E1684">IF(OR(Table4[[#This Row],[INSTALLMENT]]=1,Table4[[#This Row],[INSTALLMENT]]=2,Table4[[#This Row],[INSTALLMENT]]=3),1,0)</f>
        <v>0</v>
      </c>
      <c r="F1684" s="1">
        <f>IF(OR(Table4[[#This Row],[INSTALLMENT]]=2,Table4[[#This Row],[INSTALLMENT]]=3),2,0)</f>
        <v>0</v>
      </c>
      <c r="G1684" s="1">
        <f>IF(OR(Table4[[#This Row],[INSTALLMENT]]=3),3,0)</f>
        <v>0</v>
      </c>
    </row>
    <row r="1685" spans="1:7">
      <c r="A1685" s="1">
        <v>2043</v>
      </c>
      <c r="B1685" s="1" t="s">
        <v>3199</v>
      </c>
      <c r="C1685" s="1" t="s">
        <v>227</v>
      </c>
      <c r="D1685" s="1">
        <f>COUNTIFS('Raw Entries'!B:B,Table4[[#This Row],[Name]],'Raw Entries'!I:I,Table4[[#This Row],[BOOK No.]])</f>
        <v>0</v>
      </c>
      <c r="E1685" s="1">
        <f t="array" ref="E1685">IF(OR(Table4[[#This Row],[INSTALLMENT]]=1,Table4[[#This Row],[INSTALLMENT]]=2,Table4[[#This Row],[INSTALLMENT]]=3),1,0)</f>
        <v>0</v>
      </c>
      <c r="F1685" s="1">
        <f>IF(OR(Table4[[#This Row],[INSTALLMENT]]=2,Table4[[#This Row],[INSTALLMENT]]=3),2,0)</f>
        <v>0</v>
      </c>
      <c r="G1685" s="1">
        <f>IF(OR(Table4[[#This Row],[INSTALLMENT]]=3),3,0)</f>
        <v>0</v>
      </c>
    </row>
    <row r="1686" spans="1:7">
      <c r="A1686" s="1">
        <v>2044</v>
      </c>
      <c r="B1686" s="1" t="s">
        <v>3200</v>
      </c>
      <c r="C1686" s="1" t="s">
        <v>227</v>
      </c>
      <c r="D1686" s="1">
        <f>COUNTIFS('Raw Entries'!B:B,Table4[[#This Row],[Name]],'Raw Entries'!I:I,Table4[[#This Row],[BOOK No.]])</f>
        <v>0</v>
      </c>
      <c r="E1686" s="1">
        <f t="array" ref="E1686">IF(OR(Table4[[#This Row],[INSTALLMENT]]=1,Table4[[#This Row],[INSTALLMENT]]=2,Table4[[#This Row],[INSTALLMENT]]=3),1,0)</f>
        <v>0</v>
      </c>
      <c r="F1686" s="1">
        <f>IF(OR(Table4[[#This Row],[INSTALLMENT]]=2,Table4[[#This Row],[INSTALLMENT]]=3),2,0)</f>
        <v>0</v>
      </c>
      <c r="G1686" s="1">
        <f>IF(OR(Table4[[#This Row],[INSTALLMENT]]=3),3,0)</f>
        <v>0</v>
      </c>
    </row>
    <row r="1687" spans="1:7">
      <c r="A1687" s="1">
        <v>2045</v>
      </c>
      <c r="B1687" s="1" t="s">
        <v>3201</v>
      </c>
      <c r="C1687" s="1" t="s">
        <v>227</v>
      </c>
      <c r="D1687" s="1">
        <f>COUNTIFS('Raw Entries'!B:B,Table4[[#This Row],[Name]],'Raw Entries'!I:I,Table4[[#This Row],[BOOK No.]])</f>
        <v>0</v>
      </c>
      <c r="E1687" s="1">
        <f t="array" ref="E1687">IF(OR(Table4[[#This Row],[INSTALLMENT]]=1,Table4[[#This Row],[INSTALLMENT]]=2,Table4[[#This Row],[INSTALLMENT]]=3),1,0)</f>
        <v>0</v>
      </c>
      <c r="F1687" s="1">
        <f>IF(OR(Table4[[#This Row],[INSTALLMENT]]=2,Table4[[#This Row],[INSTALLMENT]]=3),2,0)</f>
        <v>0</v>
      </c>
      <c r="G1687" s="1">
        <f>IF(OR(Table4[[#This Row],[INSTALLMENT]]=3),3,0)</f>
        <v>0</v>
      </c>
    </row>
    <row r="1688" spans="1:7">
      <c r="A1688" s="1">
        <v>2046</v>
      </c>
      <c r="B1688" s="1" t="s">
        <v>3202</v>
      </c>
      <c r="C1688" s="1" t="s">
        <v>227</v>
      </c>
      <c r="D1688" s="1">
        <f>COUNTIFS('Raw Entries'!B:B,Table4[[#This Row],[Name]],'Raw Entries'!I:I,Table4[[#This Row],[BOOK No.]])</f>
        <v>0</v>
      </c>
      <c r="E1688" s="1">
        <f t="array" ref="E1688">IF(OR(Table4[[#This Row],[INSTALLMENT]]=1,Table4[[#This Row],[INSTALLMENT]]=2,Table4[[#This Row],[INSTALLMENT]]=3),1,0)</f>
        <v>0</v>
      </c>
      <c r="F1688" s="1">
        <f>IF(OR(Table4[[#This Row],[INSTALLMENT]]=2,Table4[[#This Row],[INSTALLMENT]]=3),2,0)</f>
        <v>0</v>
      </c>
      <c r="G1688" s="1">
        <f>IF(OR(Table4[[#This Row],[INSTALLMENT]]=3),3,0)</f>
        <v>0</v>
      </c>
    </row>
    <row r="1689" spans="1:7">
      <c r="A1689" s="1">
        <v>2047</v>
      </c>
      <c r="B1689" s="1" t="s">
        <v>3203</v>
      </c>
      <c r="C1689" s="1" t="s">
        <v>227</v>
      </c>
      <c r="D1689" s="1">
        <f>COUNTIFS('Raw Entries'!B:B,Table4[[#This Row],[Name]],'Raw Entries'!I:I,Table4[[#This Row],[BOOK No.]])</f>
        <v>0</v>
      </c>
      <c r="E1689" s="1">
        <f t="array" ref="E1689">IF(OR(Table4[[#This Row],[INSTALLMENT]]=1,Table4[[#This Row],[INSTALLMENT]]=2,Table4[[#This Row],[INSTALLMENT]]=3),1,0)</f>
        <v>0</v>
      </c>
      <c r="F1689" s="1">
        <f>IF(OR(Table4[[#This Row],[INSTALLMENT]]=2,Table4[[#This Row],[INSTALLMENT]]=3),2,0)</f>
        <v>0</v>
      </c>
      <c r="G1689" s="1">
        <f>IF(OR(Table4[[#This Row],[INSTALLMENT]]=3),3,0)</f>
        <v>0</v>
      </c>
    </row>
    <row r="1690" spans="1:7">
      <c r="A1690" s="1">
        <v>2048</v>
      </c>
      <c r="B1690" s="1" t="s">
        <v>231</v>
      </c>
      <c r="C1690" s="1" t="s">
        <v>227</v>
      </c>
      <c r="D1690" s="1">
        <f>COUNTIFS('Raw Entries'!B:B,Table4[[#This Row],[Name]],'Raw Entries'!I:I,Table4[[#This Row],[BOOK No.]])</f>
        <v>3</v>
      </c>
      <c r="E1690" s="1">
        <f t="array" ref="E1690">IF(OR(Table4[[#This Row],[INSTALLMENT]]=1,Table4[[#This Row],[INSTALLMENT]]=2,Table4[[#This Row],[INSTALLMENT]]=3),1,0)</f>
        <v>1</v>
      </c>
      <c r="F1690" s="1">
        <f>IF(OR(Table4[[#This Row],[INSTALLMENT]]=2,Table4[[#This Row],[INSTALLMENT]]=3),2,0)</f>
        <v>2</v>
      </c>
      <c r="G1690" s="1">
        <f>IF(OR(Table4[[#This Row],[INSTALLMENT]]=3),3,0)</f>
        <v>3</v>
      </c>
    </row>
    <row r="1691" spans="1:7">
      <c r="A1691" s="1">
        <v>2049</v>
      </c>
      <c r="B1691" s="1" t="s">
        <v>3204</v>
      </c>
      <c r="C1691" s="1" t="s">
        <v>227</v>
      </c>
      <c r="D1691" s="1">
        <f>COUNTIFS('Raw Entries'!B:B,Table4[[#This Row],[Name]],'Raw Entries'!I:I,Table4[[#This Row],[BOOK No.]])</f>
        <v>0</v>
      </c>
      <c r="E1691" s="1">
        <f t="array" ref="E1691">IF(OR(Table4[[#This Row],[INSTALLMENT]]=1,Table4[[#This Row],[INSTALLMENT]]=2,Table4[[#This Row],[INSTALLMENT]]=3),1,0)</f>
        <v>0</v>
      </c>
      <c r="F1691" s="1">
        <f>IF(OR(Table4[[#This Row],[INSTALLMENT]]=2,Table4[[#This Row],[INSTALLMENT]]=3),2,0)</f>
        <v>0</v>
      </c>
      <c r="G1691" s="1">
        <f>IF(OR(Table4[[#This Row],[INSTALLMENT]]=3),3,0)</f>
        <v>0</v>
      </c>
    </row>
    <row r="1692" spans="1:7">
      <c r="A1692" s="1">
        <v>2050</v>
      </c>
      <c r="B1692" s="1" t="s">
        <v>3205</v>
      </c>
      <c r="C1692" s="1" t="s">
        <v>227</v>
      </c>
      <c r="D1692" s="1">
        <f>COUNTIFS('Raw Entries'!B:B,Table4[[#This Row],[Name]],'Raw Entries'!I:I,Table4[[#This Row],[BOOK No.]])</f>
        <v>0</v>
      </c>
      <c r="E1692" s="1">
        <f t="array" ref="E1692">IF(OR(Table4[[#This Row],[INSTALLMENT]]=1,Table4[[#This Row],[INSTALLMENT]]=2,Table4[[#This Row],[INSTALLMENT]]=3),1,0)</f>
        <v>0</v>
      </c>
      <c r="F1692" s="1">
        <f>IF(OR(Table4[[#This Row],[INSTALLMENT]]=2,Table4[[#This Row],[INSTALLMENT]]=3),2,0)</f>
        <v>0</v>
      </c>
      <c r="G1692" s="1">
        <f>IF(OR(Table4[[#This Row],[INSTALLMENT]]=3),3,0)</f>
        <v>0</v>
      </c>
    </row>
    <row r="1693" spans="1:7">
      <c r="A1693" s="1">
        <v>2051</v>
      </c>
      <c r="B1693" s="1" t="s">
        <v>3206</v>
      </c>
      <c r="C1693" s="1" t="s">
        <v>227</v>
      </c>
      <c r="D1693" s="1">
        <f>COUNTIFS('Raw Entries'!B:B,Table4[[#This Row],[Name]],'Raw Entries'!I:I,Table4[[#This Row],[BOOK No.]])</f>
        <v>0</v>
      </c>
      <c r="E1693" s="1">
        <f t="array" ref="E1693">IF(OR(Table4[[#This Row],[INSTALLMENT]]=1,Table4[[#This Row],[INSTALLMENT]]=2,Table4[[#This Row],[INSTALLMENT]]=3),1,0)</f>
        <v>0</v>
      </c>
      <c r="F1693" s="1">
        <f>IF(OR(Table4[[#This Row],[INSTALLMENT]]=2,Table4[[#This Row],[INSTALLMENT]]=3),2,0)</f>
        <v>0</v>
      </c>
      <c r="G1693" s="1">
        <f>IF(OR(Table4[[#This Row],[INSTALLMENT]]=3),3,0)</f>
        <v>0</v>
      </c>
    </row>
    <row r="1694" spans="1:7">
      <c r="A1694" s="1">
        <v>2052</v>
      </c>
      <c r="B1694" s="1" t="s">
        <v>3207</v>
      </c>
      <c r="C1694" s="1" t="s">
        <v>227</v>
      </c>
      <c r="D1694" s="1">
        <f>COUNTIFS('Raw Entries'!B:B,Table4[[#This Row],[Name]],'Raw Entries'!I:I,Table4[[#This Row],[BOOK No.]])</f>
        <v>0</v>
      </c>
      <c r="E1694" s="1">
        <f t="array" ref="E1694">IF(OR(Table4[[#This Row],[INSTALLMENT]]=1,Table4[[#This Row],[INSTALLMENT]]=2,Table4[[#This Row],[INSTALLMENT]]=3),1,0)</f>
        <v>0</v>
      </c>
      <c r="F1694" s="1">
        <f>IF(OR(Table4[[#This Row],[INSTALLMENT]]=2,Table4[[#This Row],[INSTALLMENT]]=3),2,0)</f>
        <v>0</v>
      </c>
      <c r="G1694" s="1">
        <f>IF(OR(Table4[[#This Row],[INSTALLMENT]]=3),3,0)</f>
        <v>0</v>
      </c>
    </row>
    <row r="1695" spans="1:7">
      <c r="A1695" s="1">
        <v>2053</v>
      </c>
      <c r="B1695" s="1" t="s">
        <v>3208</v>
      </c>
      <c r="C1695" s="1" t="s">
        <v>227</v>
      </c>
      <c r="D1695" s="1">
        <f>COUNTIFS('Raw Entries'!B:B,Table4[[#This Row],[Name]],'Raw Entries'!I:I,Table4[[#This Row],[BOOK No.]])</f>
        <v>0</v>
      </c>
      <c r="E1695" s="1">
        <f t="array" ref="E1695">IF(OR(Table4[[#This Row],[INSTALLMENT]]=1,Table4[[#This Row],[INSTALLMENT]]=2,Table4[[#This Row],[INSTALLMENT]]=3),1,0)</f>
        <v>0</v>
      </c>
      <c r="F1695" s="1">
        <f>IF(OR(Table4[[#This Row],[INSTALLMENT]]=2,Table4[[#This Row],[INSTALLMENT]]=3),2,0)</f>
        <v>0</v>
      </c>
      <c r="G1695" s="1">
        <f>IF(OR(Table4[[#This Row],[INSTALLMENT]]=3),3,0)</f>
        <v>0</v>
      </c>
    </row>
    <row r="1696" spans="1:7">
      <c r="A1696" s="1">
        <v>2054</v>
      </c>
      <c r="B1696" s="1" t="s">
        <v>3209</v>
      </c>
      <c r="C1696" s="1" t="s">
        <v>227</v>
      </c>
      <c r="D1696" s="1">
        <f>COUNTIFS('Raw Entries'!B:B,Table4[[#This Row],[Name]],'Raw Entries'!I:I,Table4[[#This Row],[BOOK No.]])</f>
        <v>0</v>
      </c>
      <c r="E1696" s="1">
        <f t="array" ref="E1696">IF(OR(Table4[[#This Row],[INSTALLMENT]]=1,Table4[[#This Row],[INSTALLMENT]]=2,Table4[[#This Row],[INSTALLMENT]]=3),1,0)</f>
        <v>0</v>
      </c>
      <c r="F1696" s="1">
        <f>IF(OR(Table4[[#This Row],[INSTALLMENT]]=2,Table4[[#This Row],[INSTALLMENT]]=3),2,0)</f>
        <v>0</v>
      </c>
      <c r="G1696" s="1">
        <f>IF(OR(Table4[[#This Row],[INSTALLMENT]]=3),3,0)</f>
        <v>0</v>
      </c>
    </row>
    <row r="1697" spans="1:7">
      <c r="A1697" s="1">
        <v>2055</v>
      </c>
      <c r="B1697" s="1" t="s">
        <v>3210</v>
      </c>
      <c r="C1697" s="1" t="s">
        <v>227</v>
      </c>
      <c r="D1697" s="1">
        <f>COUNTIFS('Raw Entries'!B:B,Table4[[#This Row],[Name]],'Raw Entries'!I:I,Table4[[#This Row],[BOOK No.]])</f>
        <v>0</v>
      </c>
      <c r="E1697" s="1">
        <f t="array" ref="E1697">IF(OR(Table4[[#This Row],[INSTALLMENT]]=1,Table4[[#This Row],[INSTALLMENT]]=2,Table4[[#This Row],[INSTALLMENT]]=3),1,0)</f>
        <v>0</v>
      </c>
      <c r="F1697" s="1">
        <f>IF(OR(Table4[[#This Row],[INSTALLMENT]]=2,Table4[[#This Row],[INSTALLMENT]]=3),2,0)</f>
        <v>0</v>
      </c>
      <c r="G1697" s="1">
        <f>IF(OR(Table4[[#This Row],[INSTALLMENT]]=3),3,0)</f>
        <v>0</v>
      </c>
    </row>
    <row r="1698" spans="1:7">
      <c r="A1698" s="1">
        <v>2056</v>
      </c>
      <c r="B1698" s="1" t="s">
        <v>3211</v>
      </c>
      <c r="C1698" s="1" t="s">
        <v>227</v>
      </c>
      <c r="D1698" s="1">
        <f>COUNTIFS('Raw Entries'!B:B,Table4[[#This Row],[Name]],'Raw Entries'!I:I,Table4[[#This Row],[BOOK No.]])</f>
        <v>0</v>
      </c>
      <c r="E1698" s="1">
        <f t="array" ref="E1698">IF(OR(Table4[[#This Row],[INSTALLMENT]]=1,Table4[[#This Row],[INSTALLMENT]]=2,Table4[[#This Row],[INSTALLMENT]]=3),1,0)</f>
        <v>0</v>
      </c>
      <c r="F1698" s="1">
        <f>IF(OR(Table4[[#This Row],[INSTALLMENT]]=2,Table4[[#This Row],[INSTALLMENT]]=3),2,0)</f>
        <v>0</v>
      </c>
      <c r="G1698" s="1">
        <f>IF(OR(Table4[[#This Row],[INSTALLMENT]]=3),3,0)</f>
        <v>0</v>
      </c>
    </row>
    <row r="1699" spans="1:7">
      <c r="A1699" s="1">
        <v>2057</v>
      </c>
      <c r="B1699" s="1" t="s">
        <v>3212</v>
      </c>
      <c r="C1699" s="1" t="s">
        <v>227</v>
      </c>
      <c r="D1699" s="1">
        <f>COUNTIFS('Raw Entries'!B:B,Table4[[#This Row],[Name]],'Raw Entries'!I:I,Table4[[#This Row],[BOOK No.]])</f>
        <v>0</v>
      </c>
      <c r="E1699" s="1">
        <f t="array" ref="E1699">IF(OR(Table4[[#This Row],[INSTALLMENT]]=1,Table4[[#This Row],[INSTALLMENT]]=2,Table4[[#This Row],[INSTALLMENT]]=3),1,0)</f>
        <v>0</v>
      </c>
      <c r="F1699" s="1">
        <f>IF(OR(Table4[[#This Row],[INSTALLMENT]]=2,Table4[[#This Row],[INSTALLMENT]]=3),2,0)</f>
        <v>0</v>
      </c>
      <c r="G1699" s="1">
        <f>IF(OR(Table4[[#This Row],[INSTALLMENT]]=3),3,0)</f>
        <v>0</v>
      </c>
    </row>
    <row r="1700" spans="1:7">
      <c r="A1700" s="1">
        <v>2058</v>
      </c>
      <c r="B1700" s="1" t="s">
        <v>3213</v>
      </c>
      <c r="C1700" s="1" t="s">
        <v>227</v>
      </c>
      <c r="D1700" s="1">
        <f>COUNTIFS('Raw Entries'!B:B,Table4[[#This Row],[Name]],'Raw Entries'!I:I,Table4[[#This Row],[BOOK No.]])</f>
        <v>0</v>
      </c>
      <c r="E1700" s="1">
        <f t="array" ref="E1700">IF(OR(Table4[[#This Row],[INSTALLMENT]]=1,Table4[[#This Row],[INSTALLMENT]]=2,Table4[[#This Row],[INSTALLMENT]]=3),1,0)</f>
        <v>0</v>
      </c>
      <c r="F1700" s="1">
        <f>IF(OR(Table4[[#This Row],[INSTALLMENT]]=2,Table4[[#This Row],[INSTALLMENT]]=3),2,0)</f>
        <v>0</v>
      </c>
      <c r="G1700" s="1">
        <f>IF(OR(Table4[[#This Row],[INSTALLMENT]]=3),3,0)</f>
        <v>0</v>
      </c>
    </row>
    <row r="1701" spans="1:7">
      <c r="A1701" s="1">
        <v>2059</v>
      </c>
      <c r="B1701" s="1" t="s">
        <v>228</v>
      </c>
      <c r="C1701" s="1" t="s">
        <v>227</v>
      </c>
      <c r="D1701" s="1">
        <f>COUNTIFS('Raw Entries'!B:B,Table4[[#This Row],[Name]],'Raw Entries'!I:I,Table4[[#This Row],[BOOK No.]])</f>
        <v>1</v>
      </c>
      <c r="E1701" s="1">
        <f t="array" ref="E1701">IF(OR(Table4[[#This Row],[INSTALLMENT]]=1,Table4[[#This Row],[INSTALLMENT]]=2,Table4[[#This Row],[INSTALLMENT]]=3),1,0)</f>
        <v>1</v>
      </c>
      <c r="F1701" s="1">
        <f>IF(OR(Table4[[#This Row],[INSTALLMENT]]=2,Table4[[#This Row],[INSTALLMENT]]=3),2,0)</f>
        <v>0</v>
      </c>
      <c r="G1701" s="1">
        <f>IF(OR(Table4[[#This Row],[INSTALLMENT]]=3),3,0)</f>
        <v>0</v>
      </c>
    </row>
    <row r="1702" spans="1:7">
      <c r="A1702" s="1">
        <v>2060</v>
      </c>
      <c r="B1702" s="1" t="s">
        <v>230</v>
      </c>
      <c r="C1702" s="1" t="s">
        <v>227</v>
      </c>
      <c r="D1702" s="1">
        <f>COUNTIFS('Raw Entries'!B:B,Table4[[#This Row],[Name]],'Raw Entries'!I:I,Table4[[#This Row],[BOOK No.]])</f>
        <v>1</v>
      </c>
      <c r="E1702" s="1">
        <f t="array" ref="E1702">IF(OR(Table4[[#This Row],[INSTALLMENT]]=1,Table4[[#This Row],[INSTALLMENT]]=2,Table4[[#This Row],[INSTALLMENT]]=3),1,0)</f>
        <v>1</v>
      </c>
      <c r="F1702" s="1">
        <f>IF(OR(Table4[[#This Row],[INSTALLMENT]]=2,Table4[[#This Row],[INSTALLMENT]]=3),2,0)</f>
        <v>0</v>
      </c>
      <c r="G1702" s="1">
        <f>IF(OR(Table4[[#This Row],[INSTALLMENT]]=3),3,0)</f>
        <v>0</v>
      </c>
    </row>
    <row r="1703" spans="1:7">
      <c r="A1703" s="1">
        <v>2061</v>
      </c>
      <c r="B1703" s="1" t="s">
        <v>3214</v>
      </c>
      <c r="C1703" s="1" t="s">
        <v>227</v>
      </c>
      <c r="D1703" s="1">
        <f>COUNTIFS('Raw Entries'!B:B,Table4[[#This Row],[Name]],'Raw Entries'!I:I,Table4[[#This Row],[BOOK No.]])</f>
        <v>1</v>
      </c>
      <c r="E1703" s="1">
        <f t="array" ref="E1703">IF(OR(Table4[[#This Row],[INSTALLMENT]]=1,Table4[[#This Row],[INSTALLMENT]]=2,Table4[[#This Row],[INSTALLMENT]]=3),1,0)</f>
        <v>1</v>
      </c>
      <c r="F1703" s="1">
        <f>IF(OR(Table4[[#This Row],[INSTALLMENT]]=2,Table4[[#This Row],[INSTALLMENT]]=3),2,0)</f>
        <v>0</v>
      </c>
      <c r="G1703" s="1">
        <f>IF(OR(Table4[[#This Row],[INSTALLMENT]]=3),3,0)</f>
        <v>0</v>
      </c>
    </row>
    <row r="1704" spans="1:7">
      <c r="A1704" s="1">
        <v>2062</v>
      </c>
      <c r="B1704" s="1" t="s">
        <v>229</v>
      </c>
      <c r="C1704" s="1" t="s">
        <v>227</v>
      </c>
      <c r="D1704" s="1">
        <f>COUNTIFS('Raw Entries'!B:B,Table4[[#This Row],[Name]],'Raw Entries'!I:I,Table4[[#This Row],[BOOK No.]])</f>
        <v>2</v>
      </c>
      <c r="E1704" s="1">
        <f t="array" ref="E1704">IF(OR(Table4[[#This Row],[INSTALLMENT]]=1,Table4[[#This Row],[INSTALLMENT]]=2,Table4[[#This Row],[INSTALLMENT]]=3),1,0)</f>
        <v>1</v>
      </c>
      <c r="F1704" s="1">
        <f>IF(OR(Table4[[#This Row],[INSTALLMENT]]=2,Table4[[#This Row],[INSTALLMENT]]=3),2,0)</f>
        <v>2</v>
      </c>
      <c r="G1704" s="1">
        <f>IF(OR(Table4[[#This Row],[INSTALLMENT]]=3),3,0)</f>
        <v>0</v>
      </c>
    </row>
    <row r="1705" spans="1:7">
      <c r="A1705" s="1">
        <v>2063</v>
      </c>
      <c r="B1705" s="1" t="s">
        <v>3215</v>
      </c>
      <c r="C1705" s="1" t="s">
        <v>227</v>
      </c>
      <c r="D1705" s="1">
        <f>COUNTIFS('Raw Entries'!B:B,Table4[[#This Row],[Name]],'Raw Entries'!I:I,Table4[[#This Row],[BOOK No.]])</f>
        <v>1</v>
      </c>
      <c r="E1705" s="1">
        <f t="array" ref="E1705">IF(OR(Table4[[#This Row],[INSTALLMENT]]=1,Table4[[#This Row],[INSTALLMENT]]=2,Table4[[#This Row],[INSTALLMENT]]=3),1,0)</f>
        <v>1</v>
      </c>
      <c r="F1705" s="1">
        <f>IF(OR(Table4[[#This Row],[INSTALLMENT]]=2,Table4[[#This Row],[INSTALLMENT]]=3),2,0)</f>
        <v>0</v>
      </c>
      <c r="G1705" s="1">
        <f>IF(OR(Table4[[#This Row],[INSTALLMENT]]=3),3,0)</f>
        <v>0</v>
      </c>
    </row>
    <row r="1706" spans="1:7">
      <c r="A1706" s="1">
        <v>2064</v>
      </c>
      <c r="B1706" s="1" t="s">
        <v>3216</v>
      </c>
      <c r="C1706" s="1" t="s">
        <v>227</v>
      </c>
      <c r="D1706" s="1">
        <f>COUNTIFS('Raw Entries'!B:B,Table4[[#This Row],[Name]],'Raw Entries'!I:I,Table4[[#This Row],[BOOK No.]])</f>
        <v>0</v>
      </c>
      <c r="E1706" s="1">
        <f t="array" ref="E1706">IF(OR(Table4[[#This Row],[INSTALLMENT]]=1,Table4[[#This Row],[INSTALLMENT]]=2,Table4[[#This Row],[INSTALLMENT]]=3),1,0)</f>
        <v>0</v>
      </c>
      <c r="F1706" s="1">
        <f>IF(OR(Table4[[#This Row],[INSTALLMENT]]=2,Table4[[#This Row],[INSTALLMENT]]=3),2,0)</f>
        <v>0</v>
      </c>
      <c r="G1706" s="1">
        <f>IF(OR(Table4[[#This Row],[INSTALLMENT]]=3),3,0)</f>
        <v>0</v>
      </c>
    </row>
    <row r="1707" spans="1:7">
      <c r="A1707" s="1">
        <v>2065</v>
      </c>
      <c r="B1707" s="1" t="s">
        <v>3217</v>
      </c>
      <c r="C1707" s="1" t="s">
        <v>227</v>
      </c>
      <c r="D1707" s="1">
        <f>COUNTIFS('Raw Entries'!B:B,Table4[[#This Row],[Name]],'Raw Entries'!I:I,Table4[[#This Row],[BOOK No.]])</f>
        <v>0</v>
      </c>
      <c r="E1707" s="1">
        <f t="array" ref="E1707">IF(OR(Table4[[#This Row],[INSTALLMENT]]=1,Table4[[#This Row],[INSTALLMENT]]=2,Table4[[#This Row],[INSTALLMENT]]=3),1,0)</f>
        <v>0</v>
      </c>
      <c r="F1707" s="1">
        <f>IF(OR(Table4[[#This Row],[INSTALLMENT]]=2,Table4[[#This Row],[INSTALLMENT]]=3),2,0)</f>
        <v>0</v>
      </c>
      <c r="G1707" s="1">
        <f>IF(OR(Table4[[#This Row],[INSTALLMENT]]=3),3,0)</f>
        <v>0</v>
      </c>
    </row>
    <row r="1708" spans="1:7">
      <c r="A1708" s="1">
        <v>2066</v>
      </c>
      <c r="B1708" s="1" t="s">
        <v>3218</v>
      </c>
      <c r="C1708" s="1" t="s">
        <v>227</v>
      </c>
      <c r="D1708" s="1">
        <f>COUNTIFS('Raw Entries'!B:B,Table4[[#This Row],[Name]],'Raw Entries'!I:I,Table4[[#This Row],[BOOK No.]])</f>
        <v>0</v>
      </c>
      <c r="E1708" s="1">
        <f t="array" ref="E1708">IF(OR(Table4[[#This Row],[INSTALLMENT]]=1,Table4[[#This Row],[INSTALLMENT]]=2,Table4[[#This Row],[INSTALLMENT]]=3),1,0)</f>
        <v>0</v>
      </c>
      <c r="F1708" s="1">
        <f>IF(OR(Table4[[#This Row],[INSTALLMENT]]=2,Table4[[#This Row],[INSTALLMENT]]=3),2,0)</f>
        <v>0</v>
      </c>
      <c r="G1708" s="1">
        <f>IF(OR(Table4[[#This Row],[INSTALLMENT]]=3),3,0)</f>
        <v>0</v>
      </c>
    </row>
    <row r="1709" spans="1:7">
      <c r="A1709" s="1">
        <v>2067</v>
      </c>
      <c r="B1709" s="1" t="s">
        <v>3219</v>
      </c>
      <c r="C1709" s="1" t="s">
        <v>227</v>
      </c>
      <c r="D1709" s="1">
        <f>COUNTIFS('Raw Entries'!B:B,Table4[[#This Row],[Name]],'Raw Entries'!I:I,Table4[[#This Row],[BOOK No.]])</f>
        <v>0</v>
      </c>
      <c r="E1709" s="1">
        <f t="array" ref="E1709">IF(OR(Table4[[#This Row],[INSTALLMENT]]=1,Table4[[#This Row],[INSTALLMENT]]=2,Table4[[#This Row],[INSTALLMENT]]=3),1,0)</f>
        <v>0</v>
      </c>
      <c r="F1709" s="1">
        <f>IF(OR(Table4[[#This Row],[INSTALLMENT]]=2,Table4[[#This Row],[INSTALLMENT]]=3),2,0)</f>
        <v>0</v>
      </c>
      <c r="G1709" s="1">
        <f>IF(OR(Table4[[#This Row],[INSTALLMENT]]=3),3,0)</f>
        <v>0</v>
      </c>
    </row>
    <row r="1710" spans="1:7">
      <c r="A1710" s="1">
        <v>2068</v>
      </c>
      <c r="B1710" s="1" t="s">
        <v>2656</v>
      </c>
      <c r="C1710" s="1" t="s">
        <v>227</v>
      </c>
      <c r="D1710" s="1">
        <f>COUNTIFS('Raw Entries'!B:B,Table4[[#This Row],[Name]],'Raw Entries'!I:I,Table4[[#This Row],[BOOK No.]])</f>
        <v>0</v>
      </c>
      <c r="E1710" s="1">
        <f t="array" ref="E1710">IF(OR(Table4[[#This Row],[INSTALLMENT]]=1,Table4[[#This Row],[INSTALLMENT]]=2,Table4[[#This Row],[INSTALLMENT]]=3),1,0)</f>
        <v>0</v>
      </c>
      <c r="F1710" s="1">
        <f>IF(OR(Table4[[#This Row],[INSTALLMENT]]=2,Table4[[#This Row],[INSTALLMENT]]=3),2,0)</f>
        <v>0</v>
      </c>
      <c r="G1710" s="1">
        <f>IF(OR(Table4[[#This Row],[INSTALLMENT]]=3),3,0)</f>
        <v>0</v>
      </c>
    </row>
    <row r="1711" spans="1:7">
      <c r="A1711" s="1">
        <v>2069</v>
      </c>
      <c r="B1711" s="1" t="s">
        <v>3220</v>
      </c>
      <c r="C1711" s="1" t="s">
        <v>227</v>
      </c>
      <c r="D1711" s="1">
        <f>COUNTIFS('Raw Entries'!B:B,Table4[[#This Row],[Name]],'Raw Entries'!I:I,Table4[[#This Row],[BOOK No.]])</f>
        <v>0</v>
      </c>
      <c r="E1711" s="1">
        <f t="array" ref="E1711">IF(OR(Table4[[#This Row],[INSTALLMENT]]=1,Table4[[#This Row],[INSTALLMENT]]=2,Table4[[#This Row],[INSTALLMENT]]=3),1,0)</f>
        <v>0</v>
      </c>
      <c r="F1711" s="1">
        <f>IF(OR(Table4[[#This Row],[INSTALLMENT]]=2,Table4[[#This Row],[INSTALLMENT]]=3),2,0)</f>
        <v>0</v>
      </c>
      <c r="G1711" s="1">
        <f>IF(OR(Table4[[#This Row],[INSTALLMENT]]=3),3,0)</f>
        <v>0</v>
      </c>
    </row>
    <row r="1712" spans="1:7">
      <c r="A1712" s="1">
        <v>2070</v>
      </c>
      <c r="B1712" s="1" t="s">
        <v>1908</v>
      </c>
      <c r="C1712" s="1" t="s">
        <v>227</v>
      </c>
      <c r="D1712" s="1">
        <f>COUNTIFS('Raw Entries'!B:B,Table4[[#This Row],[Name]],'Raw Entries'!I:I,Table4[[#This Row],[BOOK No.]])</f>
        <v>3</v>
      </c>
      <c r="E1712" s="1">
        <f t="array" ref="E1712">IF(OR(Table4[[#This Row],[INSTALLMENT]]=1,Table4[[#This Row],[INSTALLMENT]]=2,Table4[[#This Row],[INSTALLMENT]]=3),1,0)</f>
        <v>1</v>
      </c>
      <c r="F1712" s="1">
        <f>IF(OR(Table4[[#This Row],[INSTALLMENT]]=2,Table4[[#This Row],[INSTALLMENT]]=3),2,0)</f>
        <v>2</v>
      </c>
      <c r="G1712" s="1">
        <f>IF(OR(Table4[[#This Row],[INSTALLMENT]]=3),3,0)</f>
        <v>3</v>
      </c>
    </row>
    <row r="1713" spans="1:7">
      <c r="A1713" s="1">
        <v>2071</v>
      </c>
      <c r="B1713" s="1" t="s">
        <v>3221</v>
      </c>
      <c r="C1713" s="1" t="s">
        <v>227</v>
      </c>
      <c r="D1713" s="1">
        <f>COUNTIFS('Raw Entries'!B:B,Table4[[#This Row],[Name]],'Raw Entries'!I:I,Table4[[#This Row],[BOOK No.]])</f>
        <v>0</v>
      </c>
      <c r="E1713" s="1">
        <f t="array" ref="E1713">IF(OR(Table4[[#This Row],[INSTALLMENT]]=1,Table4[[#This Row],[INSTALLMENT]]=2,Table4[[#This Row],[INSTALLMENT]]=3),1,0)</f>
        <v>0</v>
      </c>
      <c r="F1713" s="1">
        <f>IF(OR(Table4[[#This Row],[INSTALLMENT]]=2,Table4[[#This Row],[INSTALLMENT]]=3),2,0)</f>
        <v>0</v>
      </c>
      <c r="G1713" s="1">
        <f>IF(OR(Table4[[#This Row],[INSTALLMENT]]=3),3,0)</f>
        <v>0</v>
      </c>
    </row>
    <row r="1714" spans="1:7">
      <c r="A1714" s="1">
        <v>2072</v>
      </c>
      <c r="B1714" s="1" t="s">
        <v>3222</v>
      </c>
      <c r="C1714" s="1" t="s">
        <v>227</v>
      </c>
      <c r="D1714" s="1">
        <f>COUNTIFS('Raw Entries'!B:B,Table4[[#This Row],[Name]],'Raw Entries'!I:I,Table4[[#This Row],[BOOK No.]])</f>
        <v>0</v>
      </c>
      <c r="E1714" s="1">
        <f t="array" ref="E1714">IF(OR(Table4[[#This Row],[INSTALLMENT]]=1,Table4[[#This Row],[INSTALLMENT]]=2,Table4[[#This Row],[INSTALLMENT]]=3),1,0)</f>
        <v>0</v>
      </c>
      <c r="F1714" s="1">
        <f>IF(OR(Table4[[#This Row],[INSTALLMENT]]=2,Table4[[#This Row],[INSTALLMENT]]=3),2,0)</f>
        <v>0</v>
      </c>
      <c r="G1714" s="1">
        <f>IF(OR(Table4[[#This Row],[INSTALLMENT]]=3),3,0)</f>
        <v>0</v>
      </c>
    </row>
    <row r="1715" spans="1:7">
      <c r="A1715" s="1">
        <v>2073</v>
      </c>
      <c r="B1715" s="1" t="s">
        <v>3223</v>
      </c>
      <c r="C1715" s="1" t="s">
        <v>232</v>
      </c>
      <c r="D1715" s="1">
        <f>COUNTIFS('Raw Entries'!B:B,Table4[[#This Row],[Name]],'Raw Entries'!I:I,Table4[[#This Row],[BOOK No.]])</f>
        <v>0</v>
      </c>
      <c r="E1715" s="1">
        <f t="array" ref="E1715">IF(OR(Table4[[#This Row],[INSTALLMENT]]=1,Table4[[#This Row],[INSTALLMENT]]=2,Table4[[#This Row],[INSTALLMENT]]=3),1,0)</f>
        <v>0</v>
      </c>
      <c r="F1715" s="1">
        <f>IF(OR(Table4[[#This Row],[INSTALLMENT]]=2,Table4[[#This Row],[INSTALLMENT]]=3),2,0)</f>
        <v>0</v>
      </c>
      <c r="G1715" s="1">
        <f>IF(OR(Table4[[#This Row],[INSTALLMENT]]=3),3,0)</f>
        <v>0</v>
      </c>
    </row>
    <row r="1716" spans="1:7">
      <c r="A1716" s="1">
        <v>2074</v>
      </c>
      <c r="B1716" s="1" t="s">
        <v>3224</v>
      </c>
      <c r="C1716" s="1" t="s">
        <v>232</v>
      </c>
      <c r="D1716" s="1">
        <f>COUNTIFS('Raw Entries'!B:B,Table4[[#This Row],[Name]],'Raw Entries'!I:I,Table4[[#This Row],[BOOK No.]])</f>
        <v>0</v>
      </c>
      <c r="E1716" s="1">
        <f t="array" ref="E1716">IF(OR(Table4[[#This Row],[INSTALLMENT]]=1,Table4[[#This Row],[INSTALLMENT]]=2,Table4[[#This Row],[INSTALLMENT]]=3),1,0)</f>
        <v>0</v>
      </c>
      <c r="F1716" s="1">
        <f>IF(OR(Table4[[#This Row],[INSTALLMENT]]=2,Table4[[#This Row],[INSTALLMENT]]=3),2,0)</f>
        <v>0</v>
      </c>
      <c r="G1716" s="1">
        <f>IF(OR(Table4[[#This Row],[INSTALLMENT]]=3),3,0)</f>
        <v>0</v>
      </c>
    </row>
    <row r="1717" spans="1:7">
      <c r="A1717" s="1">
        <v>2075</v>
      </c>
      <c r="B1717" s="1" t="s">
        <v>3225</v>
      </c>
      <c r="C1717" s="1" t="s">
        <v>232</v>
      </c>
      <c r="D1717" s="1">
        <f>COUNTIFS('Raw Entries'!B:B,Table4[[#This Row],[Name]],'Raw Entries'!I:I,Table4[[#This Row],[BOOK No.]])</f>
        <v>0</v>
      </c>
      <c r="E1717" s="1">
        <f t="array" ref="E1717">IF(OR(Table4[[#This Row],[INSTALLMENT]]=1,Table4[[#This Row],[INSTALLMENT]]=2,Table4[[#This Row],[INSTALLMENT]]=3),1,0)</f>
        <v>0</v>
      </c>
      <c r="F1717" s="1">
        <f>IF(OR(Table4[[#This Row],[INSTALLMENT]]=2,Table4[[#This Row],[INSTALLMENT]]=3),2,0)</f>
        <v>0</v>
      </c>
      <c r="G1717" s="1">
        <f>IF(OR(Table4[[#This Row],[INSTALLMENT]]=3),3,0)</f>
        <v>0</v>
      </c>
    </row>
    <row r="1718" spans="1:7">
      <c r="A1718" s="1">
        <v>2076</v>
      </c>
      <c r="B1718" s="1" t="s">
        <v>3226</v>
      </c>
      <c r="C1718" s="1" t="s">
        <v>232</v>
      </c>
      <c r="D1718" s="1">
        <f>COUNTIFS('Raw Entries'!B:B,Table4[[#This Row],[Name]],'Raw Entries'!I:I,Table4[[#This Row],[BOOK No.]])</f>
        <v>0</v>
      </c>
      <c r="E1718" s="1">
        <f t="array" ref="E1718">IF(OR(Table4[[#This Row],[INSTALLMENT]]=1,Table4[[#This Row],[INSTALLMENT]]=2,Table4[[#This Row],[INSTALLMENT]]=3),1,0)</f>
        <v>0</v>
      </c>
      <c r="F1718" s="1">
        <f>IF(OR(Table4[[#This Row],[INSTALLMENT]]=2,Table4[[#This Row],[INSTALLMENT]]=3),2,0)</f>
        <v>0</v>
      </c>
      <c r="G1718" s="1">
        <f>IF(OR(Table4[[#This Row],[INSTALLMENT]]=3),3,0)</f>
        <v>0</v>
      </c>
    </row>
    <row r="1719" spans="1:7">
      <c r="A1719" s="1">
        <v>2077</v>
      </c>
      <c r="B1719" s="1" t="s">
        <v>236</v>
      </c>
      <c r="C1719" s="1" t="s">
        <v>232</v>
      </c>
      <c r="D1719" s="1">
        <f>COUNTIFS('Raw Entries'!B:B,Table4[[#This Row],[Name]],'Raw Entries'!I:I,Table4[[#This Row],[BOOK No.]])</f>
        <v>1</v>
      </c>
      <c r="E1719" s="1">
        <f t="array" ref="E1719">IF(OR(Table4[[#This Row],[INSTALLMENT]]=1,Table4[[#This Row],[INSTALLMENT]]=2,Table4[[#This Row],[INSTALLMENT]]=3),1,0)</f>
        <v>1</v>
      </c>
      <c r="F1719" s="1">
        <f>IF(OR(Table4[[#This Row],[INSTALLMENT]]=2,Table4[[#This Row],[INSTALLMENT]]=3),2,0)</f>
        <v>0</v>
      </c>
      <c r="G1719" s="1">
        <f>IF(OR(Table4[[#This Row],[INSTALLMENT]]=3),3,0)</f>
        <v>0</v>
      </c>
    </row>
    <row r="1720" spans="1:7">
      <c r="A1720" s="1">
        <v>2078</v>
      </c>
      <c r="B1720" s="1" t="s">
        <v>3227</v>
      </c>
      <c r="C1720" s="1" t="s">
        <v>232</v>
      </c>
      <c r="D1720" s="1">
        <f>COUNTIFS('Raw Entries'!B:B,Table4[[#This Row],[Name]],'Raw Entries'!I:I,Table4[[#This Row],[BOOK No.]])</f>
        <v>0</v>
      </c>
      <c r="E1720" s="1">
        <f t="array" ref="E1720">IF(OR(Table4[[#This Row],[INSTALLMENT]]=1,Table4[[#This Row],[INSTALLMENT]]=2,Table4[[#This Row],[INSTALLMENT]]=3),1,0)</f>
        <v>0</v>
      </c>
      <c r="F1720" s="1">
        <f>IF(OR(Table4[[#This Row],[INSTALLMENT]]=2,Table4[[#This Row],[INSTALLMENT]]=3),2,0)</f>
        <v>0</v>
      </c>
      <c r="G1720" s="1">
        <f>IF(OR(Table4[[#This Row],[INSTALLMENT]]=3),3,0)</f>
        <v>0</v>
      </c>
    </row>
    <row r="1721" spans="1:7">
      <c r="A1721" s="1">
        <v>2079</v>
      </c>
      <c r="B1721" s="1" t="s">
        <v>3228</v>
      </c>
      <c r="C1721" s="1" t="s">
        <v>232</v>
      </c>
      <c r="D1721" s="1">
        <f>COUNTIFS('Raw Entries'!B:B,Table4[[#This Row],[Name]],'Raw Entries'!I:I,Table4[[#This Row],[BOOK No.]])</f>
        <v>0</v>
      </c>
      <c r="E1721" s="1">
        <f t="array" ref="E1721">IF(OR(Table4[[#This Row],[INSTALLMENT]]=1,Table4[[#This Row],[INSTALLMENT]]=2,Table4[[#This Row],[INSTALLMENT]]=3),1,0)</f>
        <v>0</v>
      </c>
      <c r="F1721" s="1">
        <f>IF(OR(Table4[[#This Row],[INSTALLMENT]]=2,Table4[[#This Row],[INSTALLMENT]]=3),2,0)</f>
        <v>0</v>
      </c>
      <c r="G1721" s="1">
        <f>IF(OR(Table4[[#This Row],[INSTALLMENT]]=3),3,0)</f>
        <v>0</v>
      </c>
    </row>
    <row r="1722" spans="1:7">
      <c r="A1722" s="1">
        <v>2080</v>
      </c>
      <c r="B1722" s="1" t="s">
        <v>636</v>
      </c>
      <c r="C1722" s="1" t="s">
        <v>232</v>
      </c>
      <c r="D1722" s="1">
        <f>COUNTIFS('Raw Entries'!B:B,Table4[[#This Row],[Name]],'Raw Entries'!I:I,Table4[[#This Row],[BOOK No.]])</f>
        <v>1</v>
      </c>
      <c r="E1722" s="1">
        <f t="array" ref="E1722">IF(OR(Table4[[#This Row],[INSTALLMENT]]=1,Table4[[#This Row],[INSTALLMENT]]=2,Table4[[#This Row],[INSTALLMENT]]=3),1,0)</f>
        <v>1</v>
      </c>
      <c r="F1722" s="1">
        <f>IF(OR(Table4[[#This Row],[INSTALLMENT]]=2,Table4[[#This Row],[INSTALLMENT]]=3),2,0)</f>
        <v>0</v>
      </c>
      <c r="G1722" s="1">
        <f>IF(OR(Table4[[#This Row],[INSTALLMENT]]=3),3,0)</f>
        <v>0</v>
      </c>
    </row>
    <row r="1723" spans="1:7">
      <c r="A1723" s="1">
        <v>2081</v>
      </c>
      <c r="B1723" s="1" t="s">
        <v>3229</v>
      </c>
      <c r="C1723" s="1" t="s">
        <v>232</v>
      </c>
      <c r="D1723" s="1">
        <f>COUNTIFS('Raw Entries'!B:B,Table4[[#This Row],[Name]],'Raw Entries'!I:I,Table4[[#This Row],[BOOK No.]])</f>
        <v>1</v>
      </c>
      <c r="E1723" s="1">
        <f t="array" ref="E1723">IF(OR(Table4[[#This Row],[INSTALLMENT]]=1,Table4[[#This Row],[INSTALLMENT]]=2,Table4[[#This Row],[INSTALLMENT]]=3),1,0)</f>
        <v>1</v>
      </c>
      <c r="F1723" s="1">
        <f>IF(OR(Table4[[#This Row],[INSTALLMENT]]=2,Table4[[#This Row],[INSTALLMENT]]=3),2,0)</f>
        <v>0</v>
      </c>
      <c r="G1723" s="1">
        <f>IF(OR(Table4[[#This Row],[INSTALLMENT]]=3),3,0)</f>
        <v>0</v>
      </c>
    </row>
    <row r="1724" spans="1:7">
      <c r="A1724" s="1">
        <v>2082</v>
      </c>
      <c r="B1724" s="1" t="s">
        <v>248</v>
      </c>
      <c r="C1724" s="1" t="s">
        <v>232</v>
      </c>
      <c r="D1724" s="1">
        <f>COUNTIFS('Raw Entries'!B:B,Table4[[#This Row],[Name]],'Raw Entries'!I:I,Table4[[#This Row],[BOOK No.]])</f>
        <v>3</v>
      </c>
      <c r="E1724" s="1">
        <f t="array" ref="E1724">IF(OR(Table4[[#This Row],[INSTALLMENT]]=1,Table4[[#This Row],[INSTALLMENT]]=2,Table4[[#This Row],[INSTALLMENT]]=3),1,0)</f>
        <v>1</v>
      </c>
      <c r="F1724" s="1">
        <f>IF(OR(Table4[[#This Row],[INSTALLMENT]]=2,Table4[[#This Row],[INSTALLMENT]]=3),2,0)</f>
        <v>2</v>
      </c>
      <c r="G1724" s="1">
        <f>IF(OR(Table4[[#This Row],[INSTALLMENT]]=3),3,0)</f>
        <v>3</v>
      </c>
    </row>
    <row r="1725" spans="1:7">
      <c r="A1725" s="1">
        <v>2083</v>
      </c>
      <c r="B1725" s="1" t="s">
        <v>3230</v>
      </c>
      <c r="C1725" s="1" t="s">
        <v>232</v>
      </c>
      <c r="D1725" s="1">
        <f>COUNTIFS('Raw Entries'!B:B,Table4[[#This Row],[Name]],'Raw Entries'!I:I,Table4[[#This Row],[BOOK No.]])</f>
        <v>0</v>
      </c>
      <c r="E1725" s="1">
        <f t="array" ref="E1725">IF(OR(Table4[[#This Row],[INSTALLMENT]]=1,Table4[[#This Row],[INSTALLMENT]]=2,Table4[[#This Row],[INSTALLMENT]]=3),1,0)</f>
        <v>0</v>
      </c>
      <c r="F1725" s="1">
        <f>IF(OR(Table4[[#This Row],[INSTALLMENT]]=2,Table4[[#This Row],[INSTALLMENT]]=3),2,0)</f>
        <v>0</v>
      </c>
      <c r="G1725" s="1">
        <f>IF(OR(Table4[[#This Row],[INSTALLMENT]]=3),3,0)</f>
        <v>0</v>
      </c>
    </row>
    <row r="1726" spans="1:7">
      <c r="A1726" s="1">
        <v>2084</v>
      </c>
      <c r="B1726" s="1" t="s">
        <v>3231</v>
      </c>
      <c r="C1726" s="1" t="s">
        <v>232</v>
      </c>
      <c r="D1726" s="1">
        <f>COUNTIFS('Raw Entries'!B:B,Table4[[#This Row],[Name]],'Raw Entries'!I:I,Table4[[#This Row],[BOOK No.]])</f>
        <v>0</v>
      </c>
      <c r="E1726" s="1">
        <f t="array" ref="E1726">IF(OR(Table4[[#This Row],[INSTALLMENT]]=1,Table4[[#This Row],[INSTALLMENT]]=2,Table4[[#This Row],[INSTALLMENT]]=3),1,0)</f>
        <v>0</v>
      </c>
      <c r="F1726" s="1">
        <f>IF(OR(Table4[[#This Row],[INSTALLMENT]]=2,Table4[[#This Row],[INSTALLMENT]]=3),2,0)</f>
        <v>0</v>
      </c>
      <c r="G1726" s="1">
        <f>IF(OR(Table4[[#This Row],[INSTALLMENT]]=3),3,0)</f>
        <v>0</v>
      </c>
    </row>
    <row r="1727" spans="1:7">
      <c r="A1727" s="1">
        <v>2085</v>
      </c>
      <c r="B1727" s="1" t="s">
        <v>3232</v>
      </c>
      <c r="C1727" s="1" t="s">
        <v>232</v>
      </c>
      <c r="D1727" s="1">
        <f>COUNTIFS('Raw Entries'!B:B,Table4[[#This Row],[Name]],'Raw Entries'!I:I,Table4[[#This Row],[BOOK No.]])</f>
        <v>0</v>
      </c>
      <c r="E1727" s="1">
        <f t="array" ref="E1727">IF(OR(Table4[[#This Row],[INSTALLMENT]]=1,Table4[[#This Row],[INSTALLMENT]]=2,Table4[[#This Row],[INSTALLMENT]]=3),1,0)</f>
        <v>0</v>
      </c>
      <c r="F1727" s="1">
        <f>IF(OR(Table4[[#This Row],[INSTALLMENT]]=2,Table4[[#This Row],[INSTALLMENT]]=3),2,0)</f>
        <v>0</v>
      </c>
      <c r="G1727" s="1">
        <f>IF(OR(Table4[[#This Row],[INSTALLMENT]]=3),3,0)</f>
        <v>0</v>
      </c>
    </row>
    <row r="1728" spans="1:7">
      <c r="A1728" s="1">
        <v>2086</v>
      </c>
      <c r="B1728" s="1" t="s">
        <v>3233</v>
      </c>
      <c r="C1728" s="1" t="s">
        <v>232</v>
      </c>
      <c r="D1728" s="1">
        <f>COUNTIFS('Raw Entries'!B:B,Table4[[#This Row],[Name]],'Raw Entries'!I:I,Table4[[#This Row],[BOOK No.]])</f>
        <v>0</v>
      </c>
      <c r="E1728" s="1">
        <f t="array" ref="E1728">IF(OR(Table4[[#This Row],[INSTALLMENT]]=1,Table4[[#This Row],[INSTALLMENT]]=2,Table4[[#This Row],[INSTALLMENT]]=3),1,0)</f>
        <v>0</v>
      </c>
      <c r="F1728" s="1">
        <f>IF(OR(Table4[[#This Row],[INSTALLMENT]]=2,Table4[[#This Row],[INSTALLMENT]]=3),2,0)</f>
        <v>0</v>
      </c>
      <c r="G1728" s="1">
        <f>IF(OR(Table4[[#This Row],[INSTALLMENT]]=3),3,0)</f>
        <v>0</v>
      </c>
    </row>
    <row r="1729" spans="1:7">
      <c r="A1729" s="1">
        <v>2087</v>
      </c>
      <c r="B1729" s="1" t="s">
        <v>3234</v>
      </c>
      <c r="C1729" s="1" t="s">
        <v>232</v>
      </c>
      <c r="D1729" s="1">
        <f>COUNTIFS('Raw Entries'!B:B,Table4[[#This Row],[Name]],'Raw Entries'!I:I,Table4[[#This Row],[BOOK No.]])</f>
        <v>1</v>
      </c>
      <c r="E1729" s="1">
        <f t="array" ref="E1729">IF(OR(Table4[[#This Row],[INSTALLMENT]]=1,Table4[[#This Row],[INSTALLMENT]]=2,Table4[[#This Row],[INSTALLMENT]]=3),1,0)</f>
        <v>1</v>
      </c>
      <c r="F1729" s="1">
        <f>IF(OR(Table4[[#This Row],[INSTALLMENT]]=2,Table4[[#This Row],[INSTALLMENT]]=3),2,0)</f>
        <v>0</v>
      </c>
      <c r="G1729" s="1">
        <f>IF(OR(Table4[[#This Row],[INSTALLMENT]]=3),3,0)</f>
        <v>0</v>
      </c>
    </row>
    <row r="1730" spans="1:7">
      <c r="A1730" s="1">
        <v>2088</v>
      </c>
      <c r="B1730" s="1" t="s">
        <v>3235</v>
      </c>
      <c r="C1730" s="1" t="s">
        <v>232</v>
      </c>
      <c r="D1730" s="1">
        <f>COUNTIFS('Raw Entries'!B:B,Table4[[#This Row],[Name]],'Raw Entries'!I:I,Table4[[#This Row],[BOOK No.]])</f>
        <v>0</v>
      </c>
      <c r="E1730" s="1">
        <f t="array" ref="E1730">IF(OR(Table4[[#This Row],[INSTALLMENT]]=1,Table4[[#This Row],[INSTALLMENT]]=2,Table4[[#This Row],[INSTALLMENT]]=3),1,0)</f>
        <v>0</v>
      </c>
      <c r="F1730" s="1">
        <f>IF(OR(Table4[[#This Row],[INSTALLMENT]]=2,Table4[[#This Row],[INSTALLMENT]]=3),2,0)</f>
        <v>0</v>
      </c>
      <c r="G1730" s="1">
        <f>IF(OR(Table4[[#This Row],[INSTALLMENT]]=3),3,0)</f>
        <v>0</v>
      </c>
    </row>
    <row r="1731" spans="1:7">
      <c r="A1731" s="1">
        <v>2089</v>
      </c>
      <c r="B1731" s="1" t="s">
        <v>250</v>
      </c>
      <c r="C1731" s="1" t="s">
        <v>232</v>
      </c>
      <c r="D1731" s="1">
        <f>COUNTIFS('Raw Entries'!B:B,Table4[[#This Row],[Name]],'Raw Entries'!I:I,Table4[[#This Row],[BOOK No.]])</f>
        <v>1</v>
      </c>
      <c r="E1731" s="1">
        <f t="array" ref="E1731">IF(OR(Table4[[#This Row],[INSTALLMENT]]=1,Table4[[#This Row],[INSTALLMENT]]=2,Table4[[#This Row],[INSTALLMENT]]=3),1,0)</f>
        <v>1</v>
      </c>
      <c r="F1731" s="1">
        <f>IF(OR(Table4[[#This Row],[INSTALLMENT]]=2,Table4[[#This Row],[INSTALLMENT]]=3),2,0)</f>
        <v>0</v>
      </c>
      <c r="G1731" s="1">
        <f>IF(OR(Table4[[#This Row],[INSTALLMENT]]=3),3,0)</f>
        <v>0</v>
      </c>
    </row>
    <row r="1732" spans="1:7">
      <c r="A1732" s="1">
        <v>2090</v>
      </c>
      <c r="B1732" s="1" t="s">
        <v>251</v>
      </c>
      <c r="C1732" s="1" t="s">
        <v>232</v>
      </c>
      <c r="D1732" s="1">
        <f>COUNTIFS('Raw Entries'!B:B,Table4[[#This Row],[Name]],'Raw Entries'!I:I,Table4[[#This Row],[BOOK No.]])</f>
        <v>1</v>
      </c>
      <c r="E1732" s="1">
        <f t="array" ref="E1732">IF(OR(Table4[[#This Row],[INSTALLMENT]]=1,Table4[[#This Row],[INSTALLMENT]]=2,Table4[[#This Row],[INSTALLMENT]]=3),1,0)</f>
        <v>1</v>
      </c>
      <c r="F1732" s="1">
        <f>IF(OR(Table4[[#This Row],[INSTALLMENT]]=2,Table4[[#This Row],[INSTALLMENT]]=3),2,0)</f>
        <v>0</v>
      </c>
      <c r="G1732" s="1">
        <f>IF(OR(Table4[[#This Row],[INSTALLMENT]]=3),3,0)</f>
        <v>0</v>
      </c>
    </row>
    <row r="1733" spans="1:7">
      <c r="A1733" s="1">
        <v>2091</v>
      </c>
      <c r="B1733" s="1" t="s">
        <v>3236</v>
      </c>
      <c r="C1733" s="1" t="s">
        <v>232</v>
      </c>
      <c r="D1733" s="1">
        <f>COUNTIFS('Raw Entries'!B:B,Table4[[#This Row],[Name]],'Raw Entries'!I:I,Table4[[#This Row],[BOOK No.]])</f>
        <v>0</v>
      </c>
      <c r="E1733" s="1">
        <f t="array" ref="E1733">IF(OR(Table4[[#This Row],[INSTALLMENT]]=1,Table4[[#This Row],[INSTALLMENT]]=2,Table4[[#This Row],[INSTALLMENT]]=3),1,0)</f>
        <v>0</v>
      </c>
      <c r="F1733" s="1">
        <f>IF(OR(Table4[[#This Row],[INSTALLMENT]]=2,Table4[[#This Row],[INSTALLMENT]]=3),2,0)</f>
        <v>0</v>
      </c>
      <c r="G1733" s="1">
        <f>IF(OR(Table4[[#This Row],[INSTALLMENT]]=3),3,0)</f>
        <v>0</v>
      </c>
    </row>
    <row r="1734" spans="1:7">
      <c r="A1734" s="1">
        <v>2092</v>
      </c>
      <c r="B1734" s="1" t="s">
        <v>3237</v>
      </c>
      <c r="C1734" s="1" t="s">
        <v>232</v>
      </c>
      <c r="D1734" s="1">
        <f>COUNTIFS('Raw Entries'!B:B,Table4[[#This Row],[Name]],'Raw Entries'!I:I,Table4[[#This Row],[BOOK No.]])</f>
        <v>3</v>
      </c>
      <c r="E1734" s="1">
        <f t="array" ref="E1734">IF(OR(Table4[[#This Row],[INSTALLMENT]]=1,Table4[[#This Row],[INSTALLMENT]]=2,Table4[[#This Row],[INSTALLMENT]]=3),1,0)</f>
        <v>1</v>
      </c>
      <c r="F1734" s="1">
        <f>IF(OR(Table4[[#This Row],[INSTALLMENT]]=2,Table4[[#This Row],[INSTALLMENT]]=3),2,0)</f>
        <v>2</v>
      </c>
      <c r="G1734" s="1">
        <f>IF(OR(Table4[[#This Row],[INSTALLMENT]]=3),3,0)</f>
        <v>3</v>
      </c>
    </row>
    <row r="1735" spans="1:7">
      <c r="A1735" s="1">
        <v>2093</v>
      </c>
      <c r="B1735" s="1" t="s">
        <v>3238</v>
      </c>
      <c r="C1735" s="1" t="s">
        <v>232</v>
      </c>
      <c r="D1735" s="1">
        <f>COUNTIFS('Raw Entries'!B:B,Table4[[#This Row],[Name]],'Raw Entries'!I:I,Table4[[#This Row],[BOOK No.]])</f>
        <v>0</v>
      </c>
      <c r="E1735" s="1">
        <f t="array" ref="E1735">IF(OR(Table4[[#This Row],[INSTALLMENT]]=1,Table4[[#This Row],[INSTALLMENT]]=2,Table4[[#This Row],[INSTALLMENT]]=3),1,0)</f>
        <v>0</v>
      </c>
      <c r="F1735" s="1">
        <f>IF(OR(Table4[[#This Row],[INSTALLMENT]]=2,Table4[[#This Row],[INSTALLMENT]]=3),2,0)</f>
        <v>0</v>
      </c>
      <c r="G1735" s="1">
        <f>IF(OR(Table4[[#This Row],[INSTALLMENT]]=3),3,0)</f>
        <v>0</v>
      </c>
    </row>
    <row r="1736" spans="1:7">
      <c r="A1736" s="1">
        <v>2094</v>
      </c>
      <c r="B1736" s="1" t="s">
        <v>3239</v>
      </c>
      <c r="C1736" s="1" t="s">
        <v>232</v>
      </c>
      <c r="D1736" s="1">
        <f>COUNTIFS('Raw Entries'!B:B,Table4[[#This Row],[Name]],'Raw Entries'!I:I,Table4[[#This Row],[BOOK No.]])</f>
        <v>0</v>
      </c>
      <c r="E1736" s="1">
        <f t="array" ref="E1736">IF(OR(Table4[[#This Row],[INSTALLMENT]]=1,Table4[[#This Row],[INSTALLMENT]]=2,Table4[[#This Row],[INSTALLMENT]]=3),1,0)</f>
        <v>0</v>
      </c>
      <c r="F1736" s="1">
        <f>IF(OR(Table4[[#This Row],[INSTALLMENT]]=2,Table4[[#This Row],[INSTALLMENT]]=3),2,0)</f>
        <v>0</v>
      </c>
      <c r="G1736" s="1">
        <f>IF(OR(Table4[[#This Row],[INSTALLMENT]]=3),3,0)</f>
        <v>0</v>
      </c>
    </row>
    <row r="1737" spans="1:7">
      <c r="A1737" s="1">
        <v>2095</v>
      </c>
      <c r="B1737" s="1" t="s">
        <v>643</v>
      </c>
      <c r="C1737" s="1" t="s">
        <v>232</v>
      </c>
      <c r="D1737" s="1">
        <f>COUNTIFS('Raw Entries'!B:B,Table4[[#This Row],[Name]],'Raw Entries'!I:I,Table4[[#This Row],[BOOK No.]])</f>
        <v>1</v>
      </c>
      <c r="E1737" s="1">
        <f t="array" ref="E1737">IF(OR(Table4[[#This Row],[INSTALLMENT]]=1,Table4[[#This Row],[INSTALLMENT]]=2,Table4[[#This Row],[INSTALLMENT]]=3),1,0)</f>
        <v>1</v>
      </c>
      <c r="F1737" s="1">
        <f>IF(OR(Table4[[#This Row],[INSTALLMENT]]=2,Table4[[#This Row],[INSTALLMENT]]=3),2,0)</f>
        <v>0</v>
      </c>
      <c r="G1737" s="1">
        <f>IF(OR(Table4[[#This Row],[INSTALLMENT]]=3),3,0)</f>
        <v>0</v>
      </c>
    </row>
    <row r="1738" spans="1:7">
      <c r="A1738" s="1">
        <v>2096</v>
      </c>
      <c r="B1738" s="1" t="s">
        <v>2338</v>
      </c>
      <c r="C1738" s="1" t="s">
        <v>232</v>
      </c>
      <c r="D1738" s="1">
        <f>COUNTIFS('Raw Entries'!B:B,Table4[[#This Row],[Name]],'Raw Entries'!I:I,Table4[[#This Row],[BOOK No.]])</f>
        <v>0</v>
      </c>
      <c r="E1738" s="1">
        <f t="array" ref="E1738">IF(OR(Table4[[#This Row],[INSTALLMENT]]=1,Table4[[#This Row],[INSTALLMENT]]=2,Table4[[#This Row],[INSTALLMENT]]=3),1,0)</f>
        <v>0</v>
      </c>
      <c r="F1738" s="1">
        <f>IF(OR(Table4[[#This Row],[INSTALLMENT]]=2,Table4[[#This Row],[INSTALLMENT]]=3),2,0)</f>
        <v>0</v>
      </c>
      <c r="G1738" s="1">
        <f>IF(OR(Table4[[#This Row],[INSTALLMENT]]=3),3,0)</f>
        <v>0</v>
      </c>
    </row>
    <row r="1739" spans="1:7">
      <c r="A1739" s="1">
        <v>2097</v>
      </c>
      <c r="B1739" s="1" t="s">
        <v>240</v>
      </c>
      <c r="C1739" s="1" t="s">
        <v>232</v>
      </c>
      <c r="D1739" s="1">
        <f>COUNTIFS('Raw Entries'!B:B,Table4[[#This Row],[Name]],'Raw Entries'!I:I,Table4[[#This Row],[BOOK No.]])</f>
        <v>2</v>
      </c>
      <c r="E1739" s="1">
        <f t="array" ref="E1739">IF(OR(Table4[[#This Row],[INSTALLMENT]]=1,Table4[[#This Row],[INSTALLMENT]]=2,Table4[[#This Row],[INSTALLMENT]]=3),1,0)</f>
        <v>1</v>
      </c>
      <c r="F1739" s="1">
        <f>IF(OR(Table4[[#This Row],[INSTALLMENT]]=2,Table4[[#This Row],[INSTALLMENT]]=3),2,0)</f>
        <v>2</v>
      </c>
      <c r="G1739" s="1">
        <f>IF(OR(Table4[[#This Row],[INSTALLMENT]]=3),3,0)</f>
        <v>0</v>
      </c>
    </row>
    <row r="1740" spans="1:7">
      <c r="A1740" s="1">
        <v>2098</v>
      </c>
      <c r="B1740" s="1" t="s">
        <v>241</v>
      </c>
      <c r="C1740" s="1" t="s">
        <v>232</v>
      </c>
      <c r="D1740" s="1">
        <f>COUNTIFS('Raw Entries'!B:B,Table4[[#This Row],[Name]],'Raw Entries'!I:I,Table4[[#This Row],[BOOK No.]])</f>
        <v>1</v>
      </c>
      <c r="E1740" s="1">
        <f t="array" ref="E1740">IF(OR(Table4[[#This Row],[INSTALLMENT]]=1,Table4[[#This Row],[INSTALLMENT]]=2,Table4[[#This Row],[INSTALLMENT]]=3),1,0)</f>
        <v>1</v>
      </c>
      <c r="F1740" s="1">
        <f>IF(OR(Table4[[#This Row],[INSTALLMENT]]=2,Table4[[#This Row],[INSTALLMENT]]=3),2,0)</f>
        <v>0</v>
      </c>
      <c r="G1740" s="1">
        <f>IF(OR(Table4[[#This Row],[INSTALLMENT]]=3),3,0)</f>
        <v>0</v>
      </c>
    </row>
    <row r="1741" spans="1:7">
      <c r="A1741" s="1">
        <v>2099</v>
      </c>
      <c r="B1741" s="1" t="s">
        <v>3218</v>
      </c>
      <c r="C1741" s="1" t="s">
        <v>232</v>
      </c>
      <c r="D1741" s="1">
        <f>COUNTIFS('Raw Entries'!B:B,Table4[[#This Row],[Name]],'Raw Entries'!I:I,Table4[[#This Row],[BOOK No.]])</f>
        <v>0</v>
      </c>
      <c r="E1741" s="1">
        <f t="array" ref="E1741">IF(OR(Table4[[#This Row],[INSTALLMENT]]=1,Table4[[#This Row],[INSTALLMENT]]=2,Table4[[#This Row],[INSTALLMENT]]=3),1,0)</f>
        <v>0</v>
      </c>
      <c r="F1741" s="1">
        <f>IF(OR(Table4[[#This Row],[INSTALLMENT]]=2,Table4[[#This Row],[INSTALLMENT]]=3),2,0)</f>
        <v>0</v>
      </c>
      <c r="G1741" s="1">
        <f>IF(OR(Table4[[#This Row],[INSTALLMENT]]=3),3,0)</f>
        <v>0</v>
      </c>
    </row>
    <row r="1742" spans="1:7">
      <c r="A1742" s="1">
        <v>2100</v>
      </c>
      <c r="B1742" s="1" t="s">
        <v>3240</v>
      </c>
      <c r="C1742" s="1" t="s">
        <v>232</v>
      </c>
      <c r="D1742" s="1">
        <f>COUNTIFS('Raw Entries'!B:B,Table4[[#This Row],[Name]],'Raw Entries'!I:I,Table4[[#This Row],[BOOK No.]])</f>
        <v>1</v>
      </c>
      <c r="E1742" s="1">
        <f t="array" ref="E1742">IF(OR(Table4[[#This Row],[INSTALLMENT]]=1,Table4[[#This Row],[INSTALLMENT]]=2,Table4[[#This Row],[INSTALLMENT]]=3),1,0)</f>
        <v>1</v>
      </c>
      <c r="F1742" s="1">
        <f>IF(OR(Table4[[#This Row],[INSTALLMENT]]=2,Table4[[#This Row],[INSTALLMENT]]=3),2,0)</f>
        <v>0</v>
      </c>
      <c r="G1742" s="1">
        <f>IF(OR(Table4[[#This Row],[INSTALLMENT]]=3),3,0)</f>
        <v>0</v>
      </c>
    </row>
    <row r="1743" spans="1:7">
      <c r="A1743" s="1">
        <v>2101</v>
      </c>
      <c r="B1743" s="1" t="s">
        <v>3241</v>
      </c>
      <c r="C1743" s="1" t="s">
        <v>232</v>
      </c>
      <c r="D1743" s="1">
        <f>COUNTIFS('Raw Entries'!B:B,Table4[[#This Row],[Name]],'Raw Entries'!I:I,Table4[[#This Row],[BOOK No.]])</f>
        <v>0</v>
      </c>
      <c r="E1743" s="1">
        <f t="array" ref="E1743">IF(OR(Table4[[#This Row],[INSTALLMENT]]=1,Table4[[#This Row],[INSTALLMENT]]=2,Table4[[#This Row],[INSTALLMENT]]=3),1,0)</f>
        <v>0</v>
      </c>
      <c r="F1743" s="1">
        <f>IF(OR(Table4[[#This Row],[INSTALLMENT]]=2,Table4[[#This Row],[INSTALLMENT]]=3),2,0)</f>
        <v>0</v>
      </c>
      <c r="G1743" s="1">
        <f>IF(OR(Table4[[#This Row],[INSTALLMENT]]=3),3,0)</f>
        <v>0</v>
      </c>
    </row>
    <row r="1744" spans="1:7">
      <c r="A1744" s="1">
        <v>2102</v>
      </c>
      <c r="B1744" s="1" t="s">
        <v>3242</v>
      </c>
      <c r="C1744" s="1" t="s">
        <v>232</v>
      </c>
      <c r="D1744" s="1">
        <f>COUNTIFS('Raw Entries'!B:B,Table4[[#This Row],[Name]],'Raw Entries'!I:I,Table4[[#This Row],[BOOK No.]])</f>
        <v>0</v>
      </c>
      <c r="E1744" s="1">
        <f t="array" ref="E1744">IF(OR(Table4[[#This Row],[INSTALLMENT]]=1,Table4[[#This Row],[INSTALLMENT]]=2,Table4[[#This Row],[INSTALLMENT]]=3),1,0)</f>
        <v>0</v>
      </c>
      <c r="F1744" s="1">
        <f>IF(OR(Table4[[#This Row],[INSTALLMENT]]=2,Table4[[#This Row],[INSTALLMENT]]=3),2,0)</f>
        <v>0</v>
      </c>
      <c r="G1744" s="1">
        <f>IF(OR(Table4[[#This Row],[INSTALLMENT]]=3),3,0)</f>
        <v>0</v>
      </c>
    </row>
    <row r="1745" spans="1:7">
      <c r="A1745" s="1">
        <v>2103</v>
      </c>
      <c r="B1745" s="1" t="s">
        <v>3243</v>
      </c>
      <c r="C1745" s="1" t="s">
        <v>232</v>
      </c>
      <c r="D1745" s="1">
        <f>COUNTIFS('Raw Entries'!B:B,Table4[[#This Row],[Name]],'Raw Entries'!I:I,Table4[[#This Row],[BOOK No.]])</f>
        <v>0</v>
      </c>
      <c r="E1745" s="1">
        <f t="array" ref="E1745">IF(OR(Table4[[#This Row],[INSTALLMENT]]=1,Table4[[#This Row],[INSTALLMENT]]=2,Table4[[#This Row],[INSTALLMENT]]=3),1,0)</f>
        <v>0</v>
      </c>
      <c r="F1745" s="1">
        <f>IF(OR(Table4[[#This Row],[INSTALLMENT]]=2,Table4[[#This Row],[INSTALLMENT]]=3),2,0)</f>
        <v>0</v>
      </c>
      <c r="G1745" s="1">
        <f>IF(OR(Table4[[#This Row],[INSTALLMENT]]=3),3,0)</f>
        <v>0</v>
      </c>
    </row>
    <row r="1746" spans="1:7">
      <c r="A1746" s="1">
        <v>2104</v>
      </c>
      <c r="B1746" s="1" t="s">
        <v>218</v>
      </c>
      <c r="C1746" s="1" t="s">
        <v>232</v>
      </c>
      <c r="D1746" s="1">
        <f>COUNTIFS('Raw Entries'!B:B,Table4[[#This Row],[Name]],'Raw Entries'!I:I,Table4[[#This Row],[BOOK No.]])</f>
        <v>0</v>
      </c>
      <c r="E1746" s="1">
        <f t="array" ref="E1746">IF(OR(Table4[[#This Row],[INSTALLMENT]]=1,Table4[[#This Row],[INSTALLMENT]]=2,Table4[[#This Row],[INSTALLMENT]]=3),1,0)</f>
        <v>0</v>
      </c>
      <c r="F1746" s="1">
        <f>IF(OR(Table4[[#This Row],[INSTALLMENT]]=2,Table4[[#This Row],[INSTALLMENT]]=3),2,0)</f>
        <v>0</v>
      </c>
      <c r="G1746" s="1">
        <f>IF(OR(Table4[[#This Row],[INSTALLMENT]]=3),3,0)</f>
        <v>0</v>
      </c>
    </row>
    <row r="1747" spans="1:7">
      <c r="A1747" s="1">
        <v>2105</v>
      </c>
      <c r="B1747" s="1" t="s">
        <v>3244</v>
      </c>
      <c r="C1747" s="1" t="s">
        <v>232</v>
      </c>
      <c r="D1747" s="1">
        <f>COUNTIFS('Raw Entries'!B:B,Table4[[#This Row],[Name]],'Raw Entries'!I:I,Table4[[#This Row],[BOOK No.]])</f>
        <v>3</v>
      </c>
      <c r="E1747" s="1">
        <f t="array" ref="E1747">IF(OR(Table4[[#This Row],[INSTALLMENT]]=1,Table4[[#This Row],[INSTALLMENT]]=2,Table4[[#This Row],[INSTALLMENT]]=3),1,0)</f>
        <v>1</v>
      </c>
      <c r="F1747" s="1">
        <f>IF(OR(Table4[[#This Row],[INSTALLMENT]]=2,Table4[[#This Row],[INSTALLMENT]]=3),2,0)</f>
        <v>2</v>
      </c>
      <c r="G1747" s="1">
        <f>IF(OR(Table4[[#This Row],[INSTALLMENT]]=3),3,0)</f>
        <v>3</v>
      </c>
    </row>
    <row r="1748" spans="1:7">
      <c r="A1748" s="1">
        <v>2106</v>
      </c>
      <c r="B1748" s="1" t="s">
        <v>3245</v>
      </c>
      <c r="C1748" s="1" t="s">
        <v>232</v>
      </c>
      <c r="D1748" s="1">
        <f>COUNTIFS('Raw Entries'!B:B,Table4[[#This Row],[Name]],'Raw Entries'!I:I,Table4[[#This Row],[BOOK No.]])</f>
        <v>0</v>
      </c>
      <c r="E1748" s="1">
        <f t="array" ref="E1748">IF(OR(Table4[[#This Row],[INSTALLMENT]]=1,Table4[[#This Row],[INSTALLMENT]]=2,Table4[[#This Row],[INSTALLMENT]]=3),1,0)</f>
        <v>0</v>
      </c>
      <c r="F1748" s="1">
        <f>IF(OR(Table4[[#This Row],[INSTALLMENT]]=2,Table4[[#This Row],[INSTALLMENT]]=3),2,0)</f>
        <v>0</v>
      </c>
      <c r="G1748" s="1">
        <f>IF(OR(Table4[[#This Row],[INSTALLMENT]]=3),3,0)</f>
        <v>0</v>
      </c>
    </row>
    <row r="1749" spans="1:7">
      <c r="A1749" s="1">
        <v>2107</v>
      </c>
      <c r="B1749" s="1" t="s">
        <v>249</v>
      </c>
      <c r="C1749" s="1" t="s">
        <v>232</v>
      </c>
      <c r="D1749" s="1">
        <f>COUNTIFS('Raw Entries'!B:B,Table4[[#This Row],[Name]],'Raw Entries'!I:I,Table4[[#This Row],[BOOK No.]])</f>
        <v>1</v>
      </c>
      <c r="E1749" s="1">
        <f t="array" ref="E1749">IF(OR(Table4[[#This Row],[INSTALLMENT]]=1,Table4[[#This Row],[INSTALLMENT]]=2,Table4[[#This Row],[INSTALLMENT]]=3),1,0)</f>
        <v>1</v>
      </c>
      <c r="F1749" s="1">
        <f>IF(OR(Table4[[#This Row],[INSTALLMENT]]=2,Table4[[#This Row],[INSTALLMENT]]=3),2,0)</f>
        <v>0</v>
      </c>
      <c r="G1749" s="1">
        <f>IF(OR(Table4[[#This Row],[INSTALLMENT]]=3),3,0)</f>
        <v>0</v>
      </c>
    </row>
    <row r="1750" spans="1:7">
      <c r="A1750" s="1">
        <v>2108</v>
      </c>
      <c r="B1750" s="1" t="s">
        <v>3246</v>
      </c>
      <c r="C1750" s="1" t="s">
        <v>232</v>
      </c>
      <c r="D1750" s="1">
        <f>COUNTIFS('Raw Entries'!B:B,Table4[[#This Row],[Name]],'Raw Entries'!I:I,Table4[[#This Row],[BOOK No.]])</f>
        <v>0</v>
      </c>
      <c r="E1750" s="1">
        <f t="array" ref="E1750">IF(OR(Table4[[#This Row],[INSTALLMENT]]=1,Table4[[#This Row],[INSTALLMENT]]=2,Table4[[#This Row],[INSTALLMENT]]=3),1,0)</f>
        <v>0</v>
      </c>
      <c r="F1750" s="1">
        <f>IF(OR(Table4[[#This Row],[INSTALLMENT]]=2,Table4[[#This Row],[INSTALLMENT]]=3),2,0)</f>
        <v>0</v>
      </c>
      <c r="G1750" s="1">
        <f>IF(OR(Table4[[#This Row],[INSTALLMENT]]=3),3,0)</f>
        <v>0</v>
      </c>
    </row>
    <row r="1751" spans="1:7">
      <c r="A1751" s="1">
        <v>2109</v>
      </c>
      <c r="B1751" s="1" t="s">
        <v>3247</v>
      </c>
      <c r="C1751" s="1" t="s">
        <v>252</v>
      </c>
      <c r="D1751" s="1">
        <f>COUNTIFS('Raw Entries'!B:B,Table4[[#This Row],[Name]],'Raw Entries'!I:I,Table4[[#This Row],[BOOK No.]])</f>
        <v>0</v>
      </c>
      <c r="E1751" s="1">
        <f t="array" ref="E1751">IF(OR(Table4[[#This Row],[INSTALLMENT]]=1,Table4[[#This Row],[INSTALLMENT]]=2,Table4[[#This Row],[INSTALLMENT]]=3),1,0)</f>
        <v>0</v>
      </c>
      <c r="F1751" s="1">
        <f>IF(OR(Table4[[#This Row],[INSTALLMENT]]=2,Table4[[#This Row],[INSTALLMENT]]=3),2,0)</f>
        <v>0</v>
      </c>
      <c r="G1751" s="1">
        <f>IF(OR(Table4[[#This Row],[INSTALLMENT]]=3),3,0)</f>
        <v>0</v>
      </c>
    </row>
    <row r="1752" spans="1:7">
      <c r="A1752" s="1">
        <v>2110</v>
      </c>
      <c r="B1752" s="1" t="s">
        <v>263</v>
      </c>
      <c r="C1752" s="1" t="s">
        <v>252</v>
      </c>
      <c r="D1752" s="1">
        <f>COUNTIFS('Raw Entries'!B:B,Table4[[#This Row],[Name]],'Raw Entries'!I:I,Table4[[#This Row],[BOOK No.]])</f>
        <v>3</v>
      </c>
      <c r="E1752" s="1">
        <f t="array" ref="E1752">IF(OR(Table4[[#This Row],[INSTALLMENT]]=1,Table4[[#This Row],[INSTALLMENT]]=2,Table4[[#This Row],[INSTALLMENT]]=3),1,0)</f>
        <v>1</v>
      </c>
      <c r="F1752" s="1">
        <f>IF(OR(Table4[[#This Row],[INSTALLMENT]]=2,Table4[[#This Row],[INSTALLMENT]]=3),2,0)</f>
        <v>2</v>
      </c>
      <c r="G1752" s="1">
        <f>IF(OR(Table4[[#This Row],[INSTALLMENT]]=3),3,0)</f>
        <v>3</v>
      </c>
    </row>
    <row r="1753" spans="1:7">
      <c r="A1753" s="1">
        <v>2111</v>
      </c>
      <c r="B1753" s="1" t="s">
        <v>261</v>
      </c>
      <c r="C1753" s="1" t="s">
        <v>252</v>
      </c>
      <c r="D1753" s="1">
        <f>COUNTIFS('Raw Entries'!B:B,Table4[[#This Row],[Name]],'Raw Entries'!I:I,Table4[[#This Row],[BOOK No.]])</f>
        <v>3</v>
      </c>
      <c r="E1753" s="1">
        <f t="array" ref="E1753">IF(OR(Table4[[#This Row],[INSTALLMENT]]=1,Table4[[#This Row],[INSTALLMENT]]=2,Table4[[#This Row],[INSTALLMENT]]=3),1,0)</f>
        <v>1</v>
      </c>
      <c r="F1753" s="1">
        <f>IF(OR(Table4[[#This Row],[INSTALLMENT]]=2,Table4[[#This Row],[INSTALLMENT]]=3),2,0)</f>
        <v>2</v>
      </c>
      <c r="G1753" s="1">
        <f>IF(OR(Table4[[#This Row],[INSTALLMENT]]=3),3,0)</f>
        <v>3</v>
      </c>
    </row>
    <row r="1754" spans="1:7">
      <c r="A1754" s="1">
        <v>2112</v>
      </c>
      <c r="B1754" s="1" t="s">
        <v>3248</v>
      </c>
      <c r="C1754" s="1" t="s">
        <v>252</v>
      </c>
      <c r="D1754" s="1">
        <f>COUNTIFS('Raw Entries'!B:B,Table4[[#This Row],[Name]],'Raw Entries'!I:I,Table4[[#This Row],[BOOK No.]])</f>
        <v>0</v>
      </c>
      <c r="E1754" s="1">
        <f t="array" ref="E1754">IF(OR(Table4[[#This Row],[INSTALLMENT]]=1,Table4[[#This Row],[INSTALLMENT]]=2,Table4[[#This Row],[INSTALLMENT]]=3),1,0)</f>
        <v>0</v>
      </c>
      <c r="F1754" s="1">
        <f>IF(OR(Table4[[#This Row],[INSTALLMENT]]=2,Table4[[#This Row],[INSTALLMENT]]=3),2,0)</f>
        <v>0</v>
      </c>
      <c r="G1754" s="1">
        <f>IF(OR(Table4[[#This Row],[INSTALLMENT]]=3),3,0)</f>
        <v>0</v>
      </c>
    </row>
    <row r="1755" spans="1:7">
      <c r="A1755" s="1">
        <v>2113</v>
      </c>
      <c r="B1755" s="1" t="s">
        <v>3249</v>
      </c>
      <c r="C1755" s="1" t="s">
        <v>252</v>
      </c>
      <c r="D1755" s="1">
        <f>COUNTIFS('Raw Entries'!B:B,Table4[[#This Row],[Name]],'Raw Entries'!I:I,Table4[[#This Row],[BOOK No.]])</f>
        <v>0</v>
      </c>
      <c r="E1755" s="1">
        <f t="array" ref="E1755">IF(OR(Table4[[#This Row],[INSTALLMENT]]=1,Table4[[#This Row],[INSTALLMENT]]=2,Table4[[#This Row],[INSTALLMENT]]=3),1,0)</f>
        <v>0</v>
      </c>
      <c r="F1755" s="1">
        <f>IF(OR(Table4[[#This Row],[INSTALLMENT]]=2,Table4[[#This Row],[INSTALLMENT]]=3),2,0)</f>
        <v>0</v>
      </c>
      <c r="G1755" s="1">
        <f>IF(OR(Table4[[#This Row],[INSTALLMENT]]=3),3,0)</f>
        <v>0</v>
      </c>
    </row>
    <row r="1756" spans="1:7">
      <c r="A1756" s="1">
        <v>2114</v>
      </c>
      <c r="B1756" s="1" t="s">
        <v>3250</v>
      </c>
      <c r="C1756" s="1" t="s">
        <v>252</v>
      </c>
      <c r="D1756" s="1">
        <f>COUNTIFS('Raw Entries'!B:B,Table4[[#This Row],[Name]],'Raw Entries'!I:I,Table4[[#This Row],[BOOK No.]])</f>
        <v>0</v>
      </c>
      <c r="E1756" s="1">
        <f t="array" ref="E1756">IF(OR(Table4[[#This Row],[INSTALLMENT]]=1,Table4[[#This Row],[INSTALLMENT]]=2,Table4[[#This Row],[INSTALLMENT]]=3),1,0)</f>
        <v>0</v>
      </c>
      <c r="F1756" s="1">
        <f>IF(OR(Table4[[#This Row],[INSTALLMENT]]=2,Table4[[#This Row],[INSTALLMENT]]=3),2,0)</f>
        <v>0</v>
      </c>
      <c r="G1756" s="1">
        <f>IF(OR(Table4[[#This Row],[INSTALLMENT]]=3),3,0)</f>
        <v>0</v>
      </c>
    </row>
    <row r="1757" spans="1:7">
      <c r="A1757" s="1">
        <v>2115</v>
      </c>
      <c r="B1757" s="1" t="s">
        <v>3251</v>
      </c>
      <c r="C1757" s="1" t="s">
        <v>252</v>
      </c>
      <c r="D1757" s="1">
        <f>COUNTIFS('Raw Entries'!B:B,Table4[[#This Row],[Name]],'Raw Entries'!I:I,Table4[[#This Row],[BOOK No.]])</f>
        <v>0</v>
      </c>
      <c r="E1757" s="1">
        <f t="array" ref="E1757">IF(OR(Table4[[#This Row],[INSTALLMENT]]=1,Table4[[#This Row],[INSTALLMENT]]=2,Table4[[#This Row],[INSTALLMENT]]=3),1,0)</f>
        <v>0</v>
      </c>
      <c r="F1757" s="1">
        <f>IF(OR(Table4[[#This Row],[INSTALLMENT]]=2,Table4[[#This Row],[INSTALLMENT]]=3),2,0)</f>
        <v>0</v>
      </c>
      <c r="G1757" s="1">
        <f>IF(OR(Table4[[#This Row],[INSTALLMENT]]=3),3,0)</f>
        <v>0</v>
      </c>
    </row>
    <row r="1758" spans="1:7">
      <c r="A1758" s="1">
        <v>2116</v>
      </c>
      <c r="B1758" s="1" t="s">
        <v>259</v>
      </c>
      <c r="C1758" s="1" t="s">
        <v>252</v>
      </c>
      <c r="D1758" s="1">
        <f>COUNTIFS('Raw Entries'!B:B,Table4[[#This Row],[Name]],'Raw Entries'!I:I,Table4[[#This Row],[BOOK No.]])</f>
        <v>1</v>
      </c>
      <c r="E1758" s="1">
        <f t="array" ref="E1758">IF(OR(Table4[[#This Row],[INSTALLMENT]]=1,Table4[[#This Row],[INSTALLMENT]]=2,Table4[[#This Row],[INSTALLMENT]]=3),1,0)</f>
        <v>1</v>
      </c>
      <c r="F1758" s="1">
        <f>IF(OR(Table4[[#This Row],[INSTALLMENT]]=2,Table4[[#This Row],[INSTALLMENT]]=3),2,0)</f>
        <v>0</v>
      </c>
      <c r="G1758" s="1">
        <f>IF(OR(Table4[[#This Row],[INSTALLMENT]]=3),3,0)</f>
        <v>0</v>
      </c>
    </row>
    <row r="1759" spans="1:7">
      <c r="A1759" s="1">
        <v>2117</v>
      </c>
      <c r="B1759" s="1" t="s">
        <v>3252</v>
      </c>
      <c r="C1759" s="1" t="s">
        <v>252</v>
      </c>
      <c r="D1759" s="1">
        <f>COUNTIFS('Raw Entries'!B:B,Table4[[#This Row],[Name]],'Raw Entries'!I:I,Table4[[#This Row],[BOOK No.]])</f>
        <v>0</v>
      </c>
      <c r="E1759" s="1">
        <f t="array" ref="E1759">IF(OR(Table4[[#This Row],[INSTALLMENT]]=1,Table4[[#This Row],[INSTALLMENT]]=2,Table4[[#This Row],[INSTALLMENT]]=3),1,0)</f>
        <v>0</v>
      </c>
      <c r="F1759" s="1">
        <f>IF(OR(Table4[[#This Row],[INSTALLMENT]]=2,Table4[[#This Row],[INSTALLMENT]]=3),2,0)</f>
        <v>0</v>
      </c>
      <c r="G1759" s="1">
        <f>IF(OR(Table4[[#This Row],[INSTALLMENT]]=3),3,0)</f>
        <v>0</v>
      </c>
    </row>
    <row r="1760" spans="1:7">
      <c r="A1760" s="1">
        <v>2118</v>
      </c>
      <c r="B1760" s="1" t="s">
        <v>626</v>
      </c>
      <c r="C1760" s="1" t="s">
        <v>252</v>
      </c>
      <c r="D1760" s="1">
        <f>COUNTIFS('Raw Entries'!B:B,Table4[[#This Row],[Name]],'Raw Entries'!I:I,Table4[[#This Row],[BOOK No.]])</f>
        <v>1</v>
      </c>
      <c r="E1760" s="1">
        <f t="array" ref="E1760">IF(OR(Table4[[#This Row],[INSTALLMENT]]=1,Table4[[#This Row],[INSTALLMENT]]=2,Table4[[#This Row],[INSTALLMENT]]=3),1,0)</f>
        <v>1</v>
      </c>
      <c r="F1760" s="1">
        <f>IF(OR(Table4[[#This Row],[INSTALLMENT]]=2,Table4[[#This Row],[INSTALLMENT]]=3),2,0)</f>
        <v>0</v>
      </c>
      <c r="G1760" s="1">
        <f>IF(OR(Table4[[#This Row],[INSTALLMENT]]=3),3,0)</f>
        <v>0</v>
      </c>
    </row>
    <row r="1761" spans="1:7">
      <c r="A1761" s="1">
        <v>2119</v>
      </c>
      <c r="B1761" s="1" t="s">
        <v>613</v>
      </c>
      <c r="C1761" s="1" t="s">
        <v>252</v>
      </c>
      <c r="D1761" s="1">
        <f>COUNTIFS('Raw Entries'!B:B,Table4[[#This Row],[Name]],'Raw Entries'!I:I,Table4[[#This Row],[BOOK No.]])</f>
        <v>3</v>
      </c>
      <c r="E1761" s="1">
        <f t="array" ref="E1761">IF(OR(Table4[[#This Row],[INSTALLMENT]]=1,Table4[[#This Row],[INSTALLMENT]]=2,Table4[[#This Row],[INSTALLMENT]]=3),1,0)</f>
        <v>1</v>
      </c>
      <c r="F1761" s="1">
        <f>IF(OR(Table4[[#This Row],[INSTALLMENT]]=2,Table4[[#This Row],[INSTALLMENT]]=3),2,0)</f>
        <v>2</v>
      </c>
      <c r="G1761" s="1">
        <f>IF(OR(Table4[[#This Row],[INSTALLMENT]]=3),3,0)</f>
        <v>3</v>
      </c>
    </row>
    <row r="1762" spans="1:7">
      <c r="A1762" s="1">
        <v>2120</v>
      </c>
      <c r="B1762" s="1" t="s">
        <v>3253</v>
      </c>
      <c r="C1762" s="1" t="s">
        <v>252</v>
      </c>
      <c r="D1762" s="1">
        <f>COUNTIFS('Raw Entries'!B:B,Table4[[#This Row],[Name]],'Raw Entries'!I:I,Table4[[#This Row],[BOOK No.]])</f>
        <v>0</v>
      </c>
      <c r="E1762" s="1">
        <f t="array" ref="E1762">IF(OR(Table4[[#This Row],[INSTALLMENT]]=1,Table4[[#This Row],[INSTALLMENT]]=2,Table4[[#This Row],[INSTALLMENT]]=3),1,0)</f>
        <v>0</v>
      </c>
      <c r="F1762" s="1">
        <f>IF(OR(Table4[[#This Row],[INSTALLMENT]]=2,Table4[[#This Row],[INSTALLMENT]]=3),2,0)</f>
        <v>0</v>
      </c>
      <c r="G1762" s="1">
        <f>IF(OR(Table4[[#This Row],[INSTALLMENT]]=3),3,0)</f>
        <v>0</v>
      </c>
    </row>
    <row r="1763" spans="1:7">
      <c r="A1763" s="1">
        <v>2121</v>
      </c>
      <c r="B1763" s="1" t="s">
        <v>516</v>
      </c>
      <c r="C1763" s="1" t="s">
        <v>252</v>
      </c>
      <c r="D1763" s="1">
        <f>COUNTIFS('Raw Entries'!B:B,Table4[[#This Row],[Name]],'Raw Entries'!I:I,Table4[[#This Row],[BOOK No.]])</f>
        <v>0</v>
      </c>
      <c r="E1763" s="1">
        <f t="array" ref="E1763">IF(OR(Table4[[#This Row],[INSTALLMENT]]=1,Table4[[#This Row],[INSTALLMENT]]=2,Table4[[#This Row],[INSTALLMENT]]=3),1,0)</f>
        <v>0</v>
      </c>
      <c r="F1763" s="1">
        <f>IF(OR(Table4[[#This Row],[INSTALLMENT]]=2,Table4[[#This Row],[INSTALLMENT]]=3),2,0)</f>
        <v>0</v>
      </c>
      <c r="G1763" s="1">
        <f>IF(OR(Table4[[#This Row],[INSTALLMENT]]=3),3,0)</f>
        <v>0</v>
      </c>
    </row>
    <row r="1764" spans="1:7">
      <c r="A1764" s="1">
        <v>2122</v>
      </c>
      <c r="B1764" s="1" t="s">
        <v>260</v>
      </c>
      <c r="C1764" s="1" t="s">
        <v>252</v>
      </c>
      <c r="D1764" s="1">
        <f>COUNTIFS('Raw Entries'!B:B,Table4[[#This Row],[Name]],'Raw Entries'!I:I,Table4[[#This Row],[BOOK No.]])</f>
        <v>3</v>
      </c>
      <c r="E1764" s="1">
        <f t="array" ref="E1764">IF(OR(Table4[[#This Row],[INSTALLMENT]]=1,Table4[[#This Row],[INSTALLMENT]]=2,Table4[[#This Row],[INSTALLMENT]]=3),1,0)</f>
        <v>1</v>
      </c>
      <c r="F1764" s="1">
        <f>IF(OR(Table4[[#This Row],[INSTALLMENT]]=2,Table4[[#This Row],[INSTALLMENT]]=3),2,0)</f>
        <v>2</v>
      </c>
      <c r="G1764" s="1">
        <f>IF(OR(Table4[[#This Row],[INSTALLMENT]]=3),3,0)</f>
        <v>3</v>
      </c>
    </row>
    <row r="1765" spans="1:7">
      <c r="A1765" s="1">
        <v>2123</v>
      </c>
      <c r="B1765" s="1" t="s">
        <v>3254</v>
      </c>
      <c r="C1765" s="1" t="s">
        <v>252</v>
      </c>
      <c r="D1765" s="1">
        <f>COUNTIFS('Raw Entries'!B:B,Table4[[#This Row],[Name]],'Raw Entries'!I:I,Table4[[#This Row],[BOOK No.]])</f>
        <v>0</v>
      </c>
      <c r="E1765" s="1">
        <f t="array" ref="E1765">IF(OR(Table4[[#This Row],[INSTALLMENT]]=1,Table4[[#This Row],[INSTALLMENT]]=2,Table4[[#This Row],[INSTALLMENT]]=3),1,0)</f>
        <v>0</v>
      </c>
      <c r="F1765" s="1">
        <f>IF(OR(Table4[[#This Row],[INSTALLMENT]]=2,Table4[[#This Row],[INSTALLMENT]]=3),2,0)</f>
        <v>0</v>
      </c>
      <c r="G1765" s="1">
        <f>IF(OR(Table4[[#This Row],[INSTALLMENT]]=3),3,0)</f>
        <v>0</v>
      </c>
    </row>
    <row r="1766" spans="1:7">
      <c r="A1766" s="1">
        <v>2124</v>
      </c>
      <c r="B1766" s="1" t="s">
        <v>3255</v>
      </c>
      <c r="C1766" s="1" t="s">
        <v>252</v>
      </c>
      <c r="D1766" s="1">
        <f>COUNTIFS('Raw Entries'!B:B,Table4[[#This Row],[Name]],'Raw Entries'!I:I,Table4[[#This Row],[BOOK No.]])</f>
        <v>0</v>
      </c>
      <c r="E1766" s="1">
        <f t="array" ref="E1766">IF(OR(Table4[[#This Row],[INSTALLMENT]]=1,Table4[[#This Row],[INSTALLMENT]]=2,Table4[[#This Row],[INSTALLMENT]]=3),1,0)</f>
        <v>0</v>
      </c>
      <c r="F1766" s="1">
        <f>IF(OR(Table4[[#This Row],[INSTALLMENT]]=2,Table4[[#This Row],[INSTALLMENT]]=3),2,0)</f>
        <v>0</v>
      </c>
      <c r="G1766" s="1">
        <f>IF(OR(Table4[[#This Row],[INSTALLMENT]]=3),3,0)</f>
        <v>0</v>
      </c>
    </row>
    <row r="1767" spans="1:7">
      <c r="A1767" s="1">
        <v>2125</v>
      </c>
      <c r="B1767" s="1" t="s">
        <v>3256</v>
      </c>
      <c r="C1767" s="1" t="s">
        <v>252</v>
      </c>
      <c r="D1767" s="1">
        <f>COUNTIFS('Raw Entries'!B:B,Table4[[#This Row],[Name]],'Raw Entries'!I:I,Table4[[#This Row],[BOOK No.]])</f>
        <v>1</v>
      </c>
      <c r="E1767" s="1">
        <f t="array" ref="E1767">IF(OR(Table4[[#This Row],[INSTALLMENT]]=1,Table4[[#This Row],[INSTALLMENT]]=2,Table4[[#This Row],[INSTALLMENT]]=3),1,0)</f>
        <v>1</v>
      </c>
      <c r="F1767" s="1">
        <f>IF(OR(Table4[[#This Row],[INSTALLMENT]]=2,Table4[[#This Row],[INSTALLMENT]]=3),2,0)</f>
        <v>0</v>
      </c>
      <c r="G1767" s="1">
        <f>IF(OR(Table4[[#This Row],[INSTALLMENT]]=3),3,0)</f>
        <v>0</v>
      </c>
    </row>
    <row r="1768" spans="1:7">
      <c r="A1768" s="1">
        <v>2126</v>
      </c>
      <c r="B1768" s="1" t="s">
        <v>262</v>
      </c>
      <c r="C1768" s="1" t="s">
        <v>252</v>
      </c>
      <c r="D1768" s="1">
        <f>COUNTIFS('Raw Entries'!B:B,Table4[[#This Row],[Name]],'Raw Entries'!I:I,Table4[[#This Row],[BOOK No.]])</f>
        <v>2</v>
      </c>
      <c r="E1768" s="1">
        <f t="array" ref="E1768">IF(OR(Table4[[#This Row],[INSTALLMENT]]=1,Table4[[#This Row],[INSTALLMENT]]=2,Table4[[#This Row],[INSTALLMENT]]=3),1,0)</f>
        <v>1</v>
      </c>
      <c r="F1768" s="1">
        <f>IF(OR(Table4[[#This Row],[INSTALLMENT]]=2,Table4[[#This Row],[INSTALLMENT]]=3),2,0)</f>
        <v>2</v>
      </c>
      <c r="G1768" s="1">
        <f>IF(OR(Table4[[#This Row],[INSTALLMENT]]=3),3,0)</f>
        <v>0</v>
      </c>
    </row>
    <row r="1769" spans="1:7">
      <c r="A1769" s="1">
        <v>2127</v>
      </c>
      <c r="B1769" s="1" t="s">
        <v>593</v>
      </c>
      <c r="C1769" s="1" t="s">
        <v>252</v>
      </c>
      <c r="D1769" s="1">
        <f>COUNTIFS('Raw Entries'!B:B,Table4[[#This Row],[Name]],'Raw Entries'!I:I,Table4[[#This Row],[BOOK No.]])</f>
        <v>3</v>
      </c>
      <c r="E1769" s="1">
        <f t="array" ref="E1769">IF(OR(Table4[[#This Row],[INSTALLMENT]]=1,Table4[[#This Row],[INSTALLMENT]]=2,Table4[[#This Row],[INSTALLMENT]]=3),1,0)</f>
        <v>1</v>
      </c>
      <c r="F1769" s="1">
        <f>IF(OR(Table4[[#This Row],[INSTALLMENT]]=2,Table4[[#This Row],[INSTALLMENT]]=3),2,0)</f>
        <v>2</v>
      </c>
      <c r="G1769" s="1">
        <f>IF(OR(Table4[[#This Row],[INSTALLMENT]]=3),3,0)</f>
        <v>3</v>
      </c>
    </row>
    <row r="1770" spans="1:7">
      <c r="A1770" s="1">
        <v>2128</v>
      </c>
      <c r="B1770" s="1" t="s">
        <v>258</v>
      </c>
      <c r="C1770" s="1" t="s">
        <v>252</v>
      </c>
      <c r="D1770" s="1">
        <f>COUNTIFS('Raw Entries'!B:B,Table4[[#This Row],[Name]],'Raw Entries'!I:I,Table4[[#This Row],[BOOK No.]])</f>
        <v>1</v>
      </c>
      <c r="E1770" s="1">
        <f t="array" ref="E1770">IF(OR(Table4[[#This Row],[INSTALLMENT]]=1,Table4[[#This Row],[INSTALLMENT]]=2,Table4[[#This Row],[INSTALLMENT]]=3),1,0)</f>
        <v>1</v>
      </c>
      <c r="F1770" s="1">
        <f>IF(OR(Table4[[#This Row],[INSTALLMENT]]=2,Table4[[#This Row],[INSTALLMENT]]=3),2,0)</f>
        <v>0</v>
      </c>
      <c r="G1770" s="1">
        <f>IF(OR(Table4[[#This Row],[INSTALLMENT]]=3),3,0)</f>
        <v>0</v>
      </c>
    </row>
    <row r="1771" spans="1:7">
      <c r="A1771" s="1">
        <v>2129</v>
      </c>
      <c r="B1771" s="1" t="s">
        <v>3257</v>
      </c>
      <c r="C1771" s="1" t="s">
        <v>252</v>
      </c>
      <c r="D1771" s="1">
        <f>COUNTIFS('Raw Entries'!B:B,Table4[[#This Row],[Name]],'Raw Entries'!I:I,Table4[[#This Row],[BOOK No.]])</f>
        <v>0</v>
      </c>
      <c r="E1771" s="1">
        <f t="array" ref="E1771">IF(OR(Table4[[#This Row],[INSTALLMENT]]=1,Table4[[#This Row],[INSTALLMENT]]=2,Table4[[#This Row],[INSTALLMENT]]=3),1,0)</f>
        <v>0</v>
      </c>
      <c r="F1771" s="1">
        <f>IF(OR(Table4[[#This Row],[INSTALLMENT]]=2,Table4[[#This Row],[INSTALLMENT]]=3),2,0)</f>
        <v>0</v>
      </c>
      <c r="G1771" s="1">
        <f>IF(OR(Table4[[#This Row],[INSTALLMENT]]=3),3,0)</f>
        <v>0</v>
      </c>
    </row>
    <row r="1772" spans="1:7">
      <c r="A1772" s="1">
        <v>2130</v>
      </c>
      <c r="B1772" s="1" t="s">
        <v>3258</v>
      </c>
      <c r="C1772" s="1" t="s">
        <v>252</v>
      </c>
      <c r="D1772" s="1">
        <f>COUNTIFS('Raw Entries'!B:B,Table4[[#This Row],[Name]],'Raw Entries'!I:I,Table4[[#This Row],[BOOK No.]])</f>
        <v>0</v>
      </c>
      <c r="E1772" s="1">
        <f t="array" ref="E1772">IF(OR(Table4[[#This Row],[INSTALLMENT]]=1,Table4[[#This Row],[INSTALLMENT]]=2,Table4[[#This Row],[INSTALLMENT]]=3),1,0)</f>
        <v>0</v>
      </c>
      <c r="F1772" s="1">
        <f>IF(OR(Table4[[#This Row],[INSTALLMENT]]=2,Table4[[#This Row],[INSTALLMENT]]=3),2,0)</f>
        <v>0</v>
      </c>
      <c r="G1772" s="1">
        <f>IF(OR(Table4[[#This Row],[INSTALLMENT]]=3),3,0)</f>
        <v>0</v>
      </c>
    </row>
    <row r="1773" spans="1:7">
      <c r="A1773" s="1">
        <v>2131</v>
      </c>
      <c r="B1773" s="1" t="s">
        <v>3259</v>
      </c>
      <c r="C1773" s="1" t="s">
        <v>252</v>
      </c>
      <c r="D1773" s="1">
        <f>COUNTIFS('Raw Entries'!B:B,Table4[[#This Row],[Name]],'Raw Entries'!I:I,Table4[[#This Row],[BOOK No.]])</f>
        <v>0</v>
      </c>
      <c r="E1773" s="1">
        <f t="array" ref="E1773">IF(OR(Table4[[#This Row],[INSTALLMENT]]=1,Table4[[#This Row],[INSTALLMENT]]=2,Table4[[#This Row],[INSTALLMENT]]=3),1,0)</f>
        <v>0</v>
      </c>
      <c r="F1773" s="1">
        <f>IF(OR(Table4[[#This Row],[INSTALLMENT]]=2,Table4[[#This Row],[INSTALLMENT]]=3),2,0)</f>
        <v>0</v>
      </c>
      <c r="G1773" s="1">
        <f>IF(OR(Table4[[#This Row],[INSTALLMENT]]=3),3,0)</f>
        <v>0</v>
      </c>
    </row>
    <row r="1774" spans="1:7">
      <c r="A1774" s="1">
        <v>2132</v>
      </c>
      <c r="B1774" s="1" t="s">
        <v>253</v>
      </c>
      <c r="C1774" s="1" t="s">
        <v>252</v>
      </c>
      <c r="D1774" s="1">
        <f>COUNTIFS('Raw Entries'!B:B,Table4[[#This Row],[Name]],'Raw Entries'!I:I,Table4[[#This Row],[BOOK No.]])</f>
        <v>1</v>
      </c>
      <c r="E1774" s="1">
        <f t="array" ref="E1774">IF(OR(Table4[[#This Row],[INSTALLMENT]]=1,Table4[[#This Row],[INSTALLMENT]]=2,Table4[[#This Row],[INSTALLMENT]]=3),1,0)</f>
        <v>1</v>
      </c>
      <c r="F1774" s="1">
        <f>IF(OR(Table4[[#This Row],[INSTALLMENT]]=2,Table4[[#This Row],[INSTALLMENT]]=3),2,0)</f>
        <v>0</v>
      </c>
      <c r="G1774" s="1">
        <f>IF(OR(Table4[[#This Row],[INSTALLMENT]]=3),3,0)</f>
        <v>0</v>
      </c>
    </row>
    <row r="1775" spans="1:7">
      <c r="A1775" s="1">
        <v>2133</v>
      </c>
      <c r="B1775" s="1" t="s">
        <v>3260</v>
      </c>
      <c r="C1775" s="1" t="s">
        <v>252</v>
      </c>
      <c r="D1775" s="1">
        <f>COUNTIFS('Raw Entries'!B:B,Table4[[#This Row],[Name]],'Raw Entries'!I:I,Table4[[#This Row],[BOOK No.]])</f>
        <v>0</v>
      </c>
      <c r="E1775" s="1">
        <f t="array" ref="E1775">IF(OR(Table4[[#This Row],[INSTALLMENT]]=1,Table4[[#This Row],[INSTALLMENT]]=2,Table4[[#This Row],[INSTALLMENT]]=3),1,0)</f>
        <v>0</v>
      </c>
      <c r="F1775" s="1">
        <f>IF(OR(Table4[[#This Row],[INSTALLMENT]]=2,Table4[[#This Row],[INSTALLMENT]]=3),2,0)</f>
        <v>0</v>
      </c>
      <c r="G1775" s="1">
        <f>IF(OR(Table4[[#This Row],[INSTALLMENT]]=3),3,0)</f>
        <v>0</v>
      </c>
    </row>
    <row r="1776" spans="1:7">
      <c r="A1776" s="1">
        <v>2134</v>
      </c>
      <c r="B1776" s="1" t="s">
        <v>254</v>
      </c>
      <c r="C1776" s="1" t="s">
        <v>252</v>
      </c>
      <c r="D1776" s="1">
        <f>COUNTIFS('Raw Entries'!B:B,Table4[[#This Row],[Name]],'Raw Entries'!I:I,Table4[[#This Row],[BOOK No.]])</f>
        <v>1</v>
      </c>
      <c r="E1776" s="1">
        <f t="array" ref="E1776">IF(OR(Table4[[#This Row],[INSTALLMENT]]=1,Table4[[#This Row],[INSTALLMENT]]=2,Table4[[#This Row],[INSTALLMENT]]=3),1,0)</f>
        <v>1</v>
      </c>
      <c r="F1776" s="1">
        <f>IF(OR(Table4[[#This Row],[INSTALLMENT]]=2,Table4[[#This Row],[INSTALLMENT]]=3),2,0)</f>
        <v>0</v>
      </c>
      <c r="G1776" s="1">
        <f>IF(OR(Table4[[#This Row],[INSTALLMENT]]=3),3,0)</f>
        <v>0</v>
      </c>
    </row>
    <row r="1777" spans="1:7">
      <c r="A1777" s="1">
        <v>2135</v>
      </c>
      <c r="B1777" s="1" t="s">
        <v>672</v>
      </c>
      <c r="C1777" s="1" t="s">
        <v>252</v>
      </c>
      <c r="D1777" s="1">
        <f>COUNTIFS('Raw Entries'!B:B,Table4[[#This Row],[Name]],'Raw Entries'!I:I,Table4[[#This Row],[BOOK No.]])</f>
        <v>1</v>
      </c>
      <c r="E1777" s="1">
        <f t="array" ref="E1777">IF(OR(Table4[[#This Row],[INSTALLMENT]]=1,Table4[[#This Row],[INSTALLMENT]]=2,Table4[[#This Row],[INSTALLMENT]]=3),1,0)</f>
        <v>1</v>
      </c>
      <c r="F1777" s="1">
        <f>IF(OR(Table4[[#This Row],[INSTALLMENT]]=2,Table4[[#This Row],[INSTALLMENT]]=3),2,0)</f>
        <v>0</v>
      </c>
      <c r="G1777" s="1">
        <f>IF(OR(Table4[[#This Row],[INSTALLMENT]]=3),3,0)</f>
        <v>0</v>
      </c>
    </row>
    <row r="1778" spans="1:7">
      <c r="A1778" s="1">
        <v>2136</v>
      </c>
      <c r="B1778" s="1" t="s">
        <v>3261</v>
      </c>
      <c r="C1778" s="1" t="s">
        <v>252</v>
      </c>
      <c r="D1778" s="1">
        <f>COUNTIFS('Raw Entries'!B:B,Table4[[#This Row],[Name]],'Raw Entries'!I:I,Table4[[#This Row],[BOOK No.]])</f>
        <v>2</v>
      </c>
      <c r="E1778" s="1">
        <f t="array" ref="E1778">IF(OR(Table4[[#This Row],[INSTALLMENT]]=1,Table4[[#This Row],[INSTALLMENT]]=2,Table4[[#This Row],[INSTALLMENT]]=3),1,0)</f>
        <v>1</v>
      </c>
      <c r="F1778" s="1">
        <f>IF(OR(Table4[[#This Row],[INSTALLMENT]]=2,Table4[[#This Row],[INSTALLMENT]]=3),2,0)</f>
        <v>2</v>
      </c>
      <c r="G1778" s="1">
        <f>IF(OR(Table4[[#This Row],[INSTALLMENT]]=3),3,0)</f>
        <v>0</v>
      </c>
    </row>
    <row r="1779" spans="1:7">
      <c r="A1779" s="1">
        <v>2137</v>
      </c>
      <c r="B1779" s="1" t="s">
        <v>3262</v>
      </c>
      <c r="C1779" s="1" t="s">
        <v>252</v>
      </c>
      <c r="D1779" s="1">
        <f>COUNTIFS('Raw Entries'!B:B,Table4[[#This Row],[Name]],'Raw Entries'!I:I,Table4[[#This Row],[BOOK No.]])</f>
        <v>0</v>
      </c>
      <c r="E1779" s="1">
        <f t="array" ref="E1779">IF(OR(Table4[[#This Row],[INSTALLMENT]]=1,Table4[[#This Row],[INSTALLMENT]]=2,Table4[[#This Row],[INSTALLMENT]]=3),1,0)</f>
        <v>0</v>
      </c>
      <c r="F1779" s="1">
        <f>IF(OR(Table4[[#This Row],[INSTALLMENT]]=2,Table4[[#This Row],[INSTALLMENT]]=3),2,0)</f>
        <v>0</v>
      </c>
      <c r="G1779" s="1">
        <f>IF(OR(Table4[[#This Row],[INSTALLMENT]]=3),3,0)</f>
        <v>0</v>
      </c>
    </row>
    <row r="1780" spans="1:7">
      <c r="A1780" s="1">
        <v>2138</v>
      </c>
      <c r="B1780" s="1" t="s">
        <v>264</v>
      </c>
      <c r="C1780" s="1" t="s">
        <v>252</v>
      </c>
      <c r="D1780" s="1">
        <f>COUNTIFS('Raw Entries'!B:B,Table4[[#This Row],[Name]],'Raw Entries'!I:I,Table4[[#This Row],[BOOK No.]])</f>
        <v>3</v>
      </c>
      <c r="E1780" s="1">
        <f t="array" ref="E1780">IF(OR(Table4[[#This Row],[INSTALLMENT]]=1,Table4[[#This Row],[INSTALLMENT]]=2,Table4[[#This Row],[INSTALLMENT]]=3),1,0)</f>
        <v>1</v>
      </c>
      <c r="F1780" s="1">
        <f>IF(OR(Table4[[#This Row],[INSTALLMENT]]=2,Table4[[#This Row],[INSTALLMENT]]=3),2,0)</f>
        <v>2</v>
      </c>
      <c r="G1780" s="1">
        <f>IF(OR(Table4[[#This Row],[INSTALLMENT]]=3),3,0)</f>
        <v>3</v>
      </c>
    </row>
    <row r="1781" spans="1:7">
      <c r="A1781" s="1">
        <v>2139</v>
      </c>
      <c r="B1781" s="1" t="s">
        <v>3263</v>
      </c>
      <c r="C1781" s="1" t="s">
        <v>252</v>
      </c>
      <c r="D1781" s="1">
        <f>COUNTIFS('Raw Entries'!B:B,Table4[[#This Row],[Name]],'Raw Entries'!I:I,Table4[[#This Row],[BOOK No.]])</f>
        <v>0</v>
      </c>
      <c r="E1781" s="1">
        <f t="array" ref="E1781">IF(OR(Table4[[#This Row],[INSTALLMENT]]=1,Table4[[#This Row],[INSTALLMENT]]=2,Table4[[#This Row],[INSTALLMENT]]=3),1,0)</f>
        <v>0</v>
      </c>
      <c r="F1781" s="1">
        <f>IF(OR(Table4[[#This Row],[INSTALLMENT]]=2,Table4[[#This Row],[INSTALLMENT]]=3),2,0)</f>
        <v>0</v>
      </c>
      <c r="G1781" s="1">
        <f>IF(OR(Table4[[#This Row],[INSTALLMENT]]=3),3,0)</f>
        <v>0</v>
      </c>
    </row>
    <row r="1782" spans="1:7">
      <c r="A1782" s="1">
        <v>2140</v>
      </c>
      <c r="B1782" s="1" t="s">
        <v>3264</v>
      </c>
      <c r="C1782" s="1" t="s">
        <v>252</v>
      </c>
      <c r="D1782" s="1">
        <f>COUNTIFS('Raw Entries'!B:B,Table4[[#This Row],[Name]],'Raw Entries'!I:I,Table4[[#This Row],[BOOK No.]])</f>
        <v>0</v>
      </c>
      <c r="E1782" s="1">
        <f t="array" ref="E1782">IF(OR(Table4[[#This Row],[INSTALLMENT]]=1,Table4[[#This Row],[INSTALLMENT]]=2,Table4[[#This Row],[INSTALLMENT]]=3),1,0)</f>
        <v>0</v>
      </c>
      <c r="F1782" s="1">
        <f>IF(OR(Table4[[#This Row],[INSTALLMENT]]=2,Table4[[#This Row],[INSTALLMENT]]=3),2,0)</f>
        <v>0</v>
      </c>
      <c r="G1782" s="1">
        <f>IF(OR(Table4[[#This Row],[INSTALLMENT]]=3),3,0)</f>
        <v>0</v>
      </c>
    </row>
    <row r="1783" spans="1:7">
      <c r="A1783" s="1">
        <v>2141</v>
      </c>
      <c r="B1783" s="1" t="s">
        <v>3265</v>
      </c>
      <c r="C1783" s="1" t="s">
        <v>252</v>
      </c>
      <c r="D1783" s="1">
        <f>COUNTIFS('Raw Entries'!B:B,Table4[[#This Row],[Name]],'Raw Entries'!I:I,Table4[[#This Row],[BOOK No.]])</f>
        <v>0</v>
      </c>
      <c r="E1783" s="1">
        <f t="array" ref="E1783">IF(OR(Table4[[#This Row],[INSTALLMENT]]=1,Table4[[#This Row],[INSTALLMENT]]=2,Table4[[#This Row],[INSTALLMENT]]=3),1,0)</f>
        <v>0</v>
      </c>
      <c r="F1783" s="1">
        <f>IF(OR(Table4[[#This Row],[INSTALLMENT]]=2,Table4[[#This Row],[INSTALLMENT]]=3),2,0)</f>
        <v>0</v>
      </c>
      <c r="G1783" s="1">
        <f>IF(OR(Table4[[#This Row],[INSTALLMENT]]=3),3,0)</f>
        <v>0</v>
      </c>
    </row>
    <row r="1784" spans="1:7">
      <c r="A1784" s="1">
        <v>2142</v>
      </c>
      <c r="B1784" s="1" t="s">
        <v>255</v>
      </c>
      <c r="C1784" s="1" t="s">
        <v>252</v>
      </c>
      <c r="D1784" s="1">
        <f>COUNTIFS('Raw Entries'!B:B,Table4[[#This Row],[Name]],'Raw Entries'!I:I,Table4[[#This Row],[BOOK No.]])</f>
        <v>1</v>
      </c>
      <c r="E1784" s="1">
        <f t="array" ref="E1784">IF(OR(Table4[[#This Row],[INSTALLMENT]]=1,Table4[[#This Row],[INSTALLMENT]]=2,Table4[[#This Row],[INSTALLMENT]]=3),1,0)</f>
        <v>1</v>
      </c>
      <c r="F1784" s="1">
        <f>IF(OR(Table4[[#This Row],[INSTALLMENT]]=2,Table4[[#This Row],[INSTALLMENT]]=3),2,0)</f>
        <v>0</v>
      </c>
      <c r="G1784" s="1">
        <f>IF(OR(Table4[[#This Row],[INSTALLMENT]]=3),3,0)</f>
        <v>0</v>
      </c>
    </row>
    <row r="1785" spans="1:7">
      <c r="A1785" s="1">
        <v>2143</v>
      </c>
      <c r="B1785" s="1" t="s">
        <v>3266</v>
      </c>
      <c r="C1785" s="1" t="s">
        <v>252</v>
      </c>
      <c r="D1785" s="1">
        <f>COUNTIFS('Raw Entries'!B:B,Table4[[#This Row],[Name]],'Raw Entries'!I:I,Table4[[#This Row],[BOOK No.]])</f>
        <v>0</v>
      </c>
      <c r="E1785" s="1">
        <f t="array" ref="E1785">IF(OR(Table4[[#This Row],[INSTALLMENT]]=1,Table4[[#This Row],[INSTALLMENT]]=2,Table4[[#This Row],[INSTALLMENT]]=3),1,0)</f>
        <v>0</v>
      </c>
      <c r="F1785" s="1">
        <f>IF(OR(Table4[[#This Row],[INSTALLMENT]]=2,Table4[[#This Row],[INSTALLMENT]]=3),2,0)</f>
        <v>0</v>
      </c>
      <c r="G1785" s="1">
        <f>IF(OR(Table4[[#This Row],[INSTALLMENT]]=3),3,0)</f>
        <v>0</v>
      </c>
    </row>
    <row r="1786" spans="1:7">
      <c r="A1786" s="1">
        <v>2144</v>
      </c>
      <c r="B1786" s="1" t="s">
        <v>3267</v>
      </c>
      <c r="C1786" s="1" t="s">
        <v>252</v>
      </c>
      <c r="D1786" s="1">
        <f>COUNTIFS('Raw Entries'!B:B,Table4[[#This Row],[Name]],'Raw Entries'!I:I,Table4[[#This Row],[BOOK No.]])</f>
        <v>1</v>
      </c>
      <c r="E1786" s="1">
        <f t="array" ref="E1786">IF(OR(Table4[[#This Row],[INSTALLMENT]]=1,Table4[[#This Row],[INSTALLMENT]]=2,Table4[[#This Row],[INSTALLMENT]]=3),1,0)</f>
        <v>1</v>
      </c>
      <c r="F1786" s="1">
        <f>IF(OR(Table4[[#This Row],[INSTALLMENT]]=2,Table4[[#This Row],[INSTALLMENT]]=3),2,0)</f>
        <v>0</v>
      </c>
      <c r="G1786" s="1">
        <f>IF(OR(Table4[[#This Row],[INSTALLMENT]]=3),3,0)</f>
        <v>0</v>
      </c>
    </row>
    <row r="1787" spans="1:7">
      <c r="A1787" s="1">
        <v>2145</v>
      </c>
      <c r="B1787" s="1" t="s">
        <v>3268</v>
      </c>
      <c r="C1787" s="1" t="s">
        <v>252</v>
      </c>
      <c r="D1787" s="1">
        <f>COUNTIFS('Raw Entries'!B:B,Table4[[#This Row],[Name]],'Raw Entries'!I:I,Table4[[#This Row],[BOOK No.]])</f>
        <v>0</v>
      </c>
      <c r="E1787" s="1">
        <f t="array" ref="E1787">IF(OR(Table4[[#This Row],[INSTALLMENT]]=1,Table4[[#This Row],[INSTALLMENT]]=2,Table4[[#This Row],[INSTALLMENT]]=3),1,0)</f>
        <v>0</v>
      </c>
      <c r="F1787" s="1">
        <f>IF(OR(Table4[[#This Row],[INSTALLMENT]]=2,Table4[[#This Row],[INSTALLMENT]]=3),2,0)</f>
        <v>0</v>
      </c>
      <c r="G1787" s="1">
        <f>IF(OR(Table4[[#This Row],[INSTALLMENT]]=3),3,0)</f>
        <v>0</v>
      </c>
    </row>
    <row r="1788" spans="1:7">
      <c r="A1788" s="1">
        <v>2146</v>
      </c>
      <c r="B1788" s="1" t="s">
        <v>256</v>
      </c>
      <c r="C1788" s="1" t="s">
        <v>252</v>
      </c>
      <c r="D1788" s="1">
        <f>COUNTIFS('Raw Entries'!B:B,Table4[[#This Row],[Name]],'Raw Entries'!I:I,Table4[[#This Row],[BOOK No.]])</f>
        <v>1</v>
      </c>
      <c r="E1788" s="1">
        <f t="array" ref="E1788">IF(OR(Table4[[#This Row],[INSTALLMENT]]=1,Table4[[#This Row],[INSTALLMENT]]=2,Table4[[#This Row],[INSTALLMENT]]=3),1,0)</f>
        <v>1</v>
      </c>
      <c r="F1788" s="1">
        <f>IF(OR(Table4[[#This Row],[INSTALLMENT]]=2,Table4[[#This Row],[INSTALLMENT]]=3),2,0)</f>
        <v>0</v>
      </c>
      <c r="G1788" s="1">
        <f>IF(OR(Table4[[#This Row],[INSTALLMENT]]=3),3,0)</f>
        <v>0</v>
      </c>
    </row>
    <row r="1789" spans="1:7">
      <c r="A1789" s="1">
        <v>2147</v>
      </c>
      <c r="B1789" s="1" t="s">
        <v>3269</v>
      </c>
      <c r="C1789" s="1" t="s">
        <v>252</v>
      </c>
      <c r="D1789" s="1">
        <f>COUNTIFS('Raw Entries'!B:B,Table4[[#This Row],[Name]],'Raw Entries'!I:I,Table4[[#This Row],[BOOK No.]])</f>
        <v>0</v>
      </c>
      <c r="E1789" s="1">
        <f t="array" ref="E1789">IF(OR(Table4[[#This Row],[INSTALLMENT]]=1,Table4[[#This Row],[INSTALLMENT]]=2,Table4[[#This Row],[INSTALLMENT]]=3),1,0)</f>
        <v>0</v>
      </c>
      <c r="F1789" s="1">
        <f>IF(OR(Table4[[#This Row],[INSTALLMENT]]=2,Table4[[#This Row],[INSTALLMENT]]=3),2,0)</f>
        <v>0</v>
      </c>
      <c r="G1789" s="1">
        <f>IF(OR(Table4[[#This Row],[INSTALLMENT]]=3),3,0)</f>
        <v>0</v>
      </c>
    </row>
    <row r="1790" spans="1:7">
      <c r="A1790" s="1">
        <v>2148</v>
      </c>
      <c r="B1790" s="1" t="s">
        <v>271</v>
      </c>
      <c r="C1790" s="1" t="s">
        <v>265</v>
      </c>
      <c r="D1790" s="1">
        <f>COUNTIFS('Raw Entries'!B:B,Table4[[#This Row],[Name]],'Raw Entries'!I:I,Table4[[#This Row],[BOOK No.]])</f>
        <v>2</v>
      </c>
      <c r="E1790" s="1">
        <f t="array" ref="E1790">IF(OR(Table4[[#This Row],[INSTALLMENT]]=1,Table4[[#This Row],[INSTALLMENT]]=2,Table4[[#This Row],[INSTALLMENT]]=3),1,0)</f>
        <v>1</v>
      </c>
      <c r="F1790" s="1">
        <f>IF(OR(Table4[[#This Row],[INSTALLMENT]]=2,Table4[[#This Row],[INSTALLMENT]]=3),2,0)</f>
        <v>2</v>
      </c>
      <c r="G1790" s="1">
        <f>IF(OR(Table4[[#This Row],[INSTALLMENT]]=3),3,0)</f>
        <v>0</v>
      </c>
    </row>
    <row r="1791" spans="1:7">
      <c r="A1791" s="1">
        <v>2149</v>
      </c>
      <c r="B1791" s="1" t="s">
        <v>3270</v>
      </c>
      <c r="C1791" s="1" t="s">
        <v>265</v>
      </c>
      <c r="D1791" s="1">
        <f>COUNTIFS('Raw Entries'!B:B,Table4[[#This Row],[Name]],'Raw Entries'!I:I,Table4[[#This Row],[BOOK No.]])</f>
        <v>0</v>
      </c>
      <c r="E1791" s="1">
        <f t="array" ref="E1791">IF(OR(Table4[[#This Row],[INSTALLMENT]]=1,Table4[[#This Row],[INSTALLMENT]]=2,Table4[[#This Row],[INSTALLMENT]]=3),1,0)</f>
        <v>0</v>
      </c>
      <c r="F1791" s="1">
        <f>IF(OR(Table4[[#This Row],[INSTALLMENT]]=2,Table4[[#This Row],[INSTALLMENT]]=3),2,0)</f>
        <v>0</v>
      </c>
      <c r="G1791" s="1">
        <f>IF(OR(Table4[[#This Row],[INSTALLMENT]]=3),3,0)</f>
        <v>0</v>
      </c>
    </row>
    <row r="1792" spans="1:7">
      <c r="A1792" s="1">
        <v>2150</v>
      </c>
      <c r="B1792" s="1" t="s">
        <v>3271</v>
      </c>
      <c r="C1792" s="1" t="s">
        <v>265</v>
      </c>
      <c r="D1792" s="1">
        <f>COUNTIFS('Raw Entries'!B:B,Table4[[#This Row],[Name]],'Raw Entries'!I:I,Table4[[#This Row],[BOOK No.]])</f>
        <v>0</v>
      </c>
      <c r="E1792" s="1">
        <f t="array" ref="E1792">IF(OR(Table4[[#This Row],[INSTALLMENT]]=1,Table4[[#This Row],[INSTALLMENT]]=2,Table4[[#This Row],[INSTALLMENT]]=3),1,0)</f>
        <v>0</v>
      </c>
      <c r="F1792" s="1">
        <f>IF(OR(Table4[[#This Row],[INSTALLMENT]]=2,Table4[[#This Row],[INSTALLMENT]]=3),2,0)</f>
        <v>0</v>
      </c>
      <c r="G1792" s="1">
        <f>IF(OR(Table4[[#This Row],[INSTALLMENT]]=3),3,0)</f>
        <v>0</v>
      </c>
    </row>
    <row r="1793" spans="1:7">
      <c r="A1793" s="1">
        <v>2151</v>
      </c>
      <c r="B1793" s="1" t="s">
        <v>3272</v>
      </c>
      <c r="C1793" s="1" t="s">
        <v>265</v>
      </c>
      <c r="D1793" s="1">
        <f>COUNTIFS('Raw Entries'!B:B,Table4[[#This Row],[Name]],'Raw Entries'!I:I,Table4[[#This Row],[BOOK No.]])</f>
        <v>0</v>
      </c>
      <c r="E1793" s="1">
        <f t="array" ref="E1793">IF(OR(Table4[[#This Row],[INSTALLMENT]]=1,Table4[[#This Row],[INSTALLMENT]]=2,Table4[[#This Row],[INSTALLMENT]]=3),1,0)</f>
        <v>0</v>
      </c>
      <c r="F1793" s="1">
        <f>IF(OR(Table4[[#This Row],[INSTALLMENT]]=2,Table4[[#This Row],[INSTALLMENT]]=3),2,0)</f>
        <v>0</v>
      </c>
      <c r="G1793" s="1">
        <f>IF(OR(Table4[[#This Row],[INSTALLMENT]]=3),3,0)</f>
        <v>0</v>
      </c>
    </row>
    <row r="1794" spans="1:7">
      <c r="A1794" s="1">
        <v>2152</v>
      </c>
      <c r="B1794" s="1" t="s">
        <v>3273</v>
      </c>
      <c r="C1794" s="1" t="s">
        <v>265</v>
      </c>
      <c r="D1794" s="1">
        <f>COUNTIFS('Raw Entries'!B:B,Table4[[#This Row],[Name]],'Raw Entries'!I:I,Table4[[#This Row],[BOOK No.]])</f>
        <v>0</v>
      </c>
      <c r="E1794" s="1">
        <f t="array" ref="E1794">IF(OR(Table4[[#This Row],[INSTALLMENT]]=1,Table4[[#This Row],[INSTALLMENT]]=2,Table4[[#This Row],[INSTALLMENT]]=3),1,0)</f>
        <v>0</v>
      </c>
      <c r="F1794" s="1">
        <f>IF(OR(Table4[[#This Row],[INSTALLMENT]]=2,Table4[[#This Row],[INSTALLMENT]]=3),2,0)</f>
        <v>0</v>
      </c>
      <c r="G1794" s="1">
        <f>IF(OR(Table4[[#This Row],[INSTALLMENT]]=3),3,0)</f>
        <v>0</v>
      </c>
    </row>
    <row r="1795" spans="1:7">
      <c r="A1795" s="1">
        <v>2153</v>
      </c>
      <c r="B1795" s="1" t="s">
        <v>3274</v>
      </c>
      <c r="C1795" s="1" t="s">
        <v>265</v>
      </c>
      <c r="D1795" s="1">
        <f>COUNTIFS('Raw Entries'!B:B,Table4[[#This Row],[Name]],'Raw Entries'!I:I,Table4[[#This Row],[BOOK No.]])</f>
        <v>0</v>
      </c>
      <c r="E1795" s="1">
        <f t="array" ref="E1795">IF(OR(Table4[[#This Row],[INSTALLMENT]]=1,Table4[[#This Row],[INSTALLMENT]]=2,Table4[[#This Row],[INSTALLMENT]]=3),1,0)</f>
        <v>0</v>
      </c>
      <c r="F1795" s="1">
        <f>IF(OR(Table4[[#This Row],[INSTALLMENT]]=2,Table4[[#This Row],[INSTALLMENT]]=3),2,0)</f>
        <v>0</v>
      </c>
      <c r="G1795" s="1">
        <f>IF(OR(Table4[[#This Row],[INSTALLMENT]]=3),3,0)</f>
        <v>0</v>
      </c>
    </row>
    <row r="1796" spans="1:7">
      <c r="A1796" s="1">
        <v>2154</v>
      </c>
      <c r="B1796" s="1" t="s">
        <v>3275</v>
      </c>
      <c r="C1796" s="1" t="s">
        <v>265</v>
      </c>
      <c r="D1796" s="1">
        <f>COUNTIFS('Raw Entries'!B:B,Table4[[#This Row],[Name]],'Raw Entries'!I:I,Table4[[#This Row],[BOOK No.]])</f>
        <v>0</v>
      </c>
      <c r="E1796" s="1">
        <f t="array" ref="E1796">IF(OR(Table4[[#This Row],[INSTALLMENT]]=1,Table4[[#This Row],[INSTALLMENT]]=2,Table4[[#This Row],[INSTALLMENT]]=3),1,0)</f>
        <v>0</v>
      </c>
      <c r="F1796" s="1">
        <f>IF(OR(Table4[[#This Row],[INSTALLMENT]]=2,Table4[[#This Row],[INSTALLMENT]]=3),2,0)</f>
        <v>0</v>
      </c>
      <c r="G1796" s="1">
        <f>IF(OR(Table4[[#This Row],[INSTALLMENT]]=3),3,0)</f>
        <v>0</v>
      </c>
    </row>
    <row r="1797" spans="1:7">
      <c r="A1797" s="1">
        <v>2155</v>
      </c>
      <c r="B1797" s="1" t="s">
        <v>3276</v>
      </c>
      <c r="C1797" s="1" t="s">
        <v>265</v>
      </c>
      <c r="D1797" s="1">
        <f>COUNTIFS('Raw Entries'!B:B,Table4[[#This Row],[Name]],'Raw Entries'!I:I,Table4[[#This Row],[BOOK No.]])</f>
        <v>0</v>
      </c>
      <c r="E1797" s="1">
        <f t="array" ref="E1797">IF(OR(Table4[[#This Row],[INSTALLMENT]]=1,Table4[[#This Row],[INSTALLMENT]]=2,Table4[[#This Row],[INSTALLMENT]]=3),1,0)</f>
        <v>0</v>
      </c>
      <c r="F1797" s="1">
        <f>IF(OR(Table4[[#This Row],[INSTALLMENT]]=2,Table4[[#This Row],[INSTALLMENT]]=3),2,0)</f>
        <v>0</v>
      </c>
      <c r="G1797" s="1">
        <f>IF(OR(Table4[[#This Row],[INSTALLMENT]]=3),3,0)</f>
        <v>0</v>
      </c>
    </row>
    <row r="1798" spans="1:7">
      <c r="A1798" s="1">
        <v>2156</v>
      </c>
      <c r="B1798" s="1" t="s">
        <v>2572</v>
      </c>
      <c r="C1798" s="1" t="s">
        <v>265</v>
      </c>
      <c r="D1798" s="1">
        <f>COUNTIFS('Raw Entries'!B:B,Table4[[#This Row],[Name]],'Raw Entries'!I:I,Table4[[#This Row],[BOOK No.]])</f>
        <v>0</v>
      </c>
      <c r="E1798" s="1">
        <f t="array" ref="E1798">IF(OR(Table4[[#This Row],[INSTALLMENT]]=1,Table4[[#This Row],[INSTALLMENT]]=2,Table4[[#This Row],[INSTALLMENT]]=3),1,0)</f>
        <v>0</v>
      </c>
      <c r="F1798" s="1">
        <f>IF(OR(Table4[[#This Row],[INSTALLMENT]]=2,Table4[[#This Row],[INSTALLMENT]]=3),2,0)</f>
        <v>0</v>
      </c>
      <c r="G1798" s="1">
        <f>IF(OR(Table4[[#This Row],[INSTALLMENT]]=3),3,0)</f>
        <v>0</v>
      </c>
    </row>
    <row r="1799" spans="1:7">
      <c r="A1799" s="1">
        <v>2157</v>
      </c>
      <c r="B1799" s="1" t="s">
        <v>3277</v>
      </c>
      <c r="C1799" s="1" t="s">
        <v>265</v>
      </c>
      <c r="D1799" s="1">
        <f>COUNTIFS('Raw Entries'!B:B,Table4[[#This Row],[Name]],'Raw Entries'!I:I,Table4[[#This Row],[BOOK No.]])</f>
        <v>0</v>
      </c>
      <c r="E1799" s="1">
        <f t="array" ref="E1799">IF(OR(Table4[[#This Row],[INSTALLMENT]]=1,Table4[[#This Row],[INSTALLMENT]]=2,Table4[[#This Row],[INSTALLMENT]]=3),1,0)</f>
        <v>0</v>
      </c>
      <c r="F1799" s="1">
        <f>IF(OR(Table4[[#This Row],[INSTALLMENT]]=2,Table4[[#This Row],[INSTALLMENT]]=3),2,0)</f>
        <v>0</v>
      </c>
      <c r="G1799" s="1">
        <f>IF(OR(Table4[[#This Row],[INSTALLMENT]]=3),3,0)</f>
        <v>0</v>
      </c>
    </row>
    <row r="1800" spans="1:7">
      <c r="A1800" s="1">
        <v>2158</v>
      </c>
      <c r="B1800" s="1" t="s">
        <v>3278</v>
      </c>
      <c r="C1800" s="1" t="s">
        <v>265</v>
      </c>
      <c r="D1800" s="1">
        <f>COUNTIFS('Raw Entries'!B:B,Table4[[#This Row],[Name]],'Raw Entries'!I:I,Table4[[#This Row],[BOOK No.]])</f>
        <v>0</v>
      </c>
      <c r="E1800" s="1">
        <f t="array" ref="E1800">IF(OR(Table4[[#This Row],[INSTALLMENT]]=1,Table4[[#This Row],[INSTALLMENT]]=2,Table4[[#This Row],[INSTALLMENT]]=3),1,0)</f>
        <v>0</v>
      </c>
      <c r="F1800" s="1">
        <f>IF(OR(Table4[[#This Row],[INSTALLMENT]]=2,Table4[[#This Row],[INSTALLMENT]]=3),2,0)</f>
        <v>0</v>
      </c>
      <c r="G1800" s="1">
        <f>IF(OR(Table4[[#This Row],[INSTALLMENT]]=3),3,0)</f>
        <v>0</v>
      </c>
    </row>
    <row r="1801" spans="1:7">
      <c r="A1801" s="1">
        <v>2159</v>
      </c>
      <c r="B1801" s="1" t="s">
        <v>3279</v>
      </c>
      <c r="C1801" s="1" t="s">
        <v>265</v>
      </c>
      <c r="D1801" s="1">
        <f>COUNTIFS('Raw Entries'!B:B,Table4[[#This Row],[Name]],'Raw Entries'!I:I,Table4[[#This Row],[BOOK No.]])</f>
        <v>0</v>
      </c>
      <c r="E1801" s="1">
        <f t="array" ref="E1801">IF(OR(Table4[[#This Row],[INSTALLMENT]]=1,Table4[[#This Row],[INSTALLMENT]]=2,Table4[[#This Row],[INSTALLMENT]]=3),1,0)</f>
        <v>0</v>
      </c>
      <c r="F1801" s="1">
        <f>IF(OR(Table4[[#This Row],[INSTALLMENT]]=2,Table4[[#This Row],[INSTALLMENT]]=3),2,0)</f>
        <v>0</v>
      </c>
      <c r="G1801" s="1">
        <f>IF(OR(Table4[[#This Row],[INSTALLMENT]]=3),3,0)</f>
        <v>0</v>
      </c>
    </row>
    <row r="1802" spans="1:7">
      <c r="A1802" s="1">
        <v>2160</v>
      </c>
      <c r="B1802" s="1" t="s">
        <v>268</v>
      </c>
      <c r="C1802" s="1" t="s">
        <v>265</v>
      </c>
      <c r="D1802" s="1">
        <f>COUNTIFS('Raw Entries'!B:B,Table4[[#This Row],[Name]],'Raw Entries'!I:I,Table4[[#This Row],[BOOK No.]])</f>
        <v>1</v>
      </c>
      <c r="E1802" s="1">
        <f t="array" ref="E1802">IF(OR(Table4[[#This Row],[INSTALLMENT]]=1,Table4[[#This Row],[INSTALLMENT]]=2,Table4[[#This Row],[INSTALLMENT]]=3),1,0)</f>
        <v>1</v>
      </c>
      <c r="F1802" s="1">
        <f>IF(OR(Table4[[#This Row],[INSTALLMENT]]=2,Table4[[#This Row],[INSTALLMENT]]=3),2,0)</f>
        <v>0</v>
      </c>
      <c r="G1802" s="1">
        <f>IF(OR(Table4[[#This Row],[INSTALLMENT]]=3),3,0)</f>
        <v>0</v>
      </c>
    </row>
    <row r="1803" spans="1:7">
      <c r="A1803" s="1">
        <v>2161</v>
      </c>
      <c r="B1803" s="1" t="s">
        <v>1911</v>
      </c>
      <c r="C1803" s="1" t="s">
        <v>265</v>
      </c>
      <c r="D1803" s="1">
        <f>COUNTIFS('Raw Entries'!B:B,Table4[[#This Row],[Name]],'Raw Entries'!I:I,Table4[[#This Row],[BOOK No.]])</f>
        <v>3</v>
      </c>
      <c r="E1803" s="1">
        <f t="array" ref="E1803">IF(OR(Table4[[#This Row],[INSTALLMENT]]=1,Table4[[#This Row],[INSTALLMENT]]=2,Table4[[#This Row],[INSTALLMENT]]=3),1,0)</f>
        <v>1</v>
      </c>
      <c r="F1803" s="1">
        <f>IF(OR(Table4[[#This Row],[INSTALLMENT]]=2,Table4[[#This Row],[INSTALLMENT]]=3),2,0)</f>
        <v>2</v>
      </c>
      <c r="G1803" s="1">
        <f>IF(OR(Table4[[#This Row],[INSTALLMENT]]=3),3,0)</f>
        <v>3</v>
      </c>
    </row>
    <row r="1804" spans="1:7">
      <c r="A1804" s="1">
        <v>2162</v>
      </c>
      <c r="B1804" s="1" t="s">
        <v>632</v>
      </c>
      <c r="C1804" s="1" t="s">
        <v>265</v>
      </c>
      <c r="D1804" s="1">
        <f>COUNTIFS('Raw Entries'!B:B,Table4[[#This Row],[Name]],'Raw Entries'!I:I,Table4[[#This Row],[BOOK No.]])</f>
        <v>3</v>
      </c>
      <c r="E1804" s="1">
        <f t="array" ref="E1804">IF(OR(Table4[[#This Row],[INSTALLMENT]]=1,Table4[[#This Row],[INSTALLMENT]]=2,Table4[[#This Row],[INSTALLMENT]]=3),1,0)</f>
        <v>1</v>
      </c>
      <c r="F1804" s="1">
        <f>IF(OR(Table4[[#This Row],[INSTALLMENT]]=2,Table4[[#This Row],[INSTALLMENT]]=3),2,0)</f>
        <v>2</v>
      </c>
      <c r="G1804" s="1">
        <f>IF(OR(Table4[[#This Row],[INSTALLMENT]]=3),3,0)</f>
        <v>3</v>
      </c>
    </row>
    <row r="1805" spans="1:7">
      <c r="A1805" s="1">
        <v>2163</v>
      </c>
      <c r="B1805" s="1" t="s">
        <v>3280</v>
      </c>
      <c r="C1805" s="1" t="s">
        <v>265</v>
      </c>
      <c r="D1805" s="1">
        <f>COUNTIFS('Raw Entries'!B:B,Table4[[#This Row],[Name]],'Raw Entries'!I:I,Table4[[#This Row],[BOOK No.]])</f>
        <v>0</v>
      </c>
      <c r="E1805" s="1">
        <f t="array" ref="E1805">IF(OR(Table4[[#This Row],[INSTALLMENT]]=1,Table4[[#This Row],[INSTALLMENT]]=2,Table4[[#This Row],[INSTALLMENT]]=3),1,0)</f>
        <v>0</v>
      </c>
      <c r="F1805" s="1">
        <f>IF(OR(Table4[[#This Row],[INSTALLMENT]]=2,Table4[[#This Row],[INSTALLMENT]]=3),2,0)</f>
        <v>0</v>
      </c>
      <c r="G1805" s="1">
        <f>IF(OR(Table4[[#This Row],[INSTALLMENT]]=3),3,0)</f>
        <v>0</v>
      </c>
    </row>
    <row r="1806" spans="1:7">
      <c r="A1806" s="1">
        <v>2164</v>
      </c>
      <c r="B1806" s="1" t="s">
        <v>3281</v>
      </c>
      <c r="C1806" s="1" t="s">
        <v>265</v>
      </c>
      <c r="D1806" s="1">
        <f>COUNTIFS('Raw Entries'!B:B,Table4[[#This Row],[Name]],'Raw Entries'!I:I,Table4[[#This Row],[BOOK No.]])</f>
        <v>0</v>
      </c>
      <c r="E1806" s="1">
        <f t="array" ref="E1806">IF(OR(Table4[[#This Row],[INSTALLMENT]]=1,Table4[[#This Row],[INSTALLMENT]]=2,Table4[[#This Row],[INSTALLMENT]]=3),1,0)</f>
        <v>0</v>
      </c>
      <c r="F1806" s="1">
        <f>IF(OR(Table4[[#This Row],[INSTALLMENT]]=2,Table4[[#This Row],[INSTALLMENT]]=3),2,0)</f>
        <v>0</v>
      </c>
      <c r="G1806" s="1">
        <f>IF(OR(Table4[[#This Row],[INSTALLMENT]]=3),3,0)</f>
        <v>0</v>
      </c>
    </row>
    <row r="1807" spans="1:7">
      <c r="A1807" s="1">
        <v>2165</v>
      </c>
      <c r="B1807" s="1" t="s">
        <v>3282</v>
      </c>
      <c r="C1807" s="1" t="s">
        <v>265</v>
      </c>
      <c r="D1807" s="1">
        <f>COUNTIFS('Raw Entries'!B:B,Table4[[#This Row],[Name]],'Raw Entries'!I:I,Table4[[#This Row],[BOOK No.]])</f>
        <v>0</v>
      </c>
      <c r="E1807" s="1">
        <f t="array" ref="E1807">IF(OR(Table4[[#This Row],[INSTALLMENT]]=1,Table4[[#This Row],[INSTALLMENT]]=2,Table4[[#This Row],[INSTALLMENT]]=3),1,0)</f>
        <v>0</v>
      </c>
      <c r="F1807" s="1">
        <f>IF(OR(Table4[[#This Row],[INSTALLMENT]]=2,Table4[[#This Row],[INSTALLMENT]]=3),2,0)</f>
        <v>0</v>
      </c>
      <c r="G1807" s="1">
        <f>IF(OR(Table4[[#This Row],[INSTALLMENT]]=3),3,0)</f>
        <v>0</v>
      </c>
    </row>
    <row r="1808" spans="1:7">
      <c r="A1808" s="1">
        <v>2166</v>
      </c>
      <c r="B1808" s="1" t="s">
        <v>3283</v>
      </c>
      <c r="C1808" s="1" t="s">
        <v>265</v>
      </c>
      <c r="D1808" s="1">
        <f>COUNTIFS('Raw Entries'!B:B,Table4[[#This Row],[Name]],'Raw Entries'!I:I,Table4[[#This Row],[BOOK No.]])</f>
        <v>0</v>
      </c>
      <c r="E1808" s="1">
        <f t="array" ref="E1808">IF(OR(Table4[[#This Row],[INSTALLMENT]]=1,Table4[[#This Row],[INSTALLMENT]]=2,Table4[[#This Row],[INSTALLMENT]]=3),1,0)</f>
        <v>0</v>
      </c>
      <c r="F1808" s="1">
        <f>IF(OR(Table4[[#This Row],[INSTALLMENT]]=2,Table4[[#This Row],[INSTALLMENT]]=3),2,0)</f>
        <v>0</v>
      </c>
      <c r="G1808" s="1">
        <f>IF(OR(Table4[[#This Row],[INSTALLMENT]]=3),3,0)</f>
        <v>0</v>
      </c>
    </row>
    <row r="1809" spans="1:7">
      <c r="A1809" s="1">
        <v>2167</v>
      </c>
      <c r="B1809" s="1" t="s">
        <v>3284</v>
      </c>
      <c r="C1809" s="1" t="s">
        <v>265</v>
      </c>
      <c r="D1809" s="1">
        <f>COUNTIFS('Raw Entries'!B:B,Table4[[#This Row],[Name]],'Raw Entries'!I:I,Table4[[#This Row],[BOOK No.]])</f>
        <v>0</v>
      </c>
      <c r="E1809" s="1">
        <f t="array" ref="E1809">IF(OR(Table4[[#This Row],[INSTALLMENT]]=1,Table4[[#This Row],[INSTALLMENT]]=2,Table4[[#This Row],[INSTALLMENT]]=3),1,0)</f>
        <v>0</v>
      </c>
      <c r="F1809" s="1">
        <f>IF(OR(Table4[[#This Row],[INSTALLMENT]]=2,Table4[[#This Row],[INSTALLMENT]]=3),2,0)</f>
        <v>0</v>
      </c>
      <c r="G1809" s="1">
        <f>IF(OR(Table4[[#This Row],[INSTALLMENT]]=3),3,0)</f>
        <v>0</v>
      </c>
    </row>
    <row r="1810" spans="1:7">
      <c r="A1810" s="1">
        <v>2168</v>
      </c>
      <c r="B1810" s="1" t="s">
        <v>272</v>
      </c>
      <c r="C1810" s="1" t="s">
        <v>265</v>
      </c>
      <c r="D1810" s="1">
        <f>COUNTIFS('Raw Entries'!B:B,Table4[[#This Row],[Name]],'Raw Entries'!I:I,Table4[[#This Row],[BOOK No.]])</f>
        <v>1</v>
      </c>
      <c r="E1810" s="1">
        <f t="array" ref="E1810">IF(OR(Table4[[#This Row],[INSTALLMENT]]=1,Table4[[#This Row],[INSTALLMENT]]=2,Table4[[#This Row],[INSTALLMENT]]=3),1,0)</f>
        <v>1</v>
      </c>
      <c r="F1810" s="1">
        <f>IF(OR(Table4[[#This Row],[INSTALLMENT]]=2,Table4[[#This Row],[INSTALLMENT]]=3),2,0)</f>
        <v>0</v>
      </c>
      <c r="G1810" s="1">
        <f>IF(OR(Table4[[#This Row],[INSTALLMENT]]=3),3,0)</f>
        <v>0</v>
      </c>
    </row>
    <row r="1811" spans="1:7">
      <c r="A1811" s="1">
        <v>2169</v>
      </c>
      <c r="B1811" s="1" t="s">
        <v>3285</v>
      </c>
      <c r="C1811" s="1" t="s">
        <v>265</v>
      </c>
      <c r="D1811" s="1">
        <f>COUNTIFS('Raw Entries'!B:B,Table4[[#This Row],[Name]],'Raw Entries'!I:I,Table4[[#This Row],[BOOK No.]])</f>
        <v>0</v>
      </c>
      <c r="E1811" s="1">
        <f t="array" ref="E1811">IF(OR(Table4[[#This Row],[INSTALLMENT]]=1,Table4[[#This Row],[INSTALLMENT]]=2,Table4[[#This Row],[INSTALLMENT]]=3),1,0)</f>
        <v>0</v>
      </c>
      <c r="F1811" s="1">
        <f>IF(OR(Table4[[#This Row],[INSTALLMENT]]=2,Table4[[#This Row],[INSTALLMENT]]=3),2,0)</f>
        <v>0</v>
      </c>
      <c r="G1811" s="1">
        <f>IF(OR(Table4[[#This Row],[INSTALLMENT]]=3),3,0)</f>
        <v>0</v>
      </c>
    </row>
    <row r="1812" spans="1:7">
      <c r="A1812" s="1">
        <v>2170</v>
      </c>
      <c r="B1812" s="1" t="s">
        <v>3286</v>
      </c>
      <c r="C1812" s="1" t="s">
        <v>265</v>
      </c>
      <c r="D1812" s="1">
        <f>COUNTIFS('Raw Entries'!B:B,Table4[[#This Row],[Name]],'Raw Entries'!I:I,Table4[[#This Row],[BOOK No.]])</f>
        <v>0</v>
      </c>
      <c r="E1812" s="1">
        <f t="array" ref="E1812">IF(OR(Table4[[#This Row],[INSTALLMENT]]=1,Table4[[#This Row],[INSTALLMENT]]=2,Table4[[#This Row],[INSTALLMENT]]=3),1,0)</f>
        <v>0</v>
      </c>
      <c r="F1812" s="1">
        <f>IF(OR(Table4[[#This Row],[INSTALLMENT]]=2,Table4[[#This Row],[INSTALLMENT]]=3),2,0)</f>
        <v>0</v>
      </c>
      <c r="G1812" s="1">
        <f>IF(OR(Table4[[#This Row],[INSTALLMENT]]=3),3,0)</f>
        <v>0</v>
      </c>
    </row>
    <row r="1813" spans="1:7">
      <c r="A1813" s="1">
        <v>2171</v>
      </c>
      <c r="B1813" s="1" t="s">
        <v>2583</v>
      </c>
      <c r="C1813" s="1" t="s">
        <v>265</v>
      </c>
      <c r="D1813" s="1">
        <f>COUNTIFS('Raw Entries'!B:B,Table4[[#This Row],[Name]],'Raw Entries'!I:I,Table4[[#This Row],[BOOK No.]])</f>
        <v>0</v>
      </c>
      <c r="E1813" s="1">
        <f t="array" ref="E1813">IF(OR(Table4[[#This Row],[INSTALLMENT]]=1,Table4[[#This Row],[INSTALLMENT]]=2,Table4[[#This Row],[INSTALLMENT]]=3),1,0)</f>
        <v>0</v>
      </c>
      <c r="F1813" s="1">
        <f>IF(OR(Table4[[#This Row],[INSTALLMENT]]=2,Table4[[#This Row],[INSTALLMENT]]=3),2,0)</f>
        <v>0</v>
      </c>
      <c r="G1813" s="1">
        <f>IF(OR(Table4[[#This Row],[INSTALLMENT]]=3),3,0)</f>
        <v>0</v>
      </c>
    </row>
    <row r="1814" spans="1:7">
      <c r="A1814" s="1">
        <v>2172</v>
      </c>
      <c r="B1814" s="1" t="s">
        <v>3287</v>
      </c>
      <c r="C1814" s="1" t="s">
        <v>265</v>
      </c>
      <c r="D1814" s="1">
        <f>COUNTIFS('Raw Entries'!B:B,Table4[[#This Row],[Name]],'Raw Entries'!I:I,Table4[[#This Row],[BOOK No.]])</f>
        <v>0</v>
      </c>
      <c r="E1814" s="1">
        <f t="array" ref="E1814">IF(OR(Table4[[#This Row],[INSTALLMENT]]=1,Table4[[#This Row],[INSTALLMENT]]=2,Table4[[#This Row],[INSTALLMENT]]=3),1,0)</f>
        <v>0</v>
      </c>
      <c r="F1814" s="1">
        <f>IF(OR(Table4[[#This Row],[INSTALLMENT]]=2,Table4[[#This Row],[INSTALLMENT]]=3),2,0)</f>
        <v>0</v>
      </c>
      <c r="G1814" s="1">
        <f>IF(OR(Table4[[#This Row],[INSTALLMENT]]=3),3,0)</f>
        <v>0</v>
      </c>
    </row>
    <row r="1815" spans="1:7">
      <c r="A1815" s="1">
        <v>2173</v>
      </c>
      <c r="B1815" s="1" t="s">
        <v>3288</v>
      </c>
      <c r="C1815" s="1" t="s">
        <v>265</v>
      </c>
      <c r="D1815" s="1">
        <f>COUNTIFS('Raw Entries'!B:B,Table4[[#This Row],[Name]],'Raw Entries'!I:I,Table4[[#This Row],[BOOK No.]])</f>
        <v>0</v>
      </c>
      <c r="E1815" s="1">
        <f t="array" ref="E1815">IF(OR(Table4[[#This Row],[INSTALLMENT]]=1,Table4[[#This Row],[INSTALLMENT]]=2,Table4[[#This Row],[INSTALLMENT]]=3),1,0)</f>
        <v>0</v>
      </c>
      <c r="F1815" s="1">
        <f>IF(OR(Table4[[#This Row],[INSTALLMENT]]=2,Table4[[#This Row],[INSTALLMENT]]=3),2,0)</f>
        <v>0</v>
      </c>
      <c r="G1815" s="1">
        <f>IF(OR(Table4[[#This Row],[INSTALLMENT]]=3),3,0)</f>
        <v>0</v>
      </c>
    </row>
    <row r="1816" spans="1:7">
      <c r="A1816" s="1">
        <v>2174</v>
      </c>
      <c r="B1816" s="1" t="s">
        <v>3289</v>
      </c>
      <c r="C1816" s="1" t="s">
        <v>265</v>
      </c>
      <c r="D1816" s="1">
        <f>COUNTIFS('Raw Entries'!B:B,Table4[[#This Row],[Name]],'Raw Entries'!I:I,Table4[[#This Row],[BOOK No.]])</f>
        <v>0</v>
      </c>
      <c r="E1816" s="1">
        <f t="array" ref="E1816">IF(OR(Table4[[#This Row],[INSTALLMENT]]=1,Table4[[#This Row],[INSTALLMENT]]=2,Table4[[#This Row],[INSTALLMENT]]=3),1,0)</f>
        <v>0</v>
      </c>
      <c r="F1816" s="1">
        <f>IF(OR(Table4[[#This Row],[INSTALLMENT]]=2,Table4[[#This Row],[INSTALLMENT]]=3),2,0)</f>
        <v>0</v>
      </c>
      <c r="G1816" s="1">
        <f>IF(OR(Table4[[#This Row],[INSTALLMENT]]=3),3,0)</f>
        <v>0</v>
      </c>
    </row>
    <row r="1817" spans="1:7">
      <c r="A1817" s="1">
        <v>2175</v>
      </c>
      <c r="B1817" s="1" t="s">
        <v>3290</v>
      </c>
      <c r="C1817" s="1" t="s">
        <v>265</v>
      </c>
      <c r="D1817" s="1">
        <f>COUNTIFS('Raw Entries'!B:B,Table4[[#This Row],[Name]],'Raw Entries'!I:I,Table4[[#This Row],[BOOK No.]])</f>
        <v>0</v>
      </c>
      <c r="E1817" s="1">
        <f t="array" ref="E1817">IF(OR(Table4[[#This Row],[INSTALLMENT]]=1,Table4[[#This Row],[INSTALLMENT]]=2,Table4[[#This Row],[INSTALLMENT]]=3),1,0)</f>
        <v>0</v>
      </c>
      <c r="F1817" s="1">
        <f>IF(OR(Table4[[#This Row],[INSTALLMENT]]=2,Table4[[#This Row],[INSTALLMENT]]=3),2,0)</f>
        <v>0</v>
      </c>
      <c r="G1817" s="1">
        <f>IF(OR(Table4[[#This Row],[INSTALLMENT]]=3),3,0)</f>
        <v>0</v>
      </c>
    </row>
    <row r="1818" spans="1:7">
      <c r="A1818" s="1">
        <v>2176</v>
      </c>
      <c r="B1818" s="1" t="s">
        <v>267</v>
      </c>
      <c r="C1818" s="1" t="s">
        <v>265</v>
      </c>
      <c r="D1818" s="1">
        <f>COUNTIFS('Raw Entries'!B:B,Table4[[#This Row],[Name]],'Raw Entries'!I:I,Table4[[#This Row],[BOOK No.]])</f>
        <v>1</v>
      </c>
      <c r="E1818" s="1">
        <f t="array" ref="E1818">IF(OR(Table4[[#This Row],[INSTALLMENT]]=1,Table4[[#This Row],[INSTALLMENT]]=2,Table4[[#This Row],[INSTALLMENT]]=3),1,0)</f>
        <v>1</v>
      </c>
      <c r="F1818" s="1">
        <f>IF(OR(Table4[[#This Row],[INSTALLMENT]]=2,Table4[[#This Row],[INSTALLMENT]]=3),2,0)</f>
        <v>0</v>
      </c>
      <c r="G1818" s="1">
        <f>IF(OR(Table4[[#This Row],[INSTALLMENT]]=3),3,0)</f>
        <v>0</v>
      </c>
    </row>
    <row r="1819" spans="1:7">
      <c r="A1819" s="1">
        <v>2177</v>
      </c>
      <c r="B1819" s="1" t="s">
        <v>674</v>
      </c>
      <c r="C1819" s="1" t="s">
        <v>265</v>
      </c>
      <c r="D1819" s="1">
        <f>COUNTIFS('Raw Entries'!B:B,Table4[[#This Row],[Name]],'Raw Entries'!I:I,Table4[[#This Row],[BOOK No.]])</f>
        <v>1</v>
      </c>
      <c r="E1819" s="1">
        <f t="array" ref="E1819">IF(OR(Table4[[#This Row],[INSTALLMENT]]=1,Table4[[#This Row],[INSTALLMENT]]=2,Table4[[#This Row],[INSTALLMENT]]=3),1,0)</f>
        <v>1</v>
      </c>
      <c r="F1819" s="1">
        <f>IF(OR(Table4[[#This Row],[INSTALLMENT]]=2,Table4[[#This Row],[INSTALLMENT]]=3),2,0)</f>
        <v>0</v>
      </c>
      <c r="G1819" s="1">
        <f>IF(OR(Table4[[#This Row],[INSTALLMENT]]=3),3,0)</f>
        <v>0</v>
      </c>
    </row>
    <row r="1820" spans="1:7">
      <c r="A1820" s="1">
        <v>2178</v>
      </c>
      <c r="B1820" s="1" t="s">
        <v>3291</v>
      </c>
      <c r="C1820" s="1" t="s">
        <v>265</v>
      </c>
      <c r="D1820" s="1">
        <f>COUNTIFS('Raw Entries'!B:B,Table4[[#This Row],[Name]],'Raw Entries'!I:I,Table4[[#This Row],[BOOK No.]])</f>
        <v>0</v>
      </c>
      <c r="E1820" s="1">
        <f t="array" ref="E1820">IF(OR(Table4[[#This Row],[INSTALLMENT]]=1,Table4[[#This Row],[INSTALLMENT]]=2,Table4[[#This Row],[INSTALLMENT]]=3),1,0)</f>
        <v>0</v>
      </c>
      <c r="F1820" s="1">
        <f>IF(OR(Table4[[#This Row],[INSTALLMENT]]=2,Table4[[#This Row],[INSTALLMENT]]=3),2,0)</f>
        <v>0</v>
      </c>
      <c r="G1820" s="1">
        <f>IF(OR(Table4[[#This Row],[INSTALLMENT]]=3),3,0)</f>
        <v>0</v>
      </c>
    </row>
    <row r="1821" spans="1:7">
      <c r="A1821" s="1">
        <v>2179</v>
      </c>
      <c r="B1821" s="1" t="s">
        <v>3292</v>
      </c>
      <c r="C1821" s="1" t="s">
        <v>265</v>
      </c>
      <c r="D1821" s="1">
        <f>COUNTIFS('Raw Entries'!B:B,Table4[[#This Row],[Name]],'Raw Entries'!I:I,Table4[[#This Row],[BOOK No.]])</f>
        <v>0</v>
      </c>
      <c r="E1821" s="1">
        <f t="array" ref="E1821">IF(OR(Table4[[#This Row],[INSTALLMENT]]=1,Table4[[#This Row],[INSTALLMENT]]=2,Table4[[#This Row],[INSTALLMENT]]=3),1,0)</f>
        <v>0</v>
      </c>
      <c r="F1821" s="1">
        <f>IF(OR(Table4[[#This Row],[INSTALLMENT]]=2,Table4[[#This Row],[INSTALLMENT]]=3),2,0)</f>
        <v>0</v>
      </c>
      <c r="G1821" s="1">
        <f>IF(OR(Table4[[#This Row],[INSTALLMENT]]=3),3,0)</f>
        <v>0</v>
      </c>
    </row>
    <row r="1822" spans="1:7">
      <c r="A1822" s="1">
        <v>2180</v>
      </c>
      <c r="B1822" s="1" t="s">
        <v>3293</v>
      </c>
      <c r="C1822" s="1" t="s">
        <v>265</v>
      </c>
      <c r="D1822" s="1">
        <f>COUNTIFS('Raw Entries'!B:B,Table4[[#This Row],[Name]],'Raw Entries'!I:I,Table4[[#This Row],[BOOK No.]])</f>
        <v>0</v>
      </c>
      <c r="E1822" s="1">
        <f t="array" ref="E1822">IF(OR(Table4[[#This Row],[INSTALLMENT]]=1,Table4[[#This Row],[INSTALLMENT]]=2,Table4[[#This Row],[INSTALLMENT]]=3),1,0)</f>
        <v>0</v>
      </c>
      <c r="F1822" s="1">
        <f>IF(OR(Table4[[#This Row],[INSTALLMENT]]=2,Table4[[#This Row],[INSTALLMENT]]=3),2,0)</f>
        <v>0</v>
      </c>
      <c r="G1822" s="1">
        <f>IF(OR(Table4[[#This Row],[INSTALLMENT]]=3),3,0)</f>
        <v>0</v>
      </c>
    </row>
    <row r="1823" spans="1:7">
      <c r="A1823" s="1">
        <v>2181</v>
      </c>
      <c r="B1823" s="1" t="s">
        <v>3294</v>
      </c>
      <c r="C1823" s="1" t="s">
        <v>265</v>
      </c>
      <c r="D1823" s="1">
        <f>COUNTIFS('Raw Entries'!B:B,Table4[[#This Row],[Name]],'Raw Entries'!I:I,Table4[[#This Row],[BOOK No.]])</f>
        <v>0</v>
      </c>
      <c r="E1823" s="1">
        <f t="array" ref="E1823">IF(OR(Table4[[#This Row],[INSTALLMENT]]=1,Table4[[#This Row],[INSTALLMENT]]=2,Table4[[#This Row],[INSTALLMENT]]=3),1,0)</f>
        <v>0</v>
      </c>
      <c r="F1823" s="1">
        <f>IF(OR(Table4[[#This Row],[INSTALLMENT]]=2,Table4[[#This Row],[INSTALLMENT]]=3),2,0)</f>
        <v>0</v>
      </c>
      <c r="G1823" s="1">
        <f>IF(OR(Table4[[#This Row],[INSTALLMENT]]=3),3,0)</f>
        <v>0</v>
      </c>
    </row>
    <row r="1824" spans="1:7">
      <c r="A1824" s="1">
        <v>2182</v>
      </c>
      <c r="B1824" s="1" t="s">
        <v>3295</v>
      </c>
      <c r="C1824" s="1" t="s">
        <v>265</v>
      </c>
      <c r="D1824" s="1">
        <f>COUNTIFS('Raw Entries'!B:B,Table4[[#This Row],[Name]],'Raw Entries'!I:I,Table4[[#This Row],[BOOK No.]])</f>
        <v>3</v>
      </c>
      <c r="E1824" s="1">
        <f t="array" ref="E1824">IF(OR(Table4[[#This Row],[INSTALLMENT]]=1,Table4[[#This Row],[INSTALLMENT]]=2,Table4[[#This Row],[INSTALLMENT]]=3),1,0)</f>
        <v>1</v>
      </c>
      <c r="F1824" s="1">
        <f>IF(OR(Table4[[#This Row],[INSTALLMENT]]=2,Table4[[#This Row],[INSTALLMENT]]=3),2,0)</f>
        <v>2</v>
      </c>
      <c r="G1824" s="1">
        <f>IF(OR(Table4[[#This Row],[INSTALLMENT]]=3),3,0)</f>
        <v>3</v>
      </c>
    </row>
    <row r="1825" spans="1:7">
      <c r="A1825" s="1">
        <v>2183</v>
      </c>
      <c r="B1825" s="1" t="s">
        <v>270</v>
      </c>
      <c r="C1825" s="1" t="s">
        <v>265</v>
      </c>
      <c r="D1825" s="1">
        <f>COUNTIFS('Raw Entries'!B:B,Table4[[#This Row],[Name]],'Raw Entries'!I:I,Table4[[#This Row],[BOOK No.]])</f>
        <v>3</v>
      </c>
      <c r="E1825" s="1">
        <f t="array" ref="E1825">IF(OR(Table4[[#This Row],[INSTALLMENT]]=1,Table4[[#This Row],[INSTALLMENT]]=2,Table4[[#This Row],[INSTALLMENT]]=3),1,0)</f>
        <v>1</v>
      </c>
      <c r="F1825" s="1">
        <f>IF(OR(Table4[[#This Row],[INSTALLMENT]]=2,Table4[[#This Row],[INSTALLMENT]]=3),2,0)</f>
        <v>2</v>
      </c>
      <c r="G1825" s="1">
        <f>IF(OR(Table4[[#This Row],[INSTALLMENT]]=3),3,0)</f>
        <v>3</v>
      </c>
    </row>
    <row r="1826" spans="1:7">
      <c r="A1826" s="1">
        <v>2184</v>
      </c>
      <c r="B1826" s="1" t="s">
        <v>266</v>
      </c>
      <c r="C1826" s="1" t="s">
        <v>265</v>
      </c>
      <c r="D1826" s="1">
        <f>COUNTIFS('Raw Entries'!B:B,Table4[[#This Row],[Name]],'Raw Entries'!I:I,Table4[[#This Row],[BOOK No.]])</f>
        <v>3</v>
      </c>
      <c r="E1826" s="1">
        <f t="array" ref="E1826">IF(OR(Table4[[#This Row],[INSTALLMENT]]=1,Table4[[#This Row],[INSTALLMENT]]=2,Table4[[#This Row],[INSTALLMENT]]=3),1,0)</f>
        <v>1</v>
      </c>
      <c r="F1826" s="1">
        <f>IF(OR(Table4[[#This Row],[INSTALLMENT]]=2,Table4[[#This Row],[INSTALLMENT]]=3),2,0)</f>
        <v>2</v>
      </c>
      <c r="G1826" s="1">
        <f>IF(OR(Table4[[#This Row],[INSTALLMENT]]=3),3,0)</f>
        <v>3</v>
      </c>
    </row>
    <row r="1827" spans="1:7">
      <c r="A1827" s="1">
        <v>2185</v>
      </c>
      <c r="B1827" s="1" t="s">
        <v>3296</v>
      </c>
      <c r="C1827" s="1" t="s">
        <v>273</v>
      </c>
      <c r="D1827" s="1">
        <f>COUNTIFS('Raw Entries'!B:B,Table4[[#This Row],[Name]],'Raw Entries'!I:I,Table4[[#This Row],[BOOK No.]])</f>
        <v>0</v>
      </c>
      <c r="E1827" s="1">
        <f t="array" ref="E1827">IF(OR(Table4[[#This Row],[INSTALLMENT]]=1,Table4[[#This Row],[INSTALLMENT]]=2,Table4[[#This Row],[INSTALLMENT]]=3),1,0)</f>
        <v>0</v>
      </c>
      <c r="F1827" s="1">
        <f>IF(OR(Table4[[#This Row],[INSTALLMENT]]=2,Table4[[#This Row],[INSTALLMENT]]=3),2,0)</f>
        <v>0</v>
      </c>
      <c r="G1827" s="1">
        <f>IF(OR(Table4[[#This Row],[INSTALLMENT]]=3),3,0)</f>
        <v>0</v>
      </c>
    </row>
    <row r="1828" spans="1:7">
      <c r="A1828" s="1">
        <v>2186</v>
      </c>
      <c r="B1828" s="1" t="s">
        <v>3297</v>
      </c>
      <c r="C1828" s="1" t="s">
        <v>273</v>
      </c>
      <c r="D1828" s="1">
        <f>COUNTIFS('Raw Entries'!B:B,Table4[[#This Row],[Name]],'Raw Entries'!I:I,Table4[[#This Row],[BOOK No.]])</f>
        <v>0</v>
      </c>
      <c r="E1828" s="1">
        <f t="array" ref="E1828">IF(OR(Table4[[#This Row],[INSTALLMENT]]=1,Table4[[#This Row],[INSTALLMENT]]=2,Table4[[#This Row],[INSTALLMENT]]=3),1,0)</f>
        <v>0</v>
      </c>
      <c r="F1828" s="1">
        <f>IF(OR(Table4[[#This Row],[INSTALLMENT]]=2,Table4[[#This Row],[INSTALLMENT]]=3),2,0)</f>
        <v>0</v>
      </c>
      <c r="G1828" s="1">
        <f>IF(OR(Table4[[#This Row],[INSTALLMENT]]=3),3,0)</f>
        <v>0</v>
      </c>
    </row>
    <row r="1829" spans="1:7">
      <c r="A1829" s="1">
        <v>2187</v>
      </c>
      <c r="B1829" s="1" t="s">
        <v>1979</v>
      </c>
      <c r="C1829" s="1" t="s">
        <v>273</v>
      </c>
      <c r="D1829" s="1">
        <f>COUNTIFS('Raw Entries'!B:B,Table4[[#This Row],[Name]],'Raw Entries'!I:I,Table4[[#This Row],[BOOK No.]])</f>
        <v>0</v>
      </c>
      <c r="E1829" s="1">
        <f t="array" ref="E1829">IF(OR(Table4[[#This Row],[INSTALLMENT]]=1,Table4[[#This Row],[INSTALLMENT]]=2,Table4[[#This Row],[INSTALLMENT]]=3),1,0)</f>
        <v>0</v>
      </c>
      <c r="F1829" s="1">
        <f>IF(OR(Table4[[#This Row],[INSTALLMENT]]=2,Table4[[#This Row],[INSTALLMENT]]=3),2,0)</f>
        <v>0</v>
      </c>
      <c r="G1829" s="1">
        <f>IF(OR(Table4[[#This Row],[INSTALLMENT]]=3),3,0)</f>
        <v>0</v>
      </c>
    </row>
    <row r="1830" spans="1:7">
      <c r="A1830" s="1">
        <v>2188</v>
      </c>
      <c r="B1830" s="1" t="s">
        <v>3298</v>
      </c>
      <c r="C1830" s="1" t="s">
        <v>273</v>
      </c>
      <c r="D1830" s="1">
        <f>COUNTIFS('Raw Entries'!B:B,Table4[[#This Row],[Name]],'Raw Entries'!I:I,Table4[[#This Row],[BOOK No.]])</f>
        <v>0</v>
      </c>
      <c r="E1830" s="1">
        <f t="array" ref="E1830">IF(OR(Table4[[#This Row],[INSTALLMENT]]=1,Table4[[#This Row],[INSTALLMENT]]=2,Table4[[#This Row],[INSTALLMENT]]=3),1,0)</f>
        <v>0</v>
      </c>
      <c r="F1830" s="1">
        <f>IF(OR(Table4[[#This Row],[INSTALLMENT]]=2,Table4[[#This Row],[INSTALLMENT]]=3),2,0)</f>
        <v>0</v>
      </c>
      <c r="G1830" s="1">
        <f>IF(OR(Table4[[#This Row],[INSTALLMENT]]=3),3,0)</f>
        <v>0</v>
      </c>
    </row>
    <row r="1831" spans="1:7">
      <c r="A1831" s="1">
        <v>2189</v>
      </c>
      <c r="B1831" s="1" t="s">
        <v>3299</v>
      </c>
      <c r="C1831" s="1" t="s">
        <v>273</v>
      </c>
      <c r="D1831" s="1">
        <f>COUNTIFS('Raw Entries'!B:B,Table4[[#This Row],[Name]],'Raw Entries'!I:I,Table4[[#This Row],[BOOK No.]])</f>
        <v>0</v>
      </c>
      <c r="E1831" s="1">
        <f t="array" ref="E1831">IF(OR(Table4[[#This Row],[INSTALLMENT]]=1,Table4[[#This Row],[INSTALLMENT]]=2,Table4[[#This Row],[INSTALLMENT]]=3),1,0)</f>
        <v>0</v>
      </c>
      <c r="F1831" s="1">
        <f>IF(OR(Table4[[#This Row],[INSTALLMENT]]=2,Table4[[#This Row],[INSTALLMENT]]=3),2,0)</f>
        <v>0</v>
      </c>
      <c r="G1831" s="1">
        <f>IF(OR(Table4[[#This Row],[INSTALLMENT]]=3),3,0)</f>
        <v>0</v>
      </c>
    </row>
    <row r="1832" spans="1:7">
      <c r="A1832" s="1">
        <v>2190</v>
      </c>
      <c r="B1832" s="1" t="s">
        <v>3300</v>
      </c>
      <c r="C1832" s="1" t="s">
        <v>273</v>
      </c>
      <c r="D1832" s="1">
        <f>COUNTIFS('Raw Entries'!B:B,Table4[[#This Row],[Name]],'Raw Entries'!I:I,Table4[[#This Row],[BOOK No.]])</f>
        <v>0</v>
      </c>
      <c r="E1832" s="1">
        <f t="array" ref="E1832">IF(OR(Table4[[#This Row],[INSTALLMENT]]=1,Table4[[#This Row],[INSTALLMENT]]=2,Table4[[#This Row],[INSTALLMENT]]=3),1,0)</f>
        <v>0</v>
      </c>
      <c r="F1832" s="1">
        <f>IF(OR(Table4[[#This Row],[INSTALLMENT]]=2,Table4[[#This Row],[INSTALLMENT]]=3),2,0)</f>
        <v>0</v>
      </c>
      <c r="G1832" s="1">
        <f>IF(OR(Table4[[#This Row],[INSTALLMENT]]=3),3,0)</f>
        <v>0</v>
      </c>
    </row>
    <row r="1833" spans="1:7">
      <c r="A1833" s="1">
        <v>2191</v>
      </c>
      <c r="B1833" s="1" t="s">
        <v>282</v>
      </c>
      <c r="C1833" s="1" t="s">
        <v>273</v>
      </c>
      <c r="D1833" s="1">
        <f>COUNTIFS('Raw Entries'!B:B,Table4[[#This Row],[Name]],'Raw Entries'!I:I,Table4[[#This Row],[BOOK No.]])</f>
        <v>3</v>
      </c>
      <c r="E1833" s="1">
        <f t="array" ref="E1833">IF(OR(Table4[[#This Row],[INSTALLMENT]]=1,Table4[[#This Row],[INSTALLMENT]]=2,Table4[[#This Row],[INSTALLMENT]]=3),1,0)</f>
        <v>1</v>
      </c>
      <c r="F1833" s="1">
        <f>IF(OR(Table4[[#This Row],[INSTALLMENT]]=2,Table4[[#This Row],[INSTALLMENT]]=3),2,0)</f>
        <v>2</v>
      </c>
      <c r="G1833" s="1">
        <f>IF(OR(Table4[[#This Row],[INSTALLMENT]]=3),3,0)</f>
        <v>3</v>
      </c>
    </row>
    <row r="1834" spans="1:7">
      <c r="A1834" s="1">
        <v>2192</v>
      </c>
      <c r="B1834" s="1" t="s">
        <v>3301</v>
      </c>
      <c r="C1834" s="1" t="s">
        <v>273</v>
      </c>
      <c r="D1834" s="1">
        <f>COUNTIFS('Raw Entries'!B:B,Table4[[#This Row],[Name]],'Raw Entries'!I:I,Table4[[#This Row],[BOOK No.]])</f>
        <v>0</v>
      </c>
      <c r="E1834" s="1">
        <f t="array" ref="E1834">IF(OR(Table4[[#This Row],[INSTALLMENT]]=1,Table4[[#This Row],[INSTALLMENT]]=2,Table4[[#This Row],[INSTALLMENT]]=3),1,0)</f>
        <v>0</v>
      </c>
      <c r="F1834" s="1">
        <f>IF(OR(Table4[[#This Row],[INSTALLMENT]]=2,Table4[[#This Row],[INSTALLMENT]]=3),2,0)</f>
        <v>0</v>
      </c>
      <c r="G1834" s="1">
        <f>IF(OR(Table4[[#This Row],[INSTALLMENT]]=3),3,0)</f>
        <v>0</v>
      </c>
    </row>
    <row r="1835" spans="1:7">
      <c r="A1835" s="1">
        <v>2193</v>
      </c>
      <c r="B1835" s="1" t="s">
        <v>2408</v>
      </c>
      <c r="C1835" s="1" t="s">
        <v>273</v>
      </c>
      <c r="D1835" s="1">
        <f>COUNTIFS('Raw Entries'!B:B,Table4[[#This Row],[Name]],'Raw Entries'!I:I,Table4[[#This Row],[BOOK No.]])</f>
        <v>0</v>
      </c>
      <c r="E1835" s="1">
        <f t="array" ref="E1835">IF(OR(Table4[[#This Row],[INSTALLMENT]]=1,Table4[[#This Row],[INSTALLMENT]]=2,Table4[[#This Row],[INSTALLMENT]]=3),1,0)</f>
        <v>0</v>
      </c>
      <c r="F1835" s="1">
        <f>IF(OR(Table4[[#This Row],[INSTALLMENT]]=2,Table4[[#This Row],[INSTALLMENT]]=3),2,0)</f>
        <v>0</v>
      </c>
      <c r="G1835" s="1">
        <f>IF(OR(Table4[[#This Row],[INSTALLMENT]]=3),3,0)</f>
        <v>0</v>
      </c>
    </row>
    <row r="1836" spans="1:7">
      <c r="A1836" s="1">
        <v>2194</v>
      </c>
      <c r="B1836" s="1" t="s">
        <v>3302</v>
      </c>
      <c r="C1836" s="1" t="s">
        <v>273</v>
      </c>
      <c r="D1836" s="1">
        <f>COUNTIFS('Raw Entries'!B:B,Table4[[#This Row],[Name]],'Raw Entries'!I:I,Table4[[#This Row],[BOOK No.]])</f>
        <v>0</v>
      </c>
      <c r="E1836" s="1">
        <f t="array" ref="E1836">IF(OR(Table4[[#This Row],[INSTALLMENT]]=1,Table4[[#This Row],[INSTALLMENT]]=2,Table4[[#This Row],[INSTALLMENT]]=3),1,0)</f>
        <v>0</v>
      </c>
      <c r="F1836" s="1">
        <f>IF(OR(Table4[[#This Row],[INSTALLMENT]]=2,Table4[[#This Row],[INSTALLMENT]]=3),2,0)</f>
        <v>0</v>
      </c>
      <c r="G1836" s="1">
        <f>IF(OR(Table4[[#This Row],[INSTALLMENT]]=3),3,0)</f>
        <v>0</v>
      </c>
    </row>
    <row r="1837" spans="1:7">
      <c r="A1837" s="1">
        <v>2195</v>
      </c>
      <c r="B1837" s="1" t="s">
        <v>281</v>
      </c>
      <c r="C1837" s="1" t="s">
        <v>273</v>
      </c>
      <c r="D1837" s="1">
        <f>COUNTIFS('Raw Entries'!B:B,Table4[[#This Row],[Name]],'Raw Entries'!I:I,Table4[[#This Row],[BOOK No.]])</f>
        <v>1</v>
      </c>
      <c r="E1837" s="1">
        <f t="array" ref="E1837">IF(OR(Table4[[#This Row],[INSTALLMENT]]=1,Table4[[#This Row],[INSTALLMENT]]=2,Table4[[#This Row],[INSTALLMENT]]=3),1,0)</f>
        <v>1</v>
      </c>
      <c r="F1837" s="1">
        <f>IF(OR(Table4[[#This Row],[INSTALLMENT]]=2,Table4[[#This Row],[INSTALLMENT]]=3),2,0)</f>
        <v>0</v>
      </c>
      <c r="G1837" s="1">
        <f>IF(OR(Table4[[#This Row],[INSTALLMENT]]=3),3,0)</f>
        <v>0</v>
      </c>
    </row>
    <row r="1838" spans="1:7">
      <c r="A1838" s="1">
        <v>2196</v>
      </c>
      <c r="B1838" s="1" t="s">
        <v>3303</v>
      </c>
      <c r="C1838" s="1" t="s">
        <v>273</v>
      </c>
      <c r="D1838" s="1">
        <f>COUNTIFS('Raw Entries'!B:B,Table4[[#This Row],[Name]],'Raw Entries'!I:I,Table4[[#This Row],[BOOK No.]])</f>
        <v>0</v>
      </c>
      <c r="E1838" s="1">
        <f t="array" ref="E1838">IF(OR(Table4[[#This Row],[INSTALLMENT]]=1,Table4[[#This Row],[INSTALLMENT]]=2,Table4[[#This Row],[INSTALLMENT]]=3),1,0)</f>
        <v>0</v>
      </c>
      <c r="F1838" s="1">
        <f>IF(OR(Table4[[#This Row],[INSTALLMENT]]=2,Table4[[#This Row],[INSTALLMENT]]=3),2,0)</f>
        <v>0</v>
      </c>
      <c r="G1838" s="1">
        <f>IF(OR(Table4[[#This Row],[INSTALLMENT]]=3),3,0)</f>
        <v>0</v>
      </c>
    </row>
    <row r="1839" spans="1:7">
      <c r="A1839" s="1">
        <v>2197</v>
      </c>
      <c r="B1839" s="1" t="s">
        <v>3304</v>
      </c>
      <c r="C1839" s="1" t="s">
        <v>273</v>
      </c>
      <c r="D1839" s="1">
        <f>COUNTIFS('Raw Entries'!B:B,Table4[[#This Row],[Name]],'Raw Entries'!I:I,Table4[[#This Row],[BOOK No.]])</f>
        <v>0</v>
      </c>
      <c r="E1839" s="1">
        <f t="array" ref="E1839">IF(OR(Table4[[#This Row],[INSTALLMENT]]=1,Table4[[#This Row],[INSTALLMENT]]=2,Table4[[#This Row],[INSTALLMENT]]=3),1,0)</f>
        <v>0</v>
      </c>
      <c r="F1839" s="1">
        <f>IF(OR(Table4[[#This Row],[INSTALLMENT]]=2,Table4[[#This Row],[INSTALLMENT]]=3),2,0)</f>
        <v>0</v>
      </c>
      <c r="G1839" s="1">
        <f>IF(OR(Table4[[#This Row],[INSTALLMENT]]=3),3,0)</f>
        <v>0</v>
      </c>
    </row>
    <row r="1840" spans="1:7">
      <c r="A1840" s="1">
        <v>2198</v>
      </c>
      <c r="B1840" s="1" t="s">
        <v>3305</v>
      </c>
      <c r="C1840" s="1" t="s">
        <v>273</v>
      </c>
      <c r="D1840" s="1">
        <f>COUNTIFS('Raw Entries'!B:B,Table4[[#This Row],[Name]],'Raw Entries'!I:I,Table4[[#This Row],[BOOK No.]])</f>
        <v>0</v>
      </c>
      <c r="E1840" s="1">
        <f t="array" ref="E1840">IF(OR(Table4[[#This Row],[INSTALLMENT]]=1,Table4[[#This Row],[INSTALLMENT]]=2,Table4[[#This Row],[INSTALLMENT]]=3),1,0)</f>
        <v>0</v>
      </c>
      <c r="F1840" s="1">
        <f>IF(OR(Table4[[#This Row],[INSTALLMENT]]=2,Table4[[#This Row],[INSTALLMENT]]=3),2,0)</f>
        <v>0</v>
      </c>
      <c r="G1840" s="1">
        <f>IF(OR(Table4[[#This Row],[INSTALLMENT]]=3),3,0)</f>
        <v>0</v>
      </c>
    </row>
    <row r="1841" spans="1:7">
      <c r="A1841" s="1">
        <v>2199</v>
      </c>
      <c r="B1841" s="1" t="s">
        <v>277</v>
      </c>
      <c r="C1841" s="1" t="s">
        <v>273</v>
      </c>
      <c r="D1841" s="1">
        <f>COUNTIFS('Raw Entries'!B:B,Table4[[#This Row],[Name]],'Raw Entries'!I:I,Table4[[#This Row],[BOOK No.]])</f>
        <v>1</v>
      </c>
      <c r="E1841" s="1">
        <f t="array" ref="E1841">IF(OR(Table4[[#This Row],[INSTALLMENT]]=1,Table4[[#This Row],[INSTALLMENT]]=2,Table4[[#This Row],[INSTALLMENT]]=3),1,0)</f>
        <v>1</v>
      </c>
      <c r="F1841" s="1">
        <f>IF(OR(Table4[[#This Row],[INSTALLMENT]]=2,Table4[[#This Row],[INSTALLMENT]]=3),2,0)</f>
        <v>0</v>
      </c>
      <c r="G1841" s="1">
        <f>IF(OR(Table4[[#This Row],[INSTALLMENT]]=3),3,0)</f>
        <v>0</v>
      </c>
    </row>
    <row r="1842" spans="1:7">
      <c r="A1842" s="1">
        <v>2200</v>
      </c>
      <c r="B1842" s="1" t="s">
        <v>3306</v>
      </c>
      <c r="C1842" s="1" t="s">
        <v>273</v>
      </c>
      <c r="D1842" s="1">
        <f>COUNTIFS('Raw Entries'!B:B,Table4[[#This Row],[Name]],'Raw Entries'!I:I,Table4[[#This Row],[BOOK No.]])</f>
        <v>0</v>
      </c>
      <c r="E1842" s="1">
        <f t="array" ref="E1842">IF(OR(Table4[[#This Row],[INSTALLMENT]]=1,Table4[[#This Row],[INSTALLMENT]]=2,Table4[[#This Row],[INSTALLMENT]]=3),1,0)</f>
        <v>0</v>
      </c>
      <c r="F1842" s="1">
        <f>IF(OR(Table4[[#This Row],[INSTALLMENT]]=2,Table4[[#This Row],[INSTALLMENT]]=3),2,0)</f>
        <v>0</v>
      </c>
      <c r="G1842" s="1">
        <f>IF(OR(Table4[[#This Row],[INSTALLMENT]]=3),3,0)</f>
        <v>0</v>
      </c>
    </row>
    <row r="1843" spans="1:7">
      <c r="A1843" s="1">
        <v>2201</v>
      </c>
      <c r="B1843" s="1" t="s">
        <v>3307</v>
      </c>
      <c r="C1843" s="1" t="s">
        <v>273</v>
      </c>
      <c r="D1843" s="1">
        <f>COUNTIFS('Raw Entries'!B:B,Table4[[#This Row],[Name]],'Raw Entries'!I:I,Table4[[#This Row],[BOOK No.]])</f>
        <v>0</v>
      </c>
      <c r="E1843" s="1">
        <f t="array" ref="E1843">IF(OR(Table4[[#This Row],[INSTALLMENT]]=1,Table4[[#This Row],[INSTALLMENT]]=2,Table4[[#This Row],[INSTALLMENT]]=3),1,0)</f>
        <v>0</v>
      </c>
      <c r="F1843" s="1">
        <f>IF(OR(Table4[[#This Row],[INSTALLMENT]]=2,Table4[[#This Row],[INSTALLMENT]]=3),2,0)</f>
        <v>0</v>
      </c>
      <c r="G1843" s="1">
        <f>IF(OR(Table4[[#This Row],[INSTALLMENT]]=3),3,0)</f>
        <v>0</v>
      </c>
    </row>
    <row r="1844" spans="1:7">
      <c r="A1844" s="1">
        <v>2202</v>
      </c>
      <c r="B1844" s="1" t="s">
        <v>276</v>
      </c>
      <c r="C1844" s="1" t="s">
        <v>273</v>
      </c>
      <c r="D1844" s="1">
        <f>COUNTIFS('Raw Entries'!B:B,Table4[[#This Row],[Name]],'Raw Entries'!I:I,Table4[[#This Row],[BOOK No.]])</f>
        <v>3</v>
      </c>
      <c r="E1844" s="1">
        <f t="array" ref="E1844">IF(OR(Table4[[#This Row],[INSTALLMENT]]=1,Table4[[#This Row],[INSTALLMENT]]=2,Table4[[#This Row],[INSTALLMENT]]=3),1,0)</f>
        <v>1</v>
      </c>
      <c r="F1844" s="1">
        <f>IF(OR(Table4[[#This Row],[INSTALLMENT]]=2,Table4[[#This Row],[INSTALLMENT]]=3),2,0)</f>
        <v>2</v>
      </c>
      <c r="G1844" s="1">
        <f>IF(OR(Table4[[#This Row],[INSTALLMENT]]=3),3,0)</f>
        <v>3</v>
      </c>
    </row>
    <row r="1845" spans="1:7">
      <c r="A1845" s="1">
        <v>2203</v>
      </c>
      <c r="B1845" s="1" t="s">
        <v>274</v>
      </c>
      <c r="C1845" s="1" t="s">
        <v>273</v>
      </c>
      <c r="D1845" s="1">
        <f>COUNTIFS('Raw Entries'!B:B,Table4[[#This Row],[Name]],'Raw Entries'!I:I,Table4[[#This Row],[BOOK No.]])</f>
        <v>3</v>
      </c>
      <c r="E1845" s="1">
        <f t="array" ref="E1845">IF(OR(Table4[[#This Row],[INSTALLMENT]]=1,Table4[[#This Row],[INSTALLMENT]]=2,Table4[[#This Row],[INSTALLMENT]]=3),1,0)</f>
        <v>1</v>
      </c>
      <c r="F1845" s="1">
        <f>IF(OR(Table4[[#This Row],[INSTALLMENT]]=2,Table4[[#This Row],[INSTALLMENT]]=3),2,0)</f>
        <v>2</v>
      </c>
      <c r="G1845" s="1">
        <f>IF(OR(Table4[[#This Row],[INSTALLMENT]]=3),3,0)</f>
        <v>3</v>
      </c>
    </row>
    <row r="1846" spans="1:7">
      <c r="A1846" s="1">
        <v>2204</v>
      </c>
      <c r="B1846" s="1" t="s">
        <v>3308</v>
      </c>
      <c r="C1846" s="1" t="s">
        <v>273</v>
      </c>
      <c r="D1846" s="1">
        <f>COUNTIFS('Raw Entries'!B:B,Table4[[#This Row],[Name]],'Raw Entries'!I:I,Table4[[#This Row],[BOOK No.]])</f>
        <v>0</v>
      </c>
      <c r="E1846" s="1">
        <f t="array" ref="E1846">IF(OR(Table4[[#This Row],[INSTALLMENT]]=1,Table4[[#This Row],[INSTALLMENT]]=2,Table4[[#This Row],[INSTALLMENT]]=3),1,0)</f>
        <v>0</v>
      </c>
      <c r="F1846" s="1">
        <f>IF(OR(Table4[[#This Row],[INSTALLMENT]]=2,Table4[[#This Row],[INSTALLMENT]]=3),2,0)</f>
        <v>0</v>
      </c>
      <c r="G1846" s="1">
        <f>IF(OR(Table4[[#This Row],[INSTALLMENT]]=3),3,0)</f>
        <v>0</v>
      </c>
    </row>
    <row r="1847" spans="1:7">
      <c r="A1847" s="1">
        <v>2205</v>
      </c>
      <c r="B1847" s="1" t="s">
        <v>279</v>
      </c>
      <c r="C1847" s="1" t="s">
        <v>273</v>
      </c>
      <c r="D1847" s="1">
        <f>COUNTIFS('Raw Entries'!B:B,Table4[[#This Row],[Name]],'Raw Entries'!I:I,Table4[[#This Row],[BOOK No.]])</f>
        <v>1</v>
      </c>
      <c r="E1847" s="1">
        <f t="array" ref="E1847">IF(OR(Table4[[#This Row],[INSTALLMENT]]=1,Table4[[#This Row],[INSTALLMENT]]=2,Table4[[#This Row],[INSTALLMENT]]=3),1,0)</f>
        <v>1</v>
      </c>
      <c r="F1847" s="1">
        <f>IF(OR(Table4[[#This Row],[INSTALLMENT]]=2,Table4[[#This Row],[INSTALLMENT]]=3),2,0)</f>
        <v>0</v>
      </c>
      <c r="G1847" s="1">
        <f>IF(OR(Table4[[#This Row],[INSTALLMENT]]=3),3,0)</f>
        <v>0</v>
      </c>
    </row>
    <row r="1848" spans="1:7">
      <c r="A1848" s="1">
        <v>2206</v>
      </c>
      <c r="B1848" s="1" t="s">
        <v>285</v>
      </c>
      <c r="C1848" s="1" t="s">
        <v>273</v>
      </c>
      <c r="D1848" s="1">
        <f>COUNTIFS('Raw Entries'!B:B,Table4[[#This Row],[Name]],'Raw Entries'!I:I,Table4[[#This Row],[BOOK No.]])</f>
        <v>3</v>
      </c>
      <c r="E1848" s="1">
        <f t="array" ref="E1848">IF(OR(Table4[[#This Row],[INSTALLMENT]]=1,Table4[[#This Row],[INSTALLMENT]]=2,Table4[[#This Row],[INSTALLMENT]]=3),1,0)</f>
        <v>1</v>
      </c>
      <c r="F1848" s="1">
        <f>IF(OR(Table4[[#This Row],[INSTALLMENT]]=2,Table4[[#This Row],[INSTALLMENT]]=3),2,0)</f>
        <v>2</v>
      </c>
      <c r="G1848" s="1">
        <f>IF(OR(Table4[[#This Row],[INSTALLMENT]]=3),3,0)</f>
        <v>3</v>
      </c>
    </row>
    <row r="1849" spans="1:7">
      <c r="A1849" s="1">
        <v>2207</v>
      </c>
      <c r="B1849" s="1" t="s">
        <v>3309</v>
      </c>
      <c r="C1849" s="1" t="s">
        <v>273</v>
      </c>
      <c r="D1849" s="1">
        <f>COUNTIFS('Raw Entries'!B:B,Table4[[#This Row],[Name]],'Raw Entries'!I:I,Table4[[#This Row],[BOOK No.]])</f>
        <v>0</v>
      </c>
      <c r="E1849" s="1">
        <f t="array" ref="E1849">IF(OR(Table4[[#This Row],[INSTALLMENT]]=1,Table4[[#This Row],[INSTALLMENT]]=2,Table4[[#This Row],[INSTALLMENT]]=3),1,0)</f>
        <v>0</v>
      </c>
      <c r="F1849" s="1">
        <f>IF(OR(Table4[[#This Row],[INSTALLMENT]]=2,Table4[[#This Row],[INSTALLMENT]]=3),2,0)</f>
        <v>0</v>
      </c>
      <c r="G1849" s="1">
        <f>IF(OR(Table4[[#This Row],[INSTALLMENT]]=3),3,0)</f>
        <v>0</v>
      </c>
    </row>
    <row r="1850" spans="1:7">
      <c r="A1850" s="1">
        <v>2208</v>
      </c>
      <c r="B1850" s="42" t="s">
        <v>275</v>
      </c>
      <c r="C1850" s="1" t="s">
        <v>273</v>
      </c>
      <c r="D1850" s="1">
        <f>COUNTIFS('Raw Entries'!B:B,Table4[[#This Row],[Name]],'Raw Entries'!I:I,Table4[[#This Row],[BOOK No.]])</f>
        <v>1</v>
      </c>
      <c r="E1850" s="1">
        <f t="array" ref="E1850">IF(OR(Table4[[#This Row],[INSTALLMENT]]=1,Table4[[#This Row],[INSTALLMENT]]=2,Table4[[#This Row],[INSTALLMENT]]=3),1,0)</f>
        <v>1</v>
      </c>
      <c r="F1850" s="1">
        <f>IF(OR(Table4[[#This Row],[INSTALLMENT]]=2,Table4[[#This Row],[INSTALLMENT]]=3),2,0)</f>
        <v>0</v>
      </c>
      <c r="G1850" s="1">
        <f>IF(OR(Table4[[#This Row],[INSTALLMENT]]=3),3,0)</f>
        <v>0</v>
      </c>
    </row>
    <row r="1851" spans="1:7">
      <c r="A1851" s="1">
        <v>2209</v>
      </c>
      <c r="B1851" s="1" t="s">
        <v>3310</v>
      </c>
      <c r="C1851" s="1" t="s">
        <v>273</v>
      </c>
      <c r="D1851" s="1">
        <f>COUNTIFS('Raw Entries'!B:B,Table4[[#This Row],[Name]],'Raw Entries'!I:I,Table4[[#This Row],[BOOK No.]])</f>
        <v>0</v>
      </c>
      <c r="E1851" s="1">
        <f t="array" ref="E1851">IF(OR(Table4[[#This Row],[INSTALLMENT]]=1,Table4[[#This Row],[INSTALLMENT]]=2,Table4[[#This Row],[INSTALLMENT]]=3),1,0)</f>
        <v>0</v>
      </c>
      <c r="F1851" s="1">
        <f>IF(OR(Table4[[#This Row],[INSTALLMENT]]=2,Table4[[#This Row],[INSTALLMENT]]=3),2,0)</f>
        <v>0</v>
      </c>
      <c r="G1851" s="1">
        <f>IF(OR(Table4[[#This Row],[INSTALLMENT]]=3),3,0)</f>
        <v>0</v>
      </c>
    </row>
    <row r="1852" spans="1:7">
      <c r="A1852" s="1">
        <v>2210</v>
      </c>
      <c r="B1852" s="1" t="s">
        <v>283</v>
      </c>
      <c r="C1852" s="1" t="s">
        <v>273</v>
      </c>
      <c r="D1852" s="1">
        <f>COUNTIFS('Raw Entries'!B:B,Table4[[#This Row],[Name]],'Raw Entries'!I:I,Table4[[#This Row],[BOOK No.]])</f>
        <v>1</v>
      </c>
      <c r="E1852" s="1">
        <f t="array" ref="E1852">IF(OR(Table4[[#This Row],[INSTALLMENT]]=1,Table4[[#This Row],[INSTALLMENT]]=2,Table4[[#This Row],[INSTALLMENT]]=3),1,0)</f>
        <v>1</v>
      </c>
      <c r="F1852" s="1">
        <f>IF(OR(Table4[[#This Row],[INSTALLMENT]]=2,Table4[[#This Row],[INSTALLMENT]]=3),2,0)</f>
        <v>0</v>
      </c>
      <c r="G1852" s="1">
        <f>IF(OR(Table4[[#This Row],[INSTALLMENT]]=3),3,0)</f>
        <v>0</v>
      </c>
    </row>
    <row r="1853" spans="1:7">
      <c r="A1853" s="1">
        <v>2211</v>
      </c>
      <c r="B1853" s="1" t="s">
        <v>284</v>
      </c>
      <c r="C1853" s="1" t="s">
        <v>273</v>
      </c>
      <c r="D1853" s="1">
        <f>COUNTIFS('Raw Entries'!B:B,Table4[[#This Row],[Name]],'Raw Entries'!I:I,Table4[[#This Row],[BOOK No.]])</f>
        <v>1</v>
      </c>
      <c r="E1853" s="1">
        <f t="array" ref="E1853">IF(OR(Table4[[#This Row],[INSTALLMENT]]=1,Table4[[#This Row],[INSTALLMENT]]=2,Table4[[#This Row],[INSTALLMENT]]=3),1,0)</f>
        <v>1</v>
      </c>
      <c r="F1853" s="1">
        <f>IF(OR(Table4[[#This Row],[INSTALLMENT]]=2,Table4[[#This Row],[INSTALLMENT]]=3),2,0)</f>
        <v>0</v>
      </c>
      <c r="G1853" s="1">
        <f>IF(OR(Table4[[#This Row],[INSTALLMENT]]=3),3,0)</f>
        <v>0</v>
      </c>
    </row>
    <row r="1854" spans="1:7">
      <c r="A1854" s="1">
        <v>2212</v>
      </c>
      <c r="B1854" s="1" t="s">
        <v>3311</v>
      </c>
      <c r="C1854" s="1" t="s">
        <v>273</v>
      </c>
      <c r="D1854" s="1">
        <f>COUNTIFS('Raw Entries'!B:B,Table4[[#This Row],[Name]],'Raw Entries'!I:I,Table4[[#This Row],[BOOK No.]])</f>
        <v>0</v>
      </c>
      <c r="E1854" s="1">
        <f t="array" ref="E1854">IF(OR(Table4[[#This Row],[INSTALLMENT]]=1,Table4[[#This Row],[INSTALLMENT]]=2,Table4[[#This Row],[INSTALLMENT]]=3),1,0)</f>
        <v>0</v>
      </c>
      <c r="F1854" s="1">
        <f>IF(OR(Table4[[#This Row],[INSTALLMENT]]=2,Table4[[#This Row],[INSTALLMENT]]=3),2,0)</f>
        <v>0</v>
      </c>
      <c r="G1854" s="1">
        <f>IF(OR(Table4[[#This Row],[INSTALLMENT]]=3),3,0)</f>
        <v>0</v>
      </c>
    </row>
    <row r="1855" spans="1:7">
      <c r="A1855" s="1">
        <v>2213</v>
      </c>
      <c r="B1855" s="1" t="s">
        <v>3312</v>
      </c>
      <c r="C1855" s="1" t="s">
        <v>273</v>
      </c>
      <c r="D1855" s="1">
        <f>COUNTIFS('Raw Entries'!B:B,Table4[[#This Row],[Name]],'Raw Entries'!I:I,Table4[[#This Row],[BOOK No.]])</f>
        <v>0</v>
      </c>
      <c r="E1855" s="1">
        <f t="array" ref="E1855">IF(OR(Table4[[#This Row],[INSTALLMENT]]=1,Table4[[#This Row],[INSTALLMENT]]=2,Table4[[#This Row],[INSTALLMENT]]=3),1,0)</f>
        <v>0</v>
      </c>
      <c r="F1855" s="1">
        <f>IF(OR(Table4[[#This Row],[INSTALLMENT]]=2,Table4[[#This Row],[INSTALLMENT]]=3),2,0)</f>
        <v>0</v>
      </c>
      <c r="G1855" s="1">
        <f>IF(OR(Table4[[#This Row],[INSTALLMENT]]=3),3,0)</f>
        <v>0</v>
      </c>
    </row>
    <row r="1856" spans="1:7">
      <c r="A1856" s="1">
        <v>2214</v>
      </c>
      <c r="B1856" s="1" t="s">
        <v>278</v>
      </c>
      <c r="C1856" s="1" t="s">
        <v>273</v>
      </c>
      <c r="D1856" s="1">
        <f>COUNTIFS('Raw Entries'!B:B,Table4[[#This Row],[Name]],'Raw Entries'!I:I,Table4[[#This Row],[BOOK No.]])</f>
        <v>3</v>
      </c>
      <c r="E1856" s="1">
        <f t="array" ref="E1856">IF(OR(Table4[[#This Row],[INSTALLMENT]]=1,Table4[[#This Row],[INSTALLMENT]]=2,Table4[[#This Row],[INSTALLMENT]]=3),1,0)</f>
        <v>1</v>
      </c>
      <c r="F1856" s="1">
        <f>IF(OR(Table4[[#This Row],[INSTALLMENT]]=2,Table4[[#This Row],[INSTALLMENT]]=3),2,0)</f>
        <v>2</v>
      </c>
      <c r="G1856" s="1">
        <f>IF(OR(Table4[[#This Row],[INSTALLMENT]]=3),3,0)</f>
        <v>3</v>
      </c>
    </row>
    <row r="1857" spans="1:7">
      <c r="A1857" s="1">
        <v>2215</v>
      </c>
      <c r="B1857" s="1" t="s">
        <v>3313</v>
      </c>
      <c r="C1857" s="1" t="s">
        <v>273</v>
      </c>
      <c r="D1857" s="1">
        <f>COUNTIFS('Raw Entries'!B:B,Table4[[#This Row],[Name]],'Raw Entries'!I:I,Table4[[#This Row],[BOOK No.]])</f>
        <v>0</v>
      </c>
      <c r="E1857" s="1">
        <f t="array" ref="E1857">IF(OR(Table4[[#This Row],[INSTALLMENT]]=1,Table4[[#This Row],[INSTALLMENT]]=2,Table4[[#This Row],[INSTALLMENT]]=3),1,0)</f>
        <v>0</v>
      </c>
      <c r="F1857" s="1">
        <f>IF(OR(Table4[[#This Row],[INSTALLMENT]]=2,Table4[[#This Row],[INSTALLMENT]]=3),2,0)</f>
        <v>0</v>
      </c>
      <c r="G1857" s="1">
        <f>IF(OR(Table4[[#This Row],[INSTALLMENT]]=3),3,0)</f>
        <v>0</v>
      </c>
    </row>
    <row r="1858" spans="1:7">
      <c r="A1858" s="1">
        <v>2216</v>
      </c>
      <c r="B1858" s="1" t="s">
        <v>3314</v>
      </c>
      <c r="C1858" s="1" t="s">
        <v>273</v>
      </c>
      <c r="D1858" s="1">
        <f>COUNTIFS('Raw Entries'!B:B,Table4[[#This Row],[Name]],'Raw Entries'!I:I,Table4[[#This Row],[BOOK No.]])</f>
        <v>0</v>
      </c>
      <c r="E1858" s="1">
        <f t="array" ref="E1858">IF(OR(Table4[[#This Row],[INSTALLMENT]]=1,Table4[[#This Row],[INSTALLMENT]]=2,Table4[[#This Row],[INSTALLMENT]]=3),1,0)</f>
        <v>0</v>
      </c>
      <c r="F1858" s="1">
        <f>IF(OR(Table4[[#This Row],[INSTALLMENT]]=2,Table4[[#This Row],[INSTALLMENT]]=3),2,0)</f>
        <v>0</v>
      </c>
      <c r="G1858" s="1">
        <f>IF(OR(Table4[[#This Row],[INSTALLMENT]]=3),3,0)</f>
        <v>0</v>
      </c>
    </row>
    <row r="1859" spans="1:7">
      <c r="A1859" s="1">
        <v>2217</v>
      </c>
      <c r="B1859" s="1" t="s">
        <v>3315</v>
      </c>
      <c r="C1859" s="1" t="s">
        <v>273</v>
      </c>
      <c r="D1859" s="1">
        <f>COUNTIFS('Raw Entries'!B:B,Table4[[#This Row],[Name]],'Raw Entries'!I:I,Table4[[#This Row],[BOOK No.]])</f>
        <v>0</v>
      </c>
      <c r="E1859" s="1">
        <f t="array" ref="E1859">IF(OR(Table4[[#This Row],[INSTALLMENT]]=1,Table4[[#This Row],[INSTALLMENT]]=2,Table4[[#This Row],[INSTALLMENT]]=3),1,0)</f>
        <v>0</v>
      </c>
      <c r="F1859" s="1">
        <f>IF(OR(Table4[[#This Row],[INSTALLMENT]]=2,Table4[[#This Row],[INSTALLMENT]]=3),2,0)</f>
        <v>0</v>
      </c>
      <c r="G1859" s="1">
        <f>IF(OR(Table4[[#This Row],[INSTALLMENT]]=3),3,0)</f>
        <v>0</v>
      </c>
    </row>
    <row r="1860" spans="1:7">
      <c r="A1860" s="1">
        <v>2218</v>
      </c>
      <c r="B1860" s="1" t="s">
        <v>3316</v>
      </c>
      <c r="C1860" s="1" t="s">
        <v>273</v>
      </c>
      <c r="D1860" s="1">
        <f>COUNTIFS('Raw Entries'!B:B,Table4[[#This Row],[Name]],'Raw Entries'!I:I,Table4[[#This Row],[BOOK No.]])</f>
        <v>0</v>
      </c>
      <c r="E1860" s="1">
        <f t="array" ref="E1860">IF(OR(Table4[[#This Row],[INSTALLMENT]]=1,Table4[[#This Row],[INSTALLMENT]]=2,Table4[[#This Row],[INSTALLMENT]]=3),1,0)</f>
        <v>0</v>
      </c>
      <c r="F1860" s="1">
        <f>IF(OR(Table4[[#This Row],[INSTALLMENT]]=2,Table4[[#This Row],[INSTALLMENT]]=3),2,0)</f>
        <v>0</v>
      </c>
      <c r="G1860" s="1">
        <f>IF(OR(Table4[[#This Row],[INSTALLMENT]]=3),3,0)</f>
        <v>0</v>
      </c>
    </row>
    <row r="1861" spans="1:7">
      <c r="A1861" s="1">
        <v>2219</v>
      </c>
      <c r="B1861" s="1" t="s">
        <v>3317</v>
      </c>
      <c r="C1861" s="1" t="s">
        <v>273</v>
      </c>
      <c r="D1861" s="1">
        <f>COUNTIFS('Raw Entries'!B:B,Table4[[#This Row],[Name]],'Raw Entries'!I:I,Table4[[#This Row],[BOOK No.]])</f>
        <v>0</v>
      </c>
      <c r="E1861" s="1">
        <f t="array" ref="E1861">IF(OR(Table4[[#This Row],[INSTALLMENT]]=1,Table4[[#This Row],[INSTALLMENT]]=2,Table4[[#This Row],[INSTALLMENT]]=3),1,0)</f>
        <v>0</v>
      </c>
      <c r="F1861" s="1">
        <f>IF(OR(Table4[[#This Row],[INSTALLMENT]]=2,Table4[[#This Row],[INSTALLMENT]]=3),2,0)</f>
        <v>0</v>
      </c>
      <c r="G1861" s="1">
        <f>IF(OR(Table4[[#This Row],[INSTALLMENT]]=3),3,0)</f>
        <v>0</v>
      </c>
    </row>
    <row r="1862" spans="1:7">
      <c r="A1862" s="1">
        <v>2220</v>
      </c>
      <c r="B1862" s="1" t="s">
        <v>3318</v>
      </c>
      <c r="C1862" s="1" t="s">
        <v>273</v>
      </c>
      <c r="D1862" s="1">
        <f>COUNTIFS('Raw Entries'!B:B,Table4[[#This Row],[Name]],'Raw Entries'!I:I,Table4[[#This Row],[BOOK No.]])</f>
        <v>0</v>
      </c>
      <c r="E1862" s="1">
        <f t="array" ref="E1862">IF(OR(Table4[[#This Row],[INSTALLMENT]]=1,Table4[[#This Row],[INSTALLMENT]]=2,Table4[[#This Row],[INSTALLMENT]]=3),1,0)</f>
        <v>0</v>
      </c>
      <c r="F1862" s="1">
        <f>IF(OR(Table4[[#This Row],[INSTALLMENT]]=2,Table4[[#This Row],[INSTALLMENT]]=3),2,0)</f>
        <v>0</v>
      </c>
      <c r="G1862" s="1">
        <f>IF(OR(Table4[[#This Row],[INSTALLMENT]]=3),3,0)</f>
        <v>0</v>
      </c>
    </row>
    <row r="1863" spans="1:7">
      <c r="A1863" s="1">
        <v>2221</v>
      </c>
      <c r="B1863" s="1" t="s">
        <v>3319</v>
      </c>
      <c r="C1863" s="1" t="s">
        <v>273</v>
      </c>
      <c r="D1863" s="1">
        <f>COUNTIFS('Raw Entries'!B:B,Table4[[#This Row],[Name]],'Raw Entries'!I:I,Table4[[#This Row],[BOOK No.]])</f>
        <v>1</v>
      </c>
      <c r="E1863" s="1">
        <f t="array" ref="E1863">IF(OR(Table4[[#This Row],[INSTALLMENT]]=1,Table4[[#This Row],[INSTALLMENT]]=2,Table4[[#This Row],[INSTALLMENT]]=3),1,0)</f>
        <v>1</v>
      </c>
      <c r="F1863" s="1">
        <f>IF(OR(Table4[[#This Row],[INSTALLMENT]]=2,Table4[[#This Row],[INSTALLMENT]]=3),2,0)</f>
        <v>0</v>
      </c>
      <c r="G1863" s="1">
        <f>IF(OR(Table4[[#This Row],[INSTALLMENT]]=3),3,0)</f>
        <v>0</v>
      </c>
    </row>
    <row r="1864" spans="1:7">
      <c r="A1864" s="1">
        <v>2222</v>
      </c>
      <c r="B1864" s="1" t="s">
        <v>3320</v>
      </c>
      <c r="C1864" s="1" t="s">
        <v>286</v>
      </c>
      <c r="D1864" s="1">
        <f>COUNTIFS('Raw Entries'!B:B,Table4[[#This Row],[Name]],'Raw Entries'!I:I,Table4[[#This Row],[BOOK No.]])</f>
        <v>0</v>
      </c>
      <c r="E1864" s="1">
        <f t="array" ref="E1864">IF(OR(Table4[[#This Row],[INSTALLMENT]]=1,Table4[[#This Row],[INSTALLMENT]]=2,Table4[[#This Row],[INSTALLMENT]]=3),1,0)</f>
        <v>0</v>
      </c>
      <c r="F1864" s="1">
        <f>IF(OR(Table4[[#This Row],[INSTALLMENT]]=2,Table4[[#This Row],[INSTALLMENT]]=3),2,0)</f>
        <v>0</v>
      </c>
      <c r="G1864" s="1">
        <f>IF(OR(Table4[[#This Row],[INSTALLMENT]]=3),3,0)</f>
        <v>0</v>
      </c>
    </row>
    <row r="1865" spans="1:7">
      <c r="A1865" s="1">
        <v>2223</v>
      </c>
      <c r="B1865" s="1" t="s">
        <v>3321</v>
      </c>
      <c r="C1865" s="1" t="s">
        <v>286</v>
      </c>
      <c r="D1865" s="1">
        <f>COUNTIFS('Raw Entries'!B:B,Table4[[#This Row],[Name]],'Raw Entries'!I:I,Table4[[#This Row],[BOOK No.]])</f>
        <v>0</v>
      </c>
      <c r="E1865" s="1">
        <f t="array" ref="E1865">IF(OR(Table4[[#This Row],[INSTALLMENT]]=1,Table4[[#This Row],[INSTALLMENT]]=2,Table4[[#This Row],[INSTALLMENT]]=3),1,0)</f>
        <v>0</v>
      </c>
      <c r="F1865" s="1">
        <f>IF(OR(Table4[[#This Row],[INSTALLMENT]]=2,Table4[[#This Row],[INSTALLMENT]]=3),2,0)</f>
        <v>0</v>
      </c>
      <c r="G1865" s="1">
        <f>IF(OR(Table4[[#This Row],[INSTALLMENT]]=3),3,0)</f>
        <v>0</v>
      </c>
    </row>
    <row r="1866" spans="1:7">
      <c r="A1866" s="1">
        <v>2224</v>
      </c>
      <c r="B1866" s="1" t="s">
        <v>201</v>
      </c>
      <c r="C1866" s="1" t="s">
        <v>286</v>
      </c>
      <c r="D1866" s="1">
        <f>COUNTIFS('Raw Entries'!B:B,Table4[[#This Row],[Name]],'Raw Entries'!I:I,Table4[[#This Row],[BOOK No.]])</f>
        <v>0</v>
      </c>
      <c r="E1866" s="1">
        <f t="array" ref="E1866">IF(OR(Table4[[#This Row],[INSTALLMENT]]=1,Table4[[#This Row],[INSTALLMENT]]=2,Table4[[#This Row],[INSTALLMENT]]=3),1,0)</f>
        <v>0</v>
      </c>
      <c r="F1866" s="1">
        <f>IF(OR(Table4[[#This Row],[INSTALLMENT]]=2,Table4[[#This Row],[INSTALLMENT]]=3),2,0)</f>
        <v>0</v>
      </c>
      <c r="G1866" s="1">
        <f>IF(OR(Table4[[#This Row],[INSTALLMENT]]=3),3,0)</f>
        <v>0</v>
      </c>
    </row>
    <row r="1867" spans="1:7">
      <c r="A1867" s="1">
        <v>2225</v>
      </c>
      <c r="B1867" s="1" t="s">
        <v>3322</v>
      </c>
      <c r="C1867" s="1" t="s">
        <v>286</v>
      </c>
      <c r="D1867" s="1">
        <f>COUNTIFS('Raw Entries'!B:B,Table4[[#This Row],[Name]],'Raw Entries'!I:I,Table4[[#This Row],[BOOK No.]])</f>
        <v>3</v>
      </c>
      <c r="E1867" s="1">
        <f t="array" ref="E1867">IF(OR(Table4[[#This Row],[INSTALLMENT]]=1,Table4[[#This Row],[INSTALLMENT]]=2,Table4[[#This Row],[INSTALLMENT]]=3),1,0)</f>
        <v>1</v>
      </c>
      <c r="F1867" s="1">
        <f>IF(OR(Table4[[#This Row],[INSTALLMENT]]=2,Table4[[#This Row],[INSTALLMENT]]=3),2,0)</f>
        <v>2</v>
      </c>
      <c r="G1867" s="1">
        <f>IF(OR(Table4[[#This Row],[INSTALLMENT]]=3),3,0)</f>
        <v>3</v>
      </c>
    </row>
    <row r="1868" spans="1:7">
      <c r="A1868" s="1">
        <v>2226</v>
      </c>
      <c r="B1868" s="1" t="s">
        <v>3098</v>
      </c>
      <c r="C1868" s="1" t="s">
        <v>286</v>
      </c>
      <c r="D1868" s="1">
        <f>COUNTIFS('Raw Entries'!B:B,Table4[[#This Row],[Name]],'Raw Entries'!I:I,Table4[[#This Row],[BOOK No.]])</f>
        <v>0</v>
      </c>
      <c r="E1868" s="1">
        <f t="array" ref="E1868">IF(OR(Table4[[#This Row],[INSTALLMENT]]=1,Table4[[#This Row],[INSTALLMENT]]=2,Table4[[#This Row],[INSTALLMENT]]=3),1,0)</f>
        <v>0</v>
      </c>
      <c r="F1868" s="1">
        <f>IF(OR(Table4[[#This Row],[INSTALLMENT]]=2,Table4[[#This Row],[INSTALLMENT]]=3),2,0)</f>
        <v>0</v>
      </c>
      <c r="G1868" s="1">
        <f>IF(OR(Table4[[#This Row],[INSTALLMENT]]=3),3,0)</f>
        <v>0</v>
      </c>
    </row>
    <row r="1869" spans="1:7">
      <c r="A1869" s="1">
        <v>2227</v>
      </c>
      <c r="B1869" s="1" t="s">
        <v>3323</v>
      </c>
      <c r="C1869" s="1" t="s">
        <v>286</v>
      </c>
      <c r="D1869" s="1">
        <f>COUNTIFS('Raw Entries'!B:B,Table4[[#This Row],[Name]],'Raw Entries'!I:I,Table4[[#This Row],[BOOK No.]])</f>
        <v>0</v>
      </c>
      <c r="E1869" s="1">
        <f t="array" ref="E1869">IF(OR(Table4[[#This Row],[INSTALLMENT]]=1,Table4[[#This Row],[INSTALLMENT]]=2,Table4[[#This Row],[INSTALLMENT]]=3),1,0)</f>
        <v>0</v>
      </c>
      <c r="F1869" s="1">
        <f>IF(OR(Table4[[#This Row],[INSTALLMENT]]=2,Table4[[#This Row],[INSTALLMENT]]=3),2,0)</f>
        <v>0</v>
      </c>
      <c r="G1869" s="1">
        <f>IF(OR(Table4[[#This Row],[INSTALLMENT]]=3),3,0)</f>
        <v>0</v>
      </c>
    </row>
    <row r="1870" spans="1:7">
      <c r="A1870" s="1">
        <v>2228</v>
      </c>
      <c r="B1870" s="1" t="s">
        <v>3324</v>
      </c>
      <c r="C1870" s="1" t="s">
        <v>286</v>
      </c>
      <c r="D1870" s="1">
        <f>COUNTIFS('Raw Entries'!B:B,Table4[[#This Row],[Name]],'Raw Entries'!I:I,Table4[[#This Row],[BOOK No.]])</f>
        <v>0</v>
      </c>
      <c r="E1870" s="1">
        <f t="array" ref="E1870">IF(OR(Table4[[#This Row],[INSTALLMENT]]=1,Table4[[#This Row],[INSTALLMENT]]=2,Table4[[#This Row],[INSTALLMENT]]=3),1,0)</f>
        <v>0</v>
      </c>
      <c r="F1870" s="1">
        <f>IF(OR(Table4[[#This Row],[INSTALLMENT]]=2,Table4[[#This Row],[INSTALLMENT]]=3),2,0)</f>
        <v>0</v>
      </c>
      <c r="G1870" s="1">
        <f>IF(OR(Table4[[#This Row],[INSTALLMENT]]=3),3,0)</f>
        <v>0</v>
      </c>
    </row>
    <row r="1871" spans="1:7">
      <c r="A1871" s="1">
        <v>2229</v>
      </c>
      <c r="B1871" s="1" t="s">
        <v>291</v>
      </c>
      <c r="C1871" s="1" t="s">
        <v>286</v>
      </c>
      <c r="D1871" s="1">
        <f>COUNTIFS('Raw Entries'!B:B,Table4[[#This Row],[Name]],'Raw Entries'!I:I,Table4[[#This Row],[BOOK No.]])</f>
        <v>3</v>
      </c>
      <c r="E1871" s="1">
        <f t="array" ref="E1871">IF(OR(Table4[[#This Row],[INSTALLMENT]]=1,Table4[[#This Row],[INSTALLMENT]]=2,Table4[[#This Row],[INSTALLMENT]]=3),1,0)</f>
        <v>1</v>
      </c>
      <c r="F1871" s="1">
        <f>IF(OR(Table4[[#This Row],[INSTALLMENT]]=2,Table4[[#This Row],[INSTALLMENT]]=3),2,0)</f>
        <v>2</v>
      </c>
      <c r="G1871" s="1">
        <f>IF(OR(Table4[[#This Row],[INSTALLMENT]]=3),3,0)</f>
        <v>3</v>
      </c>
    </row>
    <row r="1872" spans="1:7">
      <c r="A1872" s="1">
        <v>2230</v>
      </c>
      <c r="B1872" s="1" t="s">
        <v>3325</v>
      </c>
      <c r="C1872" s="1" t="s">
        <v>286</v>
      </c>
      <c r="D1872" s="1">
        <f>COUNTIFS('Raw Entries'!B:B,Table4[[#This Row],[Name]],'Raw Entries'!I:I,Table4[[#This Row],[BOOK No.]])</f>
        <v>0</v>
      </c>
      <c r="E1872" s="1">
        <f t="array" ref="E1872">IF(OR(Table4[[#This Row],[INSTALLMENT]]=1,Table4[[#This Row],[INSTALLMENT]]=2,Table4[[#This Row],[INSTALLMENT]]=3),1,0)</f>
        <v>0</v>
      </c>
      <c r="F1872" s="1">
        <f>IF(OR(Table4[[#This Row],[INSTALLMENT]]=2,Table4[[#This Row],[INSTALLMENT]]=3),2,0)</f>
        <v>0</v>
      </c>
      <c r="G1872" s="1">
        <f>IF(OR(Table4[[#This Row],[INSTALLMENT]]=3),3,0)</f>
        <v>0</v>
      </c>
    </row>
    <row r="1873" spans="1:7">
      <c r="A1873" s="1">
        <v>2231</v>
      </c>
      <c r="B1873" s="1" t="s">
        <v>3326</v>
      </c>
      <c r="C1873" s="1" t="s">
        <v>286</v>
      </c>
      <c r="D1873" s="1">
        <f>COUNTIFS('Raw Entries'!B:B,Table4[[#This Row],[Name]],'Raw Entries'!I:I,Table4[[#This Row],[BOOK No.]])</f>
        <v>0</v>
      </c>
      <c r="E1873" s="1">
        <f t="array" ref="E1873">IF(OR(Table4[[#This Row],[INSTALLMENT]]=1,Table4[[#This Row],[INSTALLMENT]]=2,Table4[[#This Row],[INSTALLMENT]]=3),1,0)</f>
        <v>0</v>
      </c>
      <c r="F1873" s="1">
        <f>IF(OR(Table4[[#This Row],[INSTALLMENT]]=2,Table4[[#This Row],[INSTALLMENT]]=3),2,0)</f>
        <v>0</v>
      </c>
      <c r="G1873" s="1">
        <f>IF(OR(Table4[[#This Row],[INSTALLMENT]]=3),3,0)</f>
        <v>0</v>
      </c>
    </row>
    <row r="1874" spans="1:7">
      <c r="A1874" s="1">
        <v>2232</v>
      </c>
      <c r="B1874" s="1" t="s">
        <v>3327</v>
      </c>
      <c r="C1874" s="1" t="s">
        <v>286</v>
      </c>
      <c r="D1874" s="1">
        <f>COUNTIFS('Raw Entries'!B:B,Table4[[#This Row],[Name]],'Raw Entries'!I:I,Table4[[#This Row],[BOOK No.]])</f>
        <v>0</v>
      </c>
      <c r="E1874" s="1">
        <f t="array" ref="E1874">IF(OR(Table4[[#This Row],[INSTALLMENT]]=1,Table4[[#This Row],[INSTALLMENT]]=2,Table4[[#This Row],[INSTALLMENT]]=3),1,0)</f>
        <v>0</v>
      </c>
      <c r="F1874" s="1">
        <f>IF(OR(Table4[[#This Row],[INSTALLMENT]]=2,Table4[[#This Row],[INSTALLMENT]]=3),2,0)</f>
        <v>0</v>
      </c>
      <c r="G1874" s="1">
        <f>IF(OR(Table4[[#This Row],[INSTALLMENT]]=3),3,0)</f>
        <v>0</v>
      </c>
    </row>
    <row r="1875" spans="1:7">
      <c r="A1875" s="1">
        <v>2233</v>
      </c>
      <c r="B1875" s="1" t="s">
        <v>3328</v>
      </c>
      <c r="C1875" s="1" t="s">
        <v>286</v>
      </c>
      <c r="D1875" s="1">
        <f>COUNTIFS('Raw Entries'!B:B,Table4[[#This Row],[Name]],'Raw Entries'!I:I,Table4[[#This Row],[BOOK No.]])</f>
        <v>0</v>
      </c>
      <c r="E1875" s="1">
        <f t="array" ref="E1875">IF(OR(Table4[[#This Row],[INSTALLMENT]]=1,Table4[[#This Row],[INSTALLMENT]]=2,Table4[[#This Row],[INSTALLMENT]]=3),1,0)</f>
        <v>0</v>
      </c>
      <c r="F1875" s="1">
        <f>IF(OR(Table4[[#This Row],[INSTALLMENT]]=2,Table4[[#This Row],[INSTALLMENT]]=3),2,0)</f>
        <v>0</v>
      </c>
      <c r="G1875" s="1">
        <f>IF(OR(Table4[[#This Row],[INSTALLMENT]]=3),3,0)</f>
        <v>0</v>
      </c>
    </row>
    <row r="1876" spans="1:7">
      <c r="A1876" s="1">
        <v>2234</v>
      </c>
      <c r="B1876" s="1" t="s">
        <v>3329</v>
      </c>
      <c r="C1876" s="1" t="s">
        <v>286</v>
      </c>
      <c r="D1876" s="1">
        <f>COUNTIFS('Raw Entries'!B:B,Table4[[#This Row],[Name]],'Raw Entries'!I:I,Table4[[#This Row],[BOOK No.]])</f>
        <v>0</v>
      </c>
      <c r="E1876" s="1">
        <f t="array" ref="E1876">IF(OR(Table4[[#This Row],[INSTALLMENT]]=1,Table4[[#This Row],[INSTALLMENT]]=2,Table4[[#This Row],[INSTALLMENT]]=3),1,0)</f>
        <v>0</v>
      </c>
      <c r="F1876" s="1">
        <f>IF(OR(Table4[[#This Row],[INSTALLMENT]]=2,Table4[[#This Row],[INSTALLMENT]]=3),2,0)</f>
        <v>0</v>
      </c>
      <c r="G1876" s="1">
        <f>IF(OR(Table4[[#This Row],[INSTALLMENT]]=3),3,0)</f>
        <v>0</v>
      </c>
    </row>
    <row r="1877" spans="1:7">
      <c r="A1877" s="1">
        <v>2235</v>
      </c>
      <c r="B1877" s="1" t="s">
        <v>3330</v>
      </c>
      <c r="C1877" s="1" t="s">
        <v>286</v>
      </c>
      <c r="D1877" s="1">
        <f>COUNTIFS('Raw Entries'!B:B,Table4[[#This Row],[Name]],'Raw Entries'!I:I,Table4[[#This Row],[BOOK No.]])</f>
        <v>0</v>
      </c>
      <c r="E1877" s="1">
        <f t="array" ref="E1877">IF(OR(Table4[[#This Row],[INSTALLMENT]]=1,Table4[[#This Row],[INSTALLMENT]]=2,Table4[[#This Row],[INSTALLMENT]]=3),1,0)</f>
        <v>0</v>
      </c>
      <c r="F1877" s="1">
        <f>IF(OR(Table4[[#This Row],[INSTALLMENT]]=2,Table4[[#This Row],[INSTALLMENT]]=3),2,0)</f>
        <v>0</v>
      </c>
      <c r="G1877" s="1">
        <f>IF(OR(Table4[[#This Row],[INSTALLMENT]]=3),3,0)</f>
        <v>0</v>
      </c>
    </row>
    <row r="1878" spans="1:7">
      <c r="A1878" s="1">
        <v>2236</v>
      </c>
      <c r="B1878" s="1" t="s">
        <v>3331</v>
      </c>
      <c r="C1878" s="1" t="s">
        <v>286</v>
      </c>
      <c r="D1878" s="1">
        <f>COUNTIFS('Raw Entries'!B:B,Table4[[#This Row],[Name]],'Raw Entries'!I:I,Table4[[#This Row],[BOOK No.]])</f>
        <v>0</v>
      </c>
      <c r="E1878" s="1">
        <f t="array" ref="E1878">IF(OR(Table4[[#This Row],[INSTALLMENT]]=1,Table4[[#This Row],[INSTALLMENT]]=2,Table4[[#This Row],[INSTALLMENT]]=3),1,0)</f>
        <v>0</v>
      </c>
      <c r="F1878" s="1">
        <f>IF(OR(Table4[[#This Row],[INSTALLMENT]]=2,Table4[[#This Row],[INSTALLMENT]]=3),2,0)</f>
        <v>0</v>
      </c>
      <c r="G1878" s="1">
        <f>IF(OR(Table4[[#This Row],[INSTALLMENT]]=3),3,0)</f>
        <v>0</v>
      </c>
    </row>
    <row r="1879" spans="1:7">
      <c r="A1879" s="1">
        <v>2237</v>
      </c>
      <c r="B1879" s="1" t="s">
        <v>3955</v>
      </c>
      <c r="C1879" s="1" t="s">
        <v>286</v>
      </c>
      <c r="D1879" s="1">
        <f>COUNTIFS('Raw Entries'!B:B,Table4[[#This Row],[Name]],'Raw Entries'!I:I,Table4[[#This Row],[BOOK No.]])</f>
        <v>1</v>
      </c>
      <c r="E1879" s="1">
        <f t="array" ref="E1879">IF(OR(Table4[[#This Row],[INSTALLMENT]]=1,Table4[[#This Row],[INSTALLMENT]]=2,Table4[[#This Row],[INSTALLMENT]]=3),1,0)</f>
        <v>1</v>
      </c>
      <c r="F1879" s="1">
        <f>IF(OR(Table4[[#This Row],[INSTALLMENT]]=2,Table4[[#This Row],[INSTALLMENT]]=3),2,0)</f>
        <v>0</v>
      </c>
      <c r="G1879" s="1">
        <f>IF(OR(Table4[[#This Row],[INSTALLMENT]]=3),3,0)</f>
        <v>0</v>
      </c>
    </row>
    <row r="1880" spans="1:7">
      <c r="A1880" s="1">
        <v>2238</v>
      </c>
      <c r="B1880" s="1" t="s">
        <v>293</v>
      </c>
      <c r="C1880" s="1" t="s">
        <v>286</v>
      </c>
      <c r="D1880" s="1">
        <f>COUNTIFS('Raw Entries'!B:B,Table4[[#This Row],[Name]],'Raw Entries'!I:I,Table4[[#This Row],[BOOK No.]])</f>
        <v>3</v>
      </c>
      <c r="E1880" s="1">
        <f t="array" ref="E1880">IF(OR(Table4[[#This Row],[INSTALLMENT]]=1,Table4[[#This Row],[INSTALLMENT]]=2,Table4[[#This Row],[INSTALLMENT]]=3),1,0)</f>
        <v>1</v>
      </c>
      <c r="F1880" s="1">
        <f>IF(OR(Table4[[#This Row],[INSTALLMENT]]=2,Table4[[#This Row],[INSTALLMENT]]=3),2,0)</f>
        <v>2</v>
      </c>
      <c r="G1880" s="1">
        <f>IF(OR(Table4[[#This Row],[INSTALLMENT]]=3),3,0)</f>
        <v>3</v>
      </c>
    </row>
    <row r="1881" spans="1:7">
      <c r="A1881" s="1">
        <v>2239</v>
      </c>
      <c r="B1881" s="1" t="s">
        <v>287</v>
      </c>
      <c r="C1881" s="1" t="s">
        <v>286</v>
      </c>
      <c r="D1881" s="1">
        <f>COUNTIFS('Raw Entries'!B:B,Table4[[#This Row],[Name]],'Raw Entries'!I:I,Table4[[#This Row],[BOOK No.]])</f>
        <v>1</v>
      </c>
      <c r="E1881" s="1">
        <f t="array" ref="E1881">IF(OR(Table4[[#This Row],[INSTALLMENT]]=1,Table4[[#This Row],[INSTALLMENT]]=2,Table4[[#This Row],[INSTALLMENT]]=3),1,0)</f>
        <v>1</v>
      </c>
      <c r="F1881" s="1">
        <f>IF(OR(Table4[[#This Row],[INSTALLMENT]]=2,Table4[[#This Row],[INSTALLMENT]]=3),2,0)</f>
        <v>0</v>
      </c>
      <c r="G1881" s="1">
        <f>IF(OR(Table4[[#This Row],[INSTALLMENT]]=3),3,0)</f>
        <v>0</v>
      </c>
    </row>
    <row r="1882" spans="1:7">
      <c r="A1882" s="1">
        <v>2240</v>
      </c>
      <c r="B1882" s="1" t="s">
        <v>289</v>
      </c>
      <c r="C1882" s="1" t="s">
        <v>286</v>
      </c>
      <c r="D1882" s="1">
        <f>COUNTIFS('Raw Entries'!B:B,Table4[[#This Row],[Name]],'Raw Entries'!I:I,Table4[[#This Row],[BOOK No.]])</f>
        <v>3</v>
      </c>
      <c r="E1882" s="1">
        <f t="array" ref="E1882">IF(OR(Table4[[#This Row],[INSTALLMENT]]=1,Table4[[#This Row],[INSTALLMENT]]=2,Table4[[#This Row],[INSTALLMENT]]=3),1,0)</f>
        <v>1</v>
      </c>
      <c r="F1882" s="1">
        <f>IF(OR(Table4[[#This Row],[INSTALLMENT]]=2,Table4[[#This Row],[INSTALLMENT]]=3),2,0)</f>
        <v>2</v>
      </c>
      <c r="G1882" s="1">
        <f>IF(OR(Table4[[#This Row],[INSTALLMENT]]=3),3,0)</f>
        <v>3</v>
      </c>
    </row>
    <row r="1883" spans="1:7">
      <c r="A1883" s="1">
        <v>2241</v>
      </c>
      <c r="B1883" s="1" t="s">
        <v>3332</v>
      </c>
      <c r="C1883" s="1" t="s">
        <v>286</v>
      </c>
      <c r="D1883" s="1">
        <f>COUNTIFS('Raw Entries'!B:B,Table4[[#This Row],[Name]],'Raw Entries'!I:I,Table4[[#This Row],[BOOK No.]])</f>
        <v>0</v>
      </c>
      <c r="E1883" s="1">
        <f t="array" ref="E1883">IF(OR(Table4[[#This Row],[INSTALLMENT]]=1,Table4[[#This Row],[INSTALLMENT]]=2,Table4[[#This Row],[INSTALLMENT]]=3),1,0)</f>
        <v>0</v>
      </c>
      <c r="F1883" s="1">
        <f>IF(OR(Table4[[#This Row],[INSTALLMENT]]=2,Table4[[#This Row],[INSTALLMENT]]=3),2,0)</f>
        <v>0</v>
      </c>
      <c r="G1883" s="1">
        <f>IF(OR(Table4[[#This Row],[INSTALLMENT]]=3),3,0)</f>
        <v>0</v>
      </c>
    </row>
    <row r="1884" spans="1:7">
      <c r="A1884" s="1">
        <v>2242</v>
      </c>
      <c r="B1884" s="1" t="s">
        <v>288</v>
      </c>
      <c r="C1884" s="1" t="s">
        <v>286</v>
      </c>
      <c r="D1884" s="1">
        <f>COUNTIFS('Raw Entries'!B:B,Table4[[#This Row],[Name]],'Raw Entries'!I:I,Table4[[#This Row],[BOOK No.]])</f>
        <v>3</v>
      </c>
      <c r="E1884" s="1">
        <f t="array" ref="E1884">IF(OR(Table4[[#This Row],[INSTALLMENT]]=1,Table4[[#This Row],[INSTALLMENT]]=2,Table4[[#This Row],[INSTALLMENT]]=3),1,0)</f>
        <v>1</v>
      </c>
      <c r="F1884" s="1">
        <f>IF(OR(Table4[[#This Row],[INSTALLMENT]]=2,Table4[[#This Row],[INSTALLMENT]]=3),2,0)</f>
        <v>2</v>
      </c>
      <c r="G1884" s="1">
        <f>IF(OR(Table4[[#This Row],[INSTALLMENT]]=3),3,0)</f>
        <v>3</v>
      </c>
    </row>
    <row r="1885" spans="1:7">
      <c r="A1885" s="1">
        <v>2243</v>
      </c>
      <c r="B1885" s="1" t="s">
        <v>3333</v>
      </c>
      <c r="C1885" s="1" t="s">
        <v>286</v>
      </c>
      <c r="D1885" s="1">
        <f>COUNTIFS('Raw Entries'!B:B,Table4[[#This Row],[Name]],'Raw Entries'!I:I,Table4[[#This Row],[BOOK No.]])</f>
        <v>0</v>
      </c>
      <c r="E1885" s="1">
        <f t="array" ref="E1885">IF(OR(Table4[[#This Row],[INSTALLMENT]]=1,Table4[[#This Row],[INSTALLMENT]]=2,Table4[[#This Row],[INSTALLMENT]]=3),1,0)</f>
        <v>0</v>
      </c>
      <c r="F1885" s="1">
        <f>IF(OR(Table4[[#This Row],[INSTALLMENT]]=2,Table4[[#This Row],[INSTALLMENT]]=3),2,0)</f>
        <v>0</v>
      </c>
      <c r="G1885" s="1">
        <f>IF(OR(Table4[[#This Row],[INSTALLMENT]]=3),3,0)</f>
        <v>0</v>
      </c>
    </row>
    <row r="1886" spans="1:7">
      <c r="A1886" s="1">
        <v>2244</v>
      </c>
      <c r="B1886" s="1" t="s">
        <v>3334</v>
      </c>
      <c r="C1886" s="1" t="s">
        <v>286</v>
      </c>
      <c r="D1886" s="1">
        <f>COUNTIFS('Raw Entries'!B:B,Table4[[#This Row],[Name]],'Raw Entries'!I:I,Table4[[#This Row],[BOOK No.]])</f>
        <v>0</v>
      </c>
      <c r="E1886" s="1">
        <f t="array" ref="E1886">IF(OR(Table4[[#This Row],[INSTALLMENT]]=1,Table4[[#This Row],[INSTALLMENT]]=2,Table4[[#This Row],[INSTALLMENT]]=3),1,0)</f>
        <v>0</v>
      </c>
      <c r="F1886" s="1">
        <f>IF(OR(Table4[[#This Row],[INSTALLMENT]]=2,Table4[[#This Row],[INSTALLMENT]]=3),2,0)</f>
        <v>0</v>
      </c>
      <c r="G1886" s="1">
        <f>IF(OR(Table4[[#This Row],[INSTALLMENT]]=3),3,0)</f>
        <v>0</v>
      </c>
    </row>
    <row r="1887" spans="1:7">
      <c r="A1887" s="1">
        <v>2245</v>
      </c>
      <c r="B1887" s="1" t="s">
        <v>3335</v>
      </c>
      <c r="C1887" s="1" t="s">
        <v>286</v>
      </c>
      <c r="D1887" s="1">
        <f>COUNTIFS('Raw Entries'!B:B,Table4[[#This Row],[Name]],'Raw Entries'!I:I,Table4[[#This Row],[BOOK No.]])</f>
        <v>0</v>
      </c>
      <c r="E1887" s="1">
        <f t="array" ref="E1887">IF(OR(Table4[[#This Row],[INSTALLMENT]]=1,Table4[[#This Row],[INSTALLMENT]]=2,Table4[[#This Row],[INSTALLMENT]]=3),1,0)</f>
        <v>0</v>
      </c>
      <c r="F1887" s="1">
        <f>IF(OR(Table4[[#This Row],[INSTALLMENT]]=2,Table4[[#This Row],[INSTALLMENT]]=3),2,0)</f>
        <v>0</v>
      </c>
      <c r="G1887" s="1">
        <f>IF(OR(Table4[[#This Row],[INSTALLMENT]]=3),3,0)</f>
        <v>0</v>
      </c>
    </row>
    <row r="1888" spans="1:7">
      <c r="A1888" s="1">
        <v>2246</v>
      </c>
      <c r="B1888" s="1" t="s">
        <v>3336</v>
      </c>
      <c r="C1888" s="1" t="s">
        <v>286</v>
      </c>
      <c r="D1888" s="1">
        <f>COUNTIFS('Raw Entries'!B:B,Table4[[#This Row],[Name]],'Raw Entries'!I:I,Table4[[#This Row],[BOOK No.]])</f>
        <v>0</v>
      </c>
      <c r="E1888" s="1">
        <f t="array" ref="E1888">IF(OR(Table4[[#This Row],[INSTALLMENT]]=1,Table4[[#This Row],[INSTALLMENT]]=2,Table4[[#This Row],[INSTALLMENT]]=3),1,0)</f>
        <v>0</v>
      </c>
      <c r="F1888" s="1">
        <f>IF(OR(Table4[[#This Row],[INSTALLMENT]]=2,Table4[[#This Row],[INSTALLMENT]]=3),2,0)</f>
        <v>0</v>
      </c>
      <c r="G1888" s="1">
        <f>IF(OR(Table4[[#This Row],[INSTALLMENT]]=3),3,0)</f>
        <v>0</v>
      </c>
    </row>
    <row r="1889" spans="1:7">
      <c r="A1889" s="1">
        <v>2247</v>
      </c>
      <c r="B1889" s="1" t="s">
        <v>3337</v>
      </c>
      <c r="C1889" s="1" t="s">
        <v>286</v>
      </c>
      <c r="D1889" s="1">
        <f>COUNTIFS('Raw Entries'!B:B,Table4[[#This Row],[Name]],'Raw Entries'!I:I,Table4[[#This Row],[BOOK No.]])</f>
        <v>0</v>
      </c>
      <c r="E1889" s="1">
        <f t="array" ref="E1889">IF(OR(Table4[[#This Row],[INSTALLMENT]]=1,Table4[[#This Row],[INSTALLMENT]]=2,Table4[[#This Row],[INSTALLMENT]]=3),1,0)</f>
        <v>0</v>
      </c>
      <c r="F1889" s="1">
        <f>IF(OR(Table4[[#This Row],[INSTALLMENT]]=2,Table4[[#This Row],[INSTALLMENT]]=3),2,0)</f>
        <v>0</v>
      </c>
      <c r="G1889" s="1">
        <f>IF(OR(Table4[[#This Row],[INSTALLMENT]]=3),3,0)</f>
        <v>0</v>
      </c>
    </row>
    <row r="1890" spans="1:7">
      <c r="A1890" s="1">
        <v>2248</v>
      </c>
      <c r="B1890" s="1" t="s">
        <v>3338</v>
      </c>
      <c r="C1890" s="1" t="s">
        <v>286</v>
      </c>
      <c r="D1890" s="1">
        <f>COUNTIFS('Raw Entries'!B:B,Table4[[#This Row],[Name]],'Raw Entries'!I:I,Table4[[#This Row],[BOOK No.]])</f>
        <v>0</v>
      </c>
      <c r="E1890" s="1">
        <f t="array" ref="E1890">IF(OR(Table4[[#This Row],[INSTALLMENT]]=1,Table4[[#This Row],[INSTALLMENT]]=2,Table4[[#This Row],[INSTALLMENT]]=3),1,0)</f>
        <v>0</v>
      </c>
      <c r="F1890" s="1">
        <f>IF(OR(Table4[[#This Row],[INSTALLMENT]]=2,Table4[[#This Row],[INSTALLMENT]]=3),2,0)</f>
        <v>0</v>
      </c>
      <c r="G1890" s="1">
        <f>IF(OR(Table4[[#This Row],[INSTALLMENT]]=3),3,0)</f>
        <v>0</v>
      </c>
    </row>
    <row r="1891" spans="1:7">
      <c r="A1891" s="1">
        <v>2249</v>
      </c>
      <c r="B1891" s="1" t="s">
        <v>3339</v>
      </c>
      <c r="C1891" s="1" t="s">
        <v>286</v>
      </c>
      <c r="D1891" s="1">
        <f>COUNTIFS('Raw Entries'!B:B,Table4[[#This Row],[Name]],'Raw Entries'!I:I,Table4[[#This Row],[BOOK No.]])</f>
        <v>0</v>
      </c>
      <c r="E1891" s="1">
        <f t="array" ref="E1891">IF(OR(Table4[[#This Row],[INSTALLMENT]]=1,Table4[[#This Row],[INSTALLMENT]]=2,Table4[[#This Row],[INSTALLMENT]]=3),1,0)</f>
        <v>0</v>
      </c>
      <c r="F1891" s="1">
        <f>IF(OR(Table4[[#This Row],[INSTALLMENT]]=2,Table4[[#This Row],[INSTALLMENT]]=3),2,0)</f>
        <v>0</v>
      </c>
      <c r="G1891" s="1">
        <f>IF(OR(Table4[[#This Row],[INSTALLMENT]]=3),3,0)</f>
        <v>0</v>
      </c>
    </row>
    <row r="1892" spans="1:7">
      <c r="A1892" s="1">
        <v>2250</v>
      </c>
      <c r="B1892" s="1" t="s">
        <v>3340</v>
      </c>
      <c r="C1892" s="1" t="s">
        <v>286</v>
      </c>
      <c r="D1892" s="1">
        <f>COUNTIFS('Raw Entries'!B:B,Table4[[#This Row],[Name]],'Raw Entries'!I:I,Table4[[#This Row],[BOOK No.]])</f>
        <v>0</v>
      </c>
      <c r="E1892" s="1">
        <f t="array" ref="E1892">IF(OR(Table4[[#This Row],[INSTALLMENT]]=1,Table4[[#This Row],[INSTALLMENT]]=2,Table4[[#This Row],[INSTALLMENT]]=3),1,0)</f>
        <v>0</v>
      </c>
      <c r="F1892" s="1">
        <f>IF(OR(Table4[[#This Row],[INSTALLMENT]]=2,Table4[[#This Row],[INSTALLMENT]]=3),2,0)</f>
        <v>0</v>
      </c>
      <c r="G1892" s="1">
        <f>IF(OR(Table4[[#This Row],[INSTALLMENT]]=3),3,0)</f>
        <v>0</v>
      </c>
    </row>
    <row r="1893" spans="1:7">
      <c r="A1893" s="1">
        <v>2251</v>
      </c>
      <c r="B1893" s="1" t="s">
        <v>3341</v>
      </c>
      <c r="C1893" s="1" t="s">
        <v>286</v>
      </c>
      <c r="D1893" s="1">
        <f>COUNTIFS('Raw Entries'!B:B,Table4[[#This Row],[Name]],'Raw Entries'!I:I,Table4[[#This Row],[BOOK No.]])</f>
        <v>0</v>
      </c>
      <c r="E1893" s="1">
        <f t="array" ref="E1893">IF(OR(Table4[[#This Row],[INSTALLMENT]]=1,Table4[[#This Row],[INSTALLMENT]]=2,Table4[[#This Row],[INSTALLMENT]]=3),1,0)</f>
        <v>0</v>
      </c>
      <c r="F1893" s="1">
        <f>IF(OR(Table4[[#This Row],[INSTALLMENT]]=2,Table4[[#This Row],[INSTALLMENT]]=3),2,0)</f>
        <v>0</v>
      </c>
      <c r="G1893" s="1">
        <f>IF(OR(Table4[[#This Row],[INSTALLMENT]]=3),3,0)</f>
        <v>0</v>
      </c>
    </row>
    <row r="1894" spans="1:7">
      <c r="A1894" s="1">
        <v>2252</v>
      </c>
      <c r="B1894" s="1" t="s">
        <v>3342</v>
      </c>
      <c r="C1894" s="1" t="s">
        <v>286</v>
      </c>
      <c r="D1894" s="1">
        <f>COUNTIFS('Raw Entries'!B:B,Table4[[#This Row],[Name]],'Raw Entries'!I:I,Table4[[#This Row],[BOOK No.]])</f>
        <v>3</v>
      </c>
      <c r="E1894" s="1">
        <f t="array" ref="E1894">IF(OR(Table4[[#This Row],[INSTALLMENT]]=1,Table4[[#This Row],[INSTALLMENT]]=2,Table4[[#This Row],[INSTALLMENT]]=3),1,0)</f>
        <v>1</v>
      </c>
      <c r="F1894" s="1">
        <f>IF(OR(Table4[[#This Row],[INSTALLMENT]]=2,Table4[[#This Row],[INSTALLMENT]]=3),2,0)</f>
        <v>2</v>
      </c>
      <c r="G1894" s="1">
        <f>IF(OR(Table4[[#This Row],[INSTALLMENT]]=3),3,0)</f>
        <v>3</v>
      </c>
    </row>
    <row r="1895" spans="1:7">
      <c r="A1895" s="1">
        <v>2253</v>
      </c>
      <c r="B1895" s="1" t="s">
        <v>3343</v>
      </c>
      <c r="C1895" s="1" t="s">
        <v>286</v>
      </c>
      <c r="D1895" s="1">
        <f>COUNTIFS('Raw Entries'!B:B,Table4[[#This Row],[Name]],'Raw Entries'!I:I,Table4[[#This Row],[BOOK No.]])</f>
        <v>0</v>
      </c>
      <c r="E1895" s="1">
        <f t="array" ref="E1895">IF(OR(Table4[[#This Row],[INSTALLMENT]]=1,Table4[[#This Row],[INSTALLMENT]]=2,Table4[[#This Row],[INSTALLMENT]]=3),1,0)</f>
        <v>0</v>
      </c>
      <c r="F1895" s="1">
        <f>IF(OR(Table4[[#This Row],[INSTALLMENT]]=2,Table4[[#This Row],[INSTALLMENT]]=3),2,0)</f>
        <v>0</v>
      </c>
      <c r="G1895" s="1">
        <f>IF(OR(Table4[[#This Row],[INSTALLMENT]]=3),3,0)</f>
        <v>0</v>
      </c>
    </row>
    <row r="1896" spans="1:7">
      <c r="A1896" s="1">
        <v>2254</v>
      </c>
      <c r="B1896" s="1" t="s">
        <v>3344</v>
      </c>
      <c r="C1896" s="1" t="s">
        <v>286</v>
      </c>
      <c r="D1896" s="1">
        <f>COUNTIFS('Raw Entries'!B:B,Table4[[#This Row],[Name]],'Raw Entries'!I:I,Table4[[#This Row],[BOOK No.]])</f>
        <v>0</v>
      </c>
      <c r="E1896" s="1">
        <f t="array" ref="E1896">IF(OR(Table4[[#This Row],[INSTALLMENT]]=1,Table4[[#This Row],[INSTALLMENT]]=2,Table4[[#This Row],[INSTALLMENT]]=3),1,0)</f>
        <v>0</v>
      </c>
      <c r="F1896" s="1">
        <f>IF(OR(Table4[[#This Row],[INSTALLMENT]]=2,Table4[[#This Row],[INSTALLMENT]]=3),2,0)</f>
        <v>0</v>
      </c>
      <c r="G1896" s="1">
        <f>IF(OR(Table4[[#This Row],[INSTALLMENT]]=3),3,0)</f>
        <v>0</v>
      </c>
    </row>
    <row r="1897" spans="1:7">
      <c r="A1897" s="1">
        <v>2255</v>
      </c>
      <c r="B1897" s="1" t="s">
        <v>3345</v>
      </c>
      <c r="C1897" s="1" t="s">
        <v>286</v>
      </c>
      <c r="D1897" s="1">
        <f>COUNTIFS('Raw Entries'!B:B,Table4[[#This Row],[Name]],'Raw Entries'!I:I,Table4[[#This Row],[BOOK No.]])</f>
        <v>0</v>
      </c>
      <c r="E1897" s="1">
        <f t="array" ref="E1897">IF(OR(Table4[[#This Row],[INSTALLMENT]]=1,Table4[[#This Row],[INSTALLMENT]]=2,Table4[[#This Row],[INSTALLMENT]]=3),1,0)</f>
        <v>0</v>
      </c>
      <c r="F1897" s="1">
        <f>IF(OR(Table4[[#This Row],[INSTALLMENT]]=2,Table4[[#This Row],[INSTALLMENT]]=3),2,0)</f>
        <v>0</v>
      </c>
      <c r="G1897" s="1">
        <f>IF(OR(Table4[[#This Row],[INSTALLMENT]]=3),3,0)</f>
        <v>0</v>
      </c>
    </row>
    <row r="1898" spans="1:7">
      <c r="A1898" s="1">
        <v>2256</v>
      </c>
      <c r="B1898" s="1" t="s">
        <v>3346</v>
      </c>
      <c r="C1898" s="1" t="s">
        <v>286</v>
      </c>
      <c r="D1898" s="1">
        <f>COUNTIFS('Raw Entries'!B:B,Table4[[#This Row],[Name]],'Raw Entries'!I:I,Table4[[#This Row],[BOOK No.]])</f>
        <v>0</v>
      </c>
      <c r="E1898" s="1">
        <f t="array" ref="E1898">IF(OR(Table4[[#This Row],[INSTALLMENT]]=1,Table4[[#This Row],[INSTALLMENT]]=2,Table4[[#This Row],[INSTALLMENT]]=3),1,0)</f>
        <v>0</v>
      </c>
      <c r="F1898" s="1">
        <f>IF(OR(Table4[[#This Row],[INSTALLMENT]]=2,Table4[[#This Row],[INSTALLMENT]]=3),2,0)</f>
        <v>0</v>
      </c>
      <c r="G1898" s="1">
        <f>IF(OR(Table4[[#This Row],[INSTALLMENT]]=3),3,0)</f>
        <v>0</v>
      </c>
    </row>
    <row r="1899" spans="1:7">
      <c r="A1899" s="1">
        <v>2257</v>
      </c>
      <c r="B1899" s="1" t="s">
        <v>3176</v>
      </c>
      <c r="C1899" s="1" t="s">
        <v>286</v>
      </c>
      <c r="D1899" s="1">
        <f>COUNTIFS('Raw Entries'!B:B,Table4[[#This Row],[Name]],'Raw Entries'!I:I,Table4[[#This Row],[BOOK No.]])</f>
        <v>0</v>
      </c>
      <c r="E1899" s="1">
        <f t="array" ref="E1899">IF(OR(Table4[[#This Row],[INSTALLMENT]]=1,Table4[[#This Row],[INSTALLMENT]]=2,Table4[[#This Row],[INSTALLMENT]]=3),1,0)</f>
        <v>0</v>
      </c>
      <c r="F1899" s="1">
        <f>IF(OR(Table4[[#This Row],[INSTALLMENT]]=2,Table4[[#This Row],[INSTALLMENT]]=3),2,0)</f>
        <v>0</v>
      </c>
      <c r="G1899" s="1">
        <f>IF(OR(Table4[[#This Row],[INSTALLMENT]]=3),3,0)</f>
        <v>0</v>
      </c>
    </row>
    <row r="1900" spans="1:7">
      <c r="A1900" s="1">
        <v>2258</v>
      </c>
      <c r="B1900" s="1" t="s">
        <v>292</v>
      </c>
      <c r="C1900" s="1" t="s">
        <v>286</v>
      </c>
      <c r="D1900" s="1">
        <f>COUNTIFS('Raw Entries'!B:B,Table4[[#This Row],[Name]],'Raw Entries'!I:I,Table4[[#This Row],[BOOK No.]])</f>
        <v>3</v>
      </c>
      <c r="E1900" s="1">
        <f t="array" ref="E1900">IF(OR(Table4[[#This Row],[INSTALLMENT]]=1,Table4[[#This Row],[INSTALLMENT]]=2,Table4[[#This Row],[INSTALLMENT]]=3),1,0)</f>
        <v>1</v>
      </c>
      <c r="F1900" s="1">
        <f>IF(OR(Table4[[#This Row],[INSTALLMENT]]=2,Table4[[#This Row],[INSTALLMENT]]=3),2,0)</f>
        <v>2</v>
      </c>
      <c r="G1900" s="1">
        <f>IF(OR(Table4[[#This Row],[INSTALLMENT]]=3),3,0)</f>
        <v>3</v>
      </c>
    </row>
    <row r="1901" spans="1:7">
      <c r="A1901" s="1">
        <v>2259</v>
      </c>
      <c r="B1901" s="1" t="s">
        <v>3347</v>
      </c>
      <c r="C1901" s="1" t="s">
        <v>286</v>
      </c>
      <c r="D1901" s="1">
        <f>COUNTIFS('Raw Entries'!B:B,Table4[[#This Row],[Name]],'Raw Entries'!I:I,Table4[[#This Row],[BOOK No.]])</f>
        <v>0</v>
      </c>
      <c r="E1901" s="1">
        <f t="array" ref="E1901">IF(OR(Table4[[#This Row],[INSTALLMENT]]=1,Table4[[#This Row],[INSTALLMENT]]=2,Table4[[#This Row],[INSTALLMENT]]=3),1,0)</f>
        <v>0</v>
      </c>
      <c r="F1901" s="1">
        <f>IF(OR(Table4[[#This Row],[INSTALLMENT]]=2,Table4[[#This Row],[INSTALLMENT]]=3),2,0)</f>
        <v>0</v>
      </c>
      <c r="G1901" s="1">
        <f>IF(OR(Table4[[#This Row],[INSTALLMENT]]=3),3,0)</f>
        <v>0</v>
      </c>
    </row>
    <row r="1902" spans="1:7">
      <c r="A1902" s="1">
        <v>2260</v>
      </c>
      <c r="B1902" s="1" t="s">
        <v>3348</v>
      </c>
      <c r="C1902" s="1" t="s">
        <v>286</v>
      </c>
      <c r="D1902" s="1">
        <f>COUNTIFS('Raw Entries'!B:B,Table4[[#This Row],[Name]],'Raw Entries'!I:I,Table4[[#This Row],[BOOK No.]])</f>
        <v>0</v>
      </c>
      <c r="E1902" s="1">
        <f t="array" ref="E1902">IF(OR(Table4[[#This Row],[INSTALLMENT]]=1,Table4[[#This Row],[INSTALLMENT]]=2,Table4[[#This Row],[INSTALLMENT]]=3),1,0)</f>
        <v>0</v>
      </c>
      <c r="F1902" s="1">
        <f>IF(OR(Table4[[#This Row],[INSTALLMENT]]=2,Table4[[#This Row],[INSTALLMENT]]=3),2,0)</f>
        <v>0</v>
      </c>
      <c r="G1902" s="1">
        <f>IF(OR(Table4[[#This Row],[INSTALLMENT]]=3),3,0)</f>
        <v>0</v>
      </c>
    </row>
    <row r="1903" spans="1:7">
      <c r="A1903" s="1">
        <v>2261</v>
      </c>
      <c r="B1903" s="1" t="s">
        <v>297</v>
      </c>
      <c r="C1903" s="1" t="s">
        <v>294</v>
      </c>
      <c r="D1903" s="1">
        <f>COUNTIFS('Raw Entries'!B:B,Table4[[#This Row],[Name]],'Raw Entries'!I:I,Table4[[#This Row],[BOOK No.]])</f>
        <v>2</v>
      </c>
      <c r="E1903" s="1">
        <f t="array" ref="E1903">IF(OR(Table4[[#This Row],[INSTALLMENT]]=1,Table4[[#This Row],[INSTALLMENT]]=2,Table4[[#This Row],[INSTALLMENT]]=3),1,0)</f>
        <v>1</v>
      </c>
      <c r="F1903" s="1">
        <f>IF(OR(Table4[[#This Row],[INSTALLMENT]]=2,Table4[[#This Row],[INSTALLMENT]]=3),2,0)</f>
        <v>2</v>
      </c>
      <c r="G1903" s="1">
        <f>IF(OR(Table4[[#This Row],[INSTALLMENT]]=3),3,0)</f>
        <v>0</v>
      </c>
    </row>
    <row r="1904" spans="1:7">
      <c r="A1904" s="1">
        <v>2262</v>
      </c>
      <c r="B1904" s="1" t="s">
        <v>3349</v>
      </c>
      <c r="C1904" s="1" t="s">
        <v>294</v>
      </c>
      <c r="D1904" s="1">
        <f>COUNTIFS('Raw Entries'!B:B,Table4[[#This Row],[Name]],'Raw Entries'!I:I,Table4[[#This Row],[BOOK No.]])</f>
        <v>1</v>
      </c>
      <c r="E1904" s="1">
        <f t="array" ref="E1904">IF(OR(Table4[[#This Row],[INSTALLMENT]]=1,Table4[[#This Row],[INSTALLMENT]]=2,Table4[[#This Row],[INSTALLMENT]]=3),1,0)</f>
        <v>1</v>
      </c>
      <c r="F1904" s="1">
        <f>IF(OR(Table4[[#This Row],[INSTALLMENT]]=2,Table4[[#This Row],[INSTALLMENT]]=3),2,0)</f>
        <v>0</v>
      </c>
      <c r="G1904" s="1">
        <f>IF(OR(Table4[[#This Row],[INSTALLMENT]]=3),3,0)</f>
        <v>0</v>
      </c>
    </row>
    <row r="1905" spans="1:7">
      <c r="A1905" s="1">
        <v>2263</v>
      </c>
      <c r="B1905" s="1" t="s">
        <v>296</v>
      </c>
      <c r="C1905" s="1" t="s">
        <v>294</v>
      </c>
      <c r="D1905" s="1">
        <f>COUNTIFS('Raw Entries'!B:B,Table4[[#This Row],[Name]],'Raw Entries'!I:I,Table4[[#This Row],[BOOK No.]])</f>
        <v>3</v>
      </c>
      <c r="E1905" s="1">
        <f t="array" ref="E1905">IF(OR(Table4[[#This Row],[INSTALLMENT]]=1,Table4[[#This Row],[INSTALLMENT]]=2,Table4[[#This Row],[INSTALLMENT]]=3),1,0)</f>
        <v>1</v>
      </c>
      <c r="F1905" s="1">
        <f>IF(OR(Table4[[#This Row],[INSTALLMENT]]=2,Table4[[#This Row],[INSTALLMENT]]=3),2,0)</f>
        <v>2</v>
      </c>
      <c r="G1905" s="1">
        <f>IF(OR(Table4[[#This Row],[INSTALLMENT]]=3),3,0)</f>
        <v>3</v>
      </c>
    </row>
    <row r="1906" spans="1:7">
      <c r="A1906" s="1">
        <v>2264</v>
      </c>
      <c r="B1906" s="1" t="s">
        <v>3350</v>
      </c>
      <c r="C1906" s="1" t="s">
        <v>294</v>
      </c>
      <c r="D1906" s="1">
        <f>COUNTIFS('Raw Entries'!B:B,Table4[[#This Row],[Name]],'Raw Entries'!I:I,Table4[[#This Row],[BOOK No.]])</f>
        <v>0</v>
      </c>
      <c r="E1906" s="1">
        <f t="array" ref="E1906">IF(OR(Table4[[#This Row],[INSTALLMENT]]=1,Table4[[#This Row],[INSTALLMENT]]=2,Table4[[#This Row],[INSTALLMENT]]=3),1,0)</f>
        <v>0</v>
      </c>
      <c r="F1906" s="1">
        <f>IF(OR(Table4[[#This Row],[INSTALLMENT]]=2,Table4[[#This Row],[INSTALLMENT]]=3),2,0)</f>
        <v>0</v>
      </c>
      <c r="G1906" s="1">
        <f>IF(OR(Table4[[#This Row],[INSTALLMENT]]=3),3,0)</f>
        <v>0</v>
      </c>
    </row>
    <row r="1907" spans="1:7">
      <c r="A1907" s="1">
        <v>2265</v>
      </c>
      <c r="B1907" s="1" t="s">
        <v>3351</v>
      </c>
      <c r="C1907" s="1" t="s">
        <v>294</v>
      </c>
      <c r="D1907" s="1">
        <f>COUNTIFS('Raw Entries'!B:B,Table4[[#This Row],[Name]],'Raw Entries'!I:I,Table4[[#This Row],[BOOK No.]])</f>
        <v>1</v>
      </c>
      <c r="E1907" s="1">
        <f t="array" ref="E1907">IF(OR(Table4[[#This Row],[INSTALLMENT]]=1,Table4[[#This Row],[INSTALLMENT]]=2,Table4[[#This Row],[INSTALLMENT]]=3),1,0)</f>
        <v>1</v>
      </c>
      <c r="F1907" s="1">
        <f>IF(OR(Table4[[#This Row],[INSTALLMENT]]=2,Table4[[#This Row],[INSTALLMENT]]=3),2,0)</f>
        <v>0</v>
      </c>
      <c r="G1907" s="1">
        <f>IF(OR(Table4[[#This Row],[INSTALLMENT]]=3),3,0)</f>
        <v>0</v>
      </c>
    </row>
    <row r="1908" spans="1:7">
      <c r="A1908" s="1">
        <v>2266</v>
      </c>
      <c r="B1908" s="1" t="s">
        <v>1985</v>
      </c>
      <c r="C1908" s="1" t="s">
        <v>294</v>
      </c>
      <c r="D1908" s="1">
        <f>COUNTIFS('Raw Entries'!B:B,Table4[[#This Row],[Name]],'Raw Entries'!I:I,Table4[[#This Row],[BOOK No.]])</f>
        <v>1</v>
      </c>
      <c r="E1908" s="1">
        <f t="array" ref="E1908">IF(OR(Table4[[#This Row],[INSTALLMENT]]=1,Table4[[#This Row],[INSTALLMENT]]=2,Table4[[#This Row],[INSTALLMENT]]=3),1,0)</f>
        <v>1</v>
      </c>
      <c r="F1908" s="1">
        <f>IF(OR(Table4[[#This Row],[INSTALLMENT]]=2,Table4[[#This Row],[INSTALLMENT]]=3),2,0)</f>
        <v>0</v>
      </c>
      <c r="G1908" s="1">
        <f>IF(OR(Table4[[#This Row],[INSTALLMENT]]=3),3,0)</f>
        <v>0</v>
      </c>
    </row>
    <row r="1909" spans="1:7">
      <c r="A1909" s="1">
        <v>2267</v>
      </c>
      <c r="B1909" s="1" t="s">
        <v>3352</v>
      </c>
      <c r="C1909" s="1" t="s">
        <v>294</v>
      </c>
      <c r="D1909" s="1">
        <f>COUNTIFS('Raw Entries'!B:B,Table4[[#This Row],[Name]],'Raw Entries'!I:I,Table4[[#This Row],[BOOK No.]])</f>
        <v>1</v>
      </c>
      <c r="E1909" s="1">
        <f t="array" ref="E1909">IF(OR(Table4[[#This Row],[INSTALLMENT]]=1,Table4[[#This Row],[INSTALLMENT]]=2,Table4[[#This Row],[INSTALLMENT]]=3),1,0)</f>
        <v>1</v>
      </c>
      <c r="F1909" s="1">
        <f>IF(OR(Table4[[#This Row],[INSTALLMENT]]=2,Table4[[#This Row],[INSTALLMENT]]=3),2,0)</f>
        <v>0</v>
      </c>
      <c r="G1909" s="1">
        <f>IF(OR(Table4[[#This Row],[INSTALLMENT]]=3),3,0)</f>
        <v>0</v>
      </c>
    </row>
    <row r="1910" spans="1:7">
      <c r="A1910" s="1">
        <v>2268</v>
      </c>
      <c r="B1910" s="1" t="s">
        <v>3353</v>
      </c>
      <c r="C1910" s="1" t="s">
        <v>294</v>
      </c>
      <c r="D1910" s="1">
        <f>COUNTIFS('Raw Entries'!B:B,Table4[[#This Row],[Name]],'Raw Entries'!I:I,Table4[[#This Row],[BOOK No.]])</f>
        <v>0</v>
      </c>
      <c r="E1910" s="1">
        <f t="array" ref="E1910">IF(OR(Table4[[#This Row],[INSTALLMENT]]=1,Table4[[#This Row],[INSTALLMENT]]=2,Table4[[#This Row],[INSTALLMENT]]=3),1,0)</f>
        <v>0</v>
      </c>
      <c r="F1910" s="1">
        <f>IF(OR(Table4[[#This Row],[INSTALLMENT]]=2,Table4[[#This Row],[INSTALLMENT]]=3),2,0)</f>
        <v>0</v>
      </c>
      <c r="G1910" s="1">
        <f>IF(OR(Table4[[#This Row],[INSTALLMENT]]=3),3,0)</f>
        <v>0</v>
      </c>
    </row>
    <row r="1911" spans="1:7">
      <c r="A1911" s="1">
        <v>2269</v>
      </c>
      <c r="B1911" s="1" t="s">
        <v>239</v>
      </c>
      <c r="C1911" s="1" t="s">
        <v>294</v>
      </c>
      <c r="D1911" s="1">
        <f>COUNTIFS('Raw Entries'!B:B,Table4[[#This Row],[Name]],'Raw Entries'!I:I,Table4[[#This Row],[BOOK No.]])</f>
        <v>0</v>
      </c>
      <c r="E1911" s="1">
        <f t="array" ref="E1911">IF(OR(Table4[[#This Row],[INSTALLMENT]]=1,Table4[[#This Row],[INSTALLMENT]]=2,Table4[[#This Row],[INSTALLMENT]]=3),1,0)</f>
        <v>0</v>
      </c>
      <c r="F1911" s="1">
        <f>IF(OR(Table4[[#This Row],[INSTALLMENT]]=2,Table4[[#This Row],[INSTALLMENT]]=3),2,0)</f>
        <v>0</v>
      </c>
      <c r="G1911" s="1">
        <f>IF(OR(Table4[[#This Row],[INSTALLMENT]]=3),3,0)</f>
        <v>0</v>
      </c>
    </row>
    <row r="1912" spans="1:7">
      <c r="A1912" s="1">
        <v>2270</v>
      </c>
      <c r="B1912" s="1" t="s">
        <v>675</v>
      </c>
      <c r="C1912" s="1" t="s">
        <v>294</v>
      </c>
      <c r="D1912" s="1">
        <f>COUNTIFS('Raw Entries'!B:B,Table4[[#This Row],[Name]],'Raw Entries'!I:I,Table4[[#This Row],[BOOK No.]])</f>
        <v>1</v>
      </c>
      <c r="E1912" s="1">
        <f t="array" ref="E1912">IF(OR(Table4[[#This Row],[INSTALLMENT]]=1,Table4[[#This Row],[INSTALLMENT]]=2,Table4[[#This Row],[INSTALLMENT]]=3),1,0)</f>
        <v>1</v>
      </c>
      <c r="F1912" s="1">
        <f>IF(OR(Table4[[#This Row],[INSTALLMENT]]=2,Table4[[#This Row],[INSTALLMENT]]=3),2,0)</f>
        <v>0</v>
      </c>
      <c r="G1912" s="1">
        <f>IF(OR(Table4[[#This Row],[INSTALLMENT]]=3),3,0)</f>
        <v>0</v>
      </c>
    </row>
    <row r="1913" spans="1:7">
      <c r="A1913" s="1">
        <v>2271</v>
      </c>
      <c r="B1913" s="1" t="s">
        <v>3354</v>
      </c>
      <c r="C1913" s="1" t="s">
        <v>294</v>
      </c>
      <c r="D1913" s="1">
        <f>COUNTIFS('Raw Entries'!B:B,Table4[[#This Row],[Name]],'Raw Entries'!I:I,Table4[[#This Row],[BOOK No.]])</f>
        <v>0</v>
      </c>
      <c r="E1913" s="1">
        <f t="array" ref="E1913">IF(OR(Table4[[#This Row],[INSTALLMENT]]=1,Table4[[#This Row],[INSTALLMENT]]=2,Table4[[#This Row],[INSTALLMENT]]=3),1,0)</f>
        <v>0</v>
      </c>
      <c r="F1913" s="1">
        <f>IF(OR(Table4[[#This Row],[INSTALLMENT]]=2,Table4[[#This Row],[INSTALLMENT]]=3),2,0)</f>
        <v>0</v>
      </c>
      <c r="G1913" s="1">
        <f>IF(OR(Table4[[#This Row],[INSTALLMENT]]=3),3,0)</f>
        <v>0</v>
      </c>
    </row>
    <row r="1914" spans="1:7">
      <c r="A1914" s="1">
        <v>2272</v>
      </c>
      <c r="B1914" s="1" t="s">
        <v>165</v>
      </c>
      <c r="C1914" s="1" t="s">
        <v>294</v>
      </c>
      <c r="D1914" s="1">
        <f>COUNTIFS('Raw Entries'!B:B,Table4[[#This Row],[Name]],'Raw Entries'!I:I,Table4[[#This Row],[BOOK No.]])</f>
        <v>0</v>
      </c>
      <c r="E1914" s="1">
        <f t="array" ref="E1914">IF(OR(Table4[[#This Row],[INSTALLMENT]]=1,Table4[[#This Row],[INSTALLMENT]]=2,Table4[[#This Row],[INSTALLMENT]]=3),1,0)</f>
        <v>0</v>
      </c>
      <c r="F1914" s="1">
        <f>IF(OR(Table4[[#This Row],[INSTALLMENT]]=2,Table4[[#This Row],[INSTALLMENT]]=3),2,0)</f>
        <v>0</v>
      </c>
      <c r="G1914" s="1">
        <f>IF(OR(Table4[[#This Row],[INSTALLMENT]]=3),3,0)</f>
        <v>0</v>
      </c>
    </row>
    <row r="1915" spans="1:7">
      <c r="A1915" s="1">
        <v>2273</v>
      </c>
      <c r="B1915" s="1" t="s">
        <v>3355</v>
      </c>
      <c r="C1915" s="1" t="s">
        <v>294</v>
      </c>
      <c r="D1915" s="1">
        <f>COUNTIFS('Raw Entries'!B:B,Table4[[#This Row],[Name]],'Raw Entries'!I:I,Table4[[#This Row],[BOOK No.]])</f>
        <v>0</v>
      </c>
      <c r="E1915" s="1">
        <f t="array" ref="E1915">IF(OR(Table4[[#This Row],[INSTALLMENT]]=1,Table4[[#This Row],[INSTALLMENT]]=2,Table4[[#This Row],[INSTALLMENT]]=3),1,0)</f>
        <v>0</v>
      </c>
      <c r="F1915" s="1">
        <f>IF(OR(Table4[[#This Row],[INSTALLMENT]]=2,Table4[[#This Row],[INSTALLMENT]]=3),2,0)</f>
        <v>0</v>
      </c>
      <c r="G1915" s="1">
        <f>IF(OR(Table4[[#This Row],[INSTALLMENT]]=3),3,0)</f>
        <v>0</v>
      </c>
    </row>
    <row r="1916" spans="1:7">
      <c r="A1916" s="1">
        <v>2274</v>
      </c>
      <c r="B1916" s="1" t="s">
        <v>608</v>
      </c>
      <c r="C1916" s="1" t="s">
        <v>294</v>
      </c>
      <c r="D1916" s="1">
        <f>COUNTIFS('Raw Entries'!B:B,Table4[[#This Row],[Name]],'Raw Entries'!I:I,Table4[[#This Row],[BOOK No.]])</f>
        <v>3</v>
      </c>
      <c r="E1916" s="1">
        <f t="array" ref="E1916">IF(OR(Table4[[#This Row],[INSTALLMENT]]=1,Table4[[#This Row],[INSTALLMENT]]=2,Table4[[#This Row],[INSTALLMENT]]=3),1,0)</f>
        <v>1</v>
      </c>
      <c r="F1916" s="1">
        <f>IF(OR(Table4[[#This Row],[INSTALLMENT]]=2,Table4[[#This Row],[INSTALLMENT]]=3),2,0)</f>
        <v>2</v>
      </c>
      <c r="G1916" s="1">
        <f>IF(OR(Table4[[#This Row],[INSTALLMENT]]=3),3,0)</f>
        <v>3</v>
      </c>
    </row>
    <row r="1917" spans="1:7">
      <c r="A1917" s="1">
        <v>2275</v>
      </c>
      <c r="B1917" s="1" t="s">
        <v>3356</v>
      </c>
      <c r="C1917" s="1" t="s">
        <v>294</v>
      </c>
      <c r="D1917" s="1">
        <f>COUNTIFS('Raw Entries'!B:B,Table4[[#This Row],[Name]],'Raw Entries'!I:I,Table4[[#This Row],[BOOK No.]])</f>
        <v>0</v>
      </c>
      <c r="E1917" s="1">
        <f t="array" ref="E1917">IF(OR(Table4[[#This Row],[INSTALLMENT]]=1,Table4[[#This Row],[INSTALLMENT]]=2,Table4[[#This Row],[INSTALLMENT]]=3),1,0)</f>
        <v>0</v>
      </c>
      <c r="F1917" s="1">
        <f>IF(OR(Table4[[#This Row],[INSTALLMENT]]=2,Table4[[#This Row],[INSTALLMENT]]=3),2,0)</f>
        <v>0</v>
      </c>
      <c r="G1917" s="1">
        <f>IF(OR(Table4[[#This Row],[INSTALLMENT]]=3),3,0)</f>
        <v>0</v>
      </c>
    </row>
    <row r="1918" spans="1:7">
      <c r="A1918" s="1">
        <v>2276</v>
      </c>
      <c r="B1918" s="1" t="s">
        <v>653</v>
      </c>
      <c r="C1918" s="1" t="s">
        <v>294</v>
      </c>
      <c r="D1918" s="1">
        <f>COUNTIFS('Raw Entries'!B:B,Table4[[#This Row],[Name]],'Raw Entries'!I:I,Table4[[#This Row],[BOOK No.]])</f>
        <v>3</v>
      </c>
      <c r="E1918" s="1">
        <f t="array" ref="E1918">IF(OR(Table4[[#This Row],[INSTALLMENT]]=1,Table4[[#This Row],[INSTALLMENT]]=2,Table4[[#This Row],[INSTALLMENT]]=3),1,0)</f>
        <v>1</v>
      </c>
      <c r="F1918" s="1">
        <f>IF(OR(Table4[[#This Row],[INSTALLMENT]]=2,Table4[[#This Row],[INSTALLMENT]]=3),2,0)</f>
        <v>2</v>
      </c>
      <c r="G1918" s="1">
        <f>IF(OR(Table4[[#This Row],[INSTALLMENT]]=3),3,0)</f>
        <v>3</v>
      </c>
    </row>
    <row r="1919" spans="1:7">
      <c r="A1919" s="1">
        <v>2277</v>
      </c>
      <c r="B1919" s="1" t="s">
        <v>654</v>
      </c>
      <c r="C1919" s="1" t="s">
        <v>294</v>
      </c>
      <c r="D1919" s="1">
        <f>COUNTIFS('Raw Entries'!B:B,Table4[[#This Row],[Name]],'Raw Entries'!I:I,Table4[[#This Row],[BOOK No.]])</f>
        <v>3</v>
      </c>
      <c r="E1919" s="1">
        <f t="array" ref="E1919">IF(OR(Table4[[#This Row],[INSTALLMENT]]=1,Table4[[#This Row],[INSTALLMENT]]=2,Table4[[#This Row],[INSTALLMENT]]=3),1,0)</f>
        <v>1</v>
      </c>
      <c r="F1919" s="1">
        <f>IF(OR(Table4[[#This Row],[INSTALLMENT]]=2,Table4[[#This Row],[INSTALLMENT]]=3),2,0)</f>
        <v>2</v>
      </c>
      <c r="G1919" s="1">
        <f>IF(OR(Table4[[#This Row],[INSTALLMENT]]=3),3,0)</f>
        <v>3</v>
      </c>
    </row>
    <row r="1920" spans="1:7">
      <c r="A1920" s="1">
        <v>2278</v>
      </c>
      <c r="B1920" s="1" t="s">
        <v>298</v>
      </c>
      <c r="C1920" s="1" t="s">
        <v>294</v>
      </c>
      <c r="D1920" s="1">
        <f>COUNTIFS('Raw Entries'!B:B,Table4[[#This Row],[Name]],'Raw Entries'!I:I,Table4[[#This Row],[BOOK No.]])</f>
        <v>1</v>
      </c>
      <c r="E1920" s="1">
        <f t="array" ref="E1920">IF(OR(Table4[[#This Row],[INSTALLMENT]]=1,Table4[[#This Row],[INSTALLMENT]]=2,Table4[[#This Row],[INSTALLMENT]]=3),1,0)</f>
        <v>1</v>
      </c>
      <c r="F1920" s="1">
        <f>IF(OR(Table4[[#This Row],[INSTALLMENT]]=2,Table4[[#This Row],[INSTALLMENT]]=3),2,0)</f>
        <v>0</v>
      </c>
      <c r="G1920" s="1">
        <f>IF(OR(Table4[[#This Row],[INSTALLMENT]]=3),3,0)</f>
        <v>0</v>
      </c>
    </row>
    <row r="1921" spans="1:7">
      <c r="A1921" s="1">
        <v>2279</v>
      </c>
      <c r="B1921" s="1" t="s">
        <v>3357</v>
      </c>
      <c r="C1921" s="1" t="s">
        <v>294</v>
      </c>
      <c r="D1921" s="1">
        <f>COUNTIFS('Raw Entries'!B:B,Table4[[#This Row],[Name]],'Raw Entries'!I:I,Table4[[#This Row],[BOOK No.]])</f>
        <v>0</v>
      </c>
      <c r="E1921" s="1">
        <f t="array" ref="E1921">IF(OR(Table4[[#This Row],[INSTALLMENT]]=1,Table4[[#This Row],[INSTALLMENT]]=2,Table4[[#This Row],[INSTALLMENT]]=3),1,0)</f>
        <v>0</v>
      </c>
      <c r="F1921" s="1">
        <f>IF(OR(Table4[[#This Row],[INSTALLMENT]]=2,Table4[[#This Row],[INSTALLMENT]]=3),2,0)</f>
        <v>0</v>
      </c>
      <c r="G1921" s="1">
        <f>IF(OR(Table4[[#This Row],[INSTALLMENT]]=3),3,0)</f>
        <v>0</v>
      </c>
    </row>
    <row r="1922" spans="1:7">
      <c r="A1922" s="1">
        <v>2280</v>
      </c>
      <c r="B1922" s="1" t="s">
        <v>3358</v>
      </c>
      <c r="C1922" s="1" t="s">
        <v>294</v>
      </c>
      <c r="D1922" s="1">
        <f>COUNTIFS('Raw Entries'!B:B,Table4[[#This Row],[Name]],'Raw Entries'!I:I,Table4[[#This Row],[BOOK No.]])</f>
        <v>0</v>
      </c>
      <c r="E1922" s="1">
        <f t="array" ref="E1922">IF(OR(Table4[[#This Row],[INSTALLMENT]]=1,Table4[[#This Row],[INSTALLMENT]]=2,Table4[[#This Row],[INSTALLMENT]]=3),1,0)</f>
        <v>0</v>
      </c>
      <c r="F1922" s="1">
        <f>IF(OR(Table4[[#This Row],[INSTALLMENT]]=2,Table4[[#This Row],[INSTALLMENT]]=3),2,0)</f>
        <v>0</v>
      </c>
      <c r="G1922" s="1">
        <f>IF(OR(Table4[[#This Row],[INSTALLMENT]]=3),3,0)</f>
        <v>0</v>
      </c>
    </row>
    <row r="1923" spans="1:7">
      <c r="A1923" s="1">
        <v>2281</v>
      </c>
      <c r="B1923" s="1" t="s">
        <v>3359</v>
      </c>
      <c r="C1923" s="1" t="s">
        <v>294</v>
      </c>
      <c r="D1923" s="1">
        <f>COUNTIFS('Raw Entries'!B:B,Table4[[#This Row],[Name]],'Raw Entries'!I:I,Table4[[#This Row],[BOOK No.]])</f>
        <v>0</v>
      </c>
      <c r="E1923" s="1">
        <f t="array" ref="E1923">IF(OR(Table4[[#This Row],[INSTALLMENT]]=1,Table4[[#This Row],[INSTALLMENT]]=2,Table4[[#This Row],[INSTALLMENT]]=3),1,0)</f>
        <v>0</v>
      </c>
      <c r="F1923" s="1">
        <f>IF(OR(Table4[[#This Row],[INSTALLMENT]]=2,Table4[[#This Row],[INSTALLMENT]]=3),2,0)</f>
        <v>0</v>
      </c>
      <c r="G1923" s="1">
        <f>IF(OR(Table4[[#This Row],[INSTALLMENT]]=3),3,0)</f>
        <v>0</v>
      </c>
    </row>
    <row r="1924" spans="1:7">
      <c r="A1924" s="1">
        <v>2282</v>
      </c>
      <c r="B1924" s="1" t="s">
        <v>3360</v>
      </c>
      <c r="C1924" s="1" t="s">
        <v>294</v>
      </c>
      <c r="D1924" s="1">
        <f>COUNTIFS('Raw Entries'!B:B,Table4[[#This Row],[Name]],'Raw Entries'!I:I,Table4[[#This Row],[BOOK No.]])</f>
        <v>0</v>
      </c>
      <c r="E1924" s="1">
        <f t="array" ref="E1924">IF(OR(Table4[[#This Row],[INSTALLMENT]]=1,Table4[[#This Row],[INSTALLMENT]]=2,Table4[[#This Row],[INSTALLMENT]]=3),1,0)</f>
        <v>0</v>
      </c>
      <c r="F1924" s="1">
        <f>IF(OR(Table4[[#This Row],[INSTALLMENT]]=2,Table4[[#This Row],[INSTALLMENT]]=3),2,0)</f>
        <v>0</v>
      </c>
      <c r="G1924" s="1">
        <f>IF(OR(Table4[[#This Row],[INSTALLMENT]]=3),3,0)</f>
        <v>0</v>
      </c>
    </row>
    <row r="1925" spans="1:7">
      <c r="A1925" s="1">
        <v>2283</v>
      </c>
      <c r="B1925" s="1" t="s">
        <v>3361</v>
      </c>
      <c r="C1925" s="1" t="s">
        <v>294</v>
      </c>
      <c r="D1925" s="1">
        <f>COUNTIFS('Raw Entries'!B:B,Table4[[#This Row],[Name]],'Raw Entries'!I:I,Table4[[#This Row],[BOOK No.]])</f>
        <v>0</v>
      </c>
      <c r="E1925" s="1">
        <f t="array" ref="E1925">IF(OR(Table4[[#This Row],[INSTALLMENT]]=1,Table4[[#This Row],[INSTALLMENT]]=2,Table4[[#This Row],[INSTALLMENT]]=3),1,0)</f>
        <v>0</v>
      </c>
      <c r="F1925" s="1">
        <f>IF(OR(Table4[[#This Row],[INSTALLMENT]]=2,Table4[[#This Row],[INSTALLMENT]]=3),2,0)</f>
        <v>0</v>
      </c>
      <c r="G1925" s="1">
        <f>IF(OR(Table4[[#This Row],[INSTALLMENT]]=3),3,0)</f>
        <v>0</v>
      </c>
    </row>
    <row r="1926" spans="1:7">
      <c r="A1926" s="1">
        <v>2284</v>
      </c>
      <c r="B1926" s="1" t="s">
        <v>3362</v>
      </c>
      <c r="C1926" s="1" t="s">
        <v>294</v>
      </c>
      <c r="D1926" s="1">
        <f>COUNTIFS('Raw Entries'!B:B,Table4[[#This Row],[Name]],'Raw Entries'!I:I,Table4[[#This Row],[BOOK No.]])</f>
        <v>0</v>
      </c>
      <c r="E1926" s="1">
        <f t="array" ref="E1926">IF(OR(Table4[[#This Row],[INSTALLMENT]]=1,Table4[[#This Row],[INSTALLMENT]]=2,Table4[[#This Row],[INSTALLMENT]]=3),1,0)</f>
        <v>0</v>
      </c>
      <c r="F1926" s="1">
        <f>IF(OR(Table4[[#This Row],[INSTALLMENT]]=2,Table4[[#This Row],[INSTALLMENT]]=3),2,0)</f>
        <v>0</v>
      </c>
      <c r="G1926" s="1">
        <f>IF(OR(Table4[[#This Row],[INSTALLMENT]]=3),3,0)</f>
        <v>0</v>
      </c>
    </row>
    <row r="1927" spans="1:7">
      <c r="A1927" s="1">
        <v>2285</v>
      </c>
      <c r="B1927" s="1" t="s">
        <v>3363</v>
      </c>
      <c r="C1927" s="1" t="s">
        <v>294</v>
      </c>
      <c r="D1927" s="1">
        <f>COUNTIFS('Raw Entries'!B:B,Table4[[#This Row],[Name]],'Raw Entries'!I:I,Table4[[#This Row],[BOOK No.]])</f>
        <v>0</v>
      </c>
      <c r="E1927" s="1">
        <f t="array" ref="E1927">IF(OR(Table4[[#This Row],[INSTALLMENT]]=1,Table4[[#This Row],[INSTALLMENT]]=2,Table4[[#This Row],[INSTALLMENT]]=3),1,0)</f>
        <v>0</v>
      </c>
      <c r="F1927" s="1">
        <f>IF(OR(Table4[[#This Row],[INSTALLMENT]]=2,Table4[[#This Row],[INSTALLMENT]]=3),2,0)</f>
        <v>0</v>
      </c>
      <c r="G1927" s="1">
        <f>IF(OR(Table4[[#This Row],[INSTALLMENT]]=3),3,0)</f>
        <v>0</v>
      </c>
    </row>
    <row r="1928" spans="1:7">
      <c r="A1928" s="1">
        <v>2286</v>
      </c>
      <c r="B1928" s="1" t="s">
        <v>3364</v>
      </c>
      <c r="C1928" s="1" t="s">
        <v>294</v>
      </c>
      <c r="D1928" s="1">
        <f>COUNTIFS('Raw Entries'!B:B,Table4[[#This Row],[Name]],'Raw Entries'!I:I,Table4[[#This Row],[BOOK No.]])</f>
        <v>0</v>
      </c>
      <c r="E1928" s="1">
        <f t="array" ref="E1928">IF(OR(Table4[[#This Row],[INSTALLMENT]]=1,Table4[[#This Row],[INSTALLMENT]]=2,Table4[[#This Row],[INSTALLMENT]]=3),1,0)</f>
        <v>0</v>
      </c>
      <c r="F1928" s="1">
        <f>IF(OR(Table4[[#This Row],[INSTALLMENT]]=2,Table4[[#This Row],[INSTALLMENT]]=3),2,0)</f>
        <v>0</v>
      </c>
      <c r="G1928" s="1">
        <f>IF(OR(Table4[[#This Row],[INSTALLMENT]]=3),3,0)</f>
        <v>0</v>
      </c>
    </row>
    <row r="1929" spans="1:7">
      <c r="A1929" s="1">
        <v>2287</v>
      </c>
      <c r="B1929" s="1" t="s">
        <v>3365</v>
      </c>
      <c r="C1929" s="1" t="s">
        <v>294</v>
      </c>
      <c r="D1929" s="1">
        <f>COUNTIFS('Raw Entries'!B:B,Table4[[#This Row],[Name]],'Raw Entries'!I:I,Table4[[#This Row],[BOOK No.]])</f>
        <v>0</v>
      </c>
      <c r="E1929" s="1">
        <f t="array" ref="E1929">IF(OR(Table4[[#This Row],[INSTALLMENT]]=1,Table4[[#This Row],[INSTALLMENT]]=2,Table4[[#This Row],[INSTALLMENT]]=3),1,0)</f>
        <v>0</v>
      </c>
      <c r="F1929" s="1">
        <f>IF(OR(Table4[[#This Row],[INSTALLMENT]]=2,Table4[[#This Row],[INSTALLMENT]]=3),2,0)</f>
        <v>0</v>
      </c>
      <c r="G1929" s="1">
        <f>IF(OR(Table4[[#This Row],[INSTALLMENT]]=3),3,0)</f>
        <v>0</v>
      </c>
    </row>
    <row r="1930" spans="1:7">
      <c r="A1930" s="1">
        <v>2288</v>
      </c>
      <c r="B1930" s="1" t="s">
        <v>3366</v>
      </c>
      <c r="C1930" s="1" t="s">
        <v>294</v>
      </c>
      <c r="D1930" s="1">
        <f>COUNTIFS('Raw Entries'!B:B,Table4[[#This Row],[Name]],'Raw Entries'!I:I,Table4[[#This Row],[BOOK No.]])</f>
        <v>0</v>
      </c>
      <c r="E1930" s="1">
        <f t="array" ref="E1930">IF(OR(Table4[[#This Row],[INSTALLMENT]]=1,Table4[[#This Row],[INSTALLMENT]]=2,Table4[[#This Row],[INSTALLMENT]]=3),1,0)</f>
        <v>0</v>
      </c>
      <c r="F1930" s="1">
        <f>IF(OR(Table4[[#This Row],[INSTALLMENT]]=2,Table4[[#This Row],[INSTALLMENT]]=3),2,0)</f>
        <v>0</v>
      </c>
      <c r="G1930" s="1">
        <f>IF(OR(Table4[[#This Row],[INSTALLMENT]]=3),3,0)</f>
        <v>0</v>
      </c>
    </row>
    <row r="1931" spans="1:7">
      <c r="A1931" s="1">
        <v>2289</v>
      </c>
      <c r="B1931" s="1" t="s">
        <v>1841</v>
      </c>
      <c r="C1931" s="1" t="s">
        <v>294</v>
      </c>
      <c r="D1931" s="1">
        <f>COUNTIFS('Raw Entries'!B:B,Table4[[#This Row],[Name]],'Raw Entries'!I:I,Table4[[#This Row],[BOOK No.]])</f>
        <v>3</v>
      </c>
      <c r="E1931" s="1">
        <f t="array" ref="E1931">IF(OR(Table4[[#This Row],[INSTALLMENT]]=1,Table4[[#This Row],[INSTALLMENT]]=2,Table4[[#This Row],[INSTALLMENT]]=3),1,0)</f>
        <v>1</v>
      </c>
      <c r="F1931" s="1">
        <f>IF(OR(Table4[[#This Row],[INSTALLMENT]]=2,Table4[[#This Row],[INSTALLMENT]]=3),2,0)</f>
        <v>2</v>
      </c>
      <c r="G1931" s="1">
        <f>IF(OR(Table4[[#This Row],[INSTALLMENT]]=3),3,0)</f>
        <v>3</v>
      </c>
    </row>
    <row r="1932" spans="1:7">
      <c r="A1932" s="1">
        <v>2290</v>
      </c>
      <c r="B1932" s="1" t="s">
        <v>3367</v>
      </c>
      <c r="C1932" s="1" t="s">
        <v>294</v>
      </c>
      <c r="D1932" s="1">
        <f>COUNTIFS('Raw Entries'!B:B,Table4[[#This Row],[Name]],'Raw Entries'!I:I,Table4[[#This Row],[BOOK No.]])</f>
        <v>0</v>
      </c>
      <c r="E1932" s="1">
        <f t="array" ref="E1932">IF(OR(Table4[[#This Row],[INSTALLMENT]]=1,Table4[[#This Row],[INSTALLMENT]]=2,Table4[[#This Row],[INSTALLMENT]]=3),1,0)</f>
        <v>0</v>
      </c>
      <c r="F1932" s="1">
        <f>IF(OR(Table4[[#This Row],[INSTALLMENT]]=2,Table4[[#This Row],[INSTALLMENT]]=3),2,0)</f>
        <v>0</v>
      </c>
      <c r="G1932" s="1">
        <f>IF(OR(Table4[[#This Row],[INSTALLMENT]]=3),3,0)</f>
        <v>0</v>
      </c>
    </row>
    <row r="1933" spans="1:7">
      <c r="A1933" s="1">
        <v>2291</v>
      </c>
      <c r="B1933" s="1" t="s">
        <v>3368</v>
      </c>
      <c r="C1933" s="1" t="s">
        <v>294</v>
      </c>
      <c r="D1933" s="1">
        <f>COUNTIFS('Raw Entries'!B:B,Table4[[#This Row],[Name]],'Raw Entries'!I:I,Table4[[#This Row],[BOOK No.]])</f>
        <v>0</v>
      </c>
      <c r="E1933" s="1">
        <f t="array" ref="E1933">IF(OR(Table4[[#This Row],[INSTALLMENT]]=1,Table4[[#This Row],[INSTALLMENT]]=2,Table4[[#This Row],[INSTALLMENT]]=3),1,0)</f>
        <v>0</v>
      </c>
      <c r="F1933" s="1">
        <f>IF(OR(Table4[[#This Row],[INSTALLMENT]]=2,Table4[[#This Row],[INSTALLMENT]]=3),2,0)</f>
        <v>0</v>
      </c>
      <c r="G1933" s="1">
        <f>IF(OR(Table4[[#This Row],[INSTALLMENT]]=3),3,0)</f>
        <v>0</v>
      </c>
    </row>
    <row r="1934" spans="1:7">
      <c r="A1934" s="1">
        <v>2292</v>
      </c>
      <c r="B1934" s="1" t="s">
        <v>3369</v>
      </c>
      <c r="C1934" s="1" t="s">
        <v>294</v>
      </c>
      <c r="D1934" s="1">
        <f>COUNTIFS('Raw Entries'!B:B,Table4[[#This Row],[Name]],'Raw Entries'!I:I,Table4[[#This Row],[BOOK No.]])</f>
        <v>0</v>
      </c>
      <c r="E1934" s="1">
        <f t="array" ref="E1934">IF(OR(Table4[[#This Row],[INSTALLMENT]]=1,Table4[[#This Row],[INSTALLMENT]]=2,Table4[[#This Row],[INSTALLMENT]]=3),1,0)</f>
        <v>0</v>
      </c>
      <c r="F1934" s="1">
        <f>IF(OR(Table4[[#This Row],[INSTALLMENT]]=2,Table4[[#This Row],[INSTALLMENT]]=3),2,0)</f>
        <v>0</v>
      </c>
      <c r="G1934" s="1">
        <f>IF(OR(Table4[[#This Row],[INSTALLMENT]]=3),3,0)</f>
        <v>0</v>
      </c>
    </row>
    <row r="1935" spans="1:7">
      <c r="A1935" s="1">
        <v>2293</v>
      </c>
      <c r="B1935" s="1" t="s">
        <v>598</v>
      </c>
      <c r="C1935" s="1" t="s">
        <v>294</v>
      </c>
      <c r="D1935" s="1">
        <f>COUNTIFS('Raw Entries'!B:B,Table4[[#This Row],[Name]],'Raw Entries'!I:I,Table4[[#This Row],[BOOK No.]])</f>
        <v>1</v>
      </c>
      <c r="E1935" s="1">
        <f t="array" ref="E1935">IF(OR(Table4[[#This Row],[INSTALLMENT]]=1,Table4[[#This Row],[INSTALLMENT]]=2,Table4[[#This Row],[INSTALLMENT]]=3),1,0)</f>
        <v>1</v>
      </c>
      <c r="F1935" s="1">
        <f>IF(OR(Table4[[#This Row],[INSTALLMENT]]=2,Table4[[#This Row],[INSTALLMENT]]=3),2,0)</f>
        <v>0</v>
      </c>
      <c r="G1935" s="1">
        <f>IF(OR(Table4[[#This Row],[INSTALLMENT]]=3),3,0)</f>
        <v>0</v>
      </c>
    </row>
    <row r="1936" spans="1:7">
      <c r="A1936" s="1">
        <v>2294</v>
      </c>
      <c r="B1936" s="1" t="s">
        <v>3370</v>
      </c>
      <c r="C1936" s="1" t="s">
        <v>294</v>
      </c>
      <c r="D1936" s="1">
        <f>COUNTIFS('Raw Entries'!B:B,Table4[[#This Row],[Name]],'Raw Entries'!I:I,Table4[[#This Row],[BOOK No.]])</f>
        <v>1</v>
      </c>
      <c r="E1936" s="1">
        <f t="array" ref="E1936">IF(OR(Table4[[#This Row],[INSTALLMENT]]=1,Table4[[#This Row],[INSTALLMENT]]=2,Table4[[#This Row],[INSTALLMENT]]=3),1,0)</f>
        <v>1</v>
      </c>
      <c r="F1936" s="1">
        <f>IF(OR(Table4[[#This Row],[INSTALLMENT]]=2,Table4[[#This Row],[INSTALLMENT]]=3),2,0)</f>
        <v>0</v>
      </c>
      <c r="G1936" s="1">
        <f>IF(OR(Table4[[#This Row],[INSTALLMENT]]=3),3,0)</f>
        <v>0</v>
      </c>
    </row>
    <row r="1937" spans="1:7">
      <c r="A1937" s="1">
        <v>2295</v>
      </c>
      <c r="B1937" s="41" t="s">
        <v>295</v>
      </c>
      <c r="C1937" s="1" t="s">
        <v>294</v>
      </c>
      <c r="D1937" s="1">
        <f>COUNTIFS('Raw Entries'!B:B,Table4[[#This Row],[Name]],'Raw Entries'!I:I,Table4[[#This Row],[BOOK No.]])</f>
        <v>2</v>
      </c>
      <c r="E1937" s="1">
        <f t="array" ref="E1937">IF(OR(Table4[[#This Row],[INSTALLMENT]]=1,Table4[[#This Row],[INSTALLMENT]]=2,Table4[[#This Row],[INSTALLMENT]]=3),1,0)</f>
        <v>1</v>
      </c>
      <c r="F1937" s="1">
        <f>IF(OR(Table4[[#This Row],[INSTALLMENT]]=2,Table4[[#This Row],[INSTALLMENT]]=3),2,0)</f>
        <v>2</v>
      </c>
      <c r="G1937" s="1">
        <f>IF(OR(Table4[[#This Row],[INSTALLMENT]]=3),3,0)</f>
        <v>0</v>
      </c>
    </row>
    <row r="1938" spans="1:7">
      <c r="A1938" s="1">
        <v>2296</v>
      </c>
      <c r="B1938" s="1" t="s">
        <v>3371</v>
      </c>
      <c r="C1938" s="1" t="s">
        <v>299</v>
      </c>
      <c r="D1938" s="1">
        <f>COUNTIFS('Raw Entries'!B:B,Table4[[#This Row],[Name]],'Raw Entries'!I:I,Table4[[#This Row],[BOOK No.]])</f>
        <v>0</v>
      </c>
      <c r="E1938" s="1">
        <f t="array" ref="E1938">IF(OR(Table4[[#This Row],[INSTALLMENT]]=1,Table4[[#This Row],[INSTALLMENT]]=2,Table4[[#This Row],[INSTALLMENT]]=3),1,0)</f>
        <v>0</v>
      </c>
      <c r="F1938" s="1">
        <f>IF(OR(Table4[[#This Row],[INSTALLMENT]]=2,Table4[[#This Row],[INSTALLMENT]]=3),2,0)</f>
        <v>0</v>
      </c>
      <c r="G1938" s="1">
        <f>IF(OR(Table4[[#This Row],[INSTALLMENT]]=3),3,0)</f>
        <v>0</v>
      </c>
    </row>
    <row r="1939" spans="1:7">
      <c r="A1939" s="1">
        <v>2297</v>
      </c>
      <c r="B1939" s="1" t="s">
        <v>3372</v>
      </c>
      <c r="C1939" s="1" t="s">
        <v>299</v>
      </c>
      <c r="D1939" s="1">
        <f>COUNTIFS('Raw Entries'!B:B,Table4[[#This Row],[Name]],'Raw Entries'!I:I,Table4[[#This Row],[BOOK No.]])</f>
        <v>0</v>
      </c>
      <c r="E1939" s="1">
        <f t="array" ref="E1939">IF(OR(Table4[[#This Row],[INSTALLMENT]]=1,Table4[[#This Row],[INSTALLMENT]]=2,Table4[[#This Row],[INSTALLMENT]]=3),1,0)</f>
        <v>0</v>
      </c>
      <c r="F1939" s="1">
        <f>IF(OR(Table4[[#This Row],[INSTALLMENT]]=2,Table4[[#This Row],[INSTALLMENT]]=3),2,0)</f>
        <v>0</v>
      </c>
      <c r="G1939" s="1">
        <f>IF(OR(Table4[[#This Row],[INSTALLMENT]]=3),3,0)</f>
        <v>0</v>
      </c>
    </row>
    <row r="1940" spans="1:7">
      <c r="A1940" s="1">
        <v>2298</v>
      </c>
      <c r="B1940" s="1" t="s">
        <v>3373</v>
      </c>
      <c r="C1940" s="1" t="s">
        <v>299</v>
      </c>
      <c r="D1940" s="1">
        <f>COUNTIFS('Raw Entries'!B:B,Table4[[#This Row],[Name]],'Raw Entries'!I:I,Table4[[#This Row],[BOOK No.]])</f>
        <v>0</v>
      </c>
      <c r="E1940" s="1">
        <f t="array" ref="E1940">IF(OR(Table4[[#This Row],[INSTALLMENT]]=1,Table4[[#This Row],[INSTALLMENT]]=2,Table4[[#This Row],[INSTALLMENT]]=3),1,0)</f>
        <v>0</v>
      </c>
      <c r="F1940" s="1">
        <f>IF(OR(Table4[[#This Row],[INSTALLMENT]]=2,Table4[[#This Row],[INSTALLMENT]]=3),2,0)</f>
        <v>0</v>
      </c>
      <c r="G1940" s="1">
        <f>IF(OR(Table4[[#This Row],[INSTALLMENT]]=3),3,0)</f>
        <v>0</v>
      </c>
    </row>
    <row r="1941" spans="1:7">
      <c r="A1941" s="1">
        <v>2299</v>
      </c>
      <c r="B1941" s="1" t="s">
        <v>3374</v>
      </c>
      <c r="C1941" s="1" t="s">
        <v>299</v>
      </c>
      <c r="D1941" s="1">
        <f>COUNTIFS('Raw Entries'!B:B,Table4[[#This Row],[Name]],'Raw Entries'!I:I,Table4[[#This Row],[BOOK No.]])</f>
        <v>0</v>
      </c>
      <c r="E1941" s="1">
        <f t="array" ref="E1941">IF(OR(Table4[[#This Row],[INSTALLMENT]]=1,Table4[[#This Row],[INSTALLMENT]]=2,Table4[[#This Row],[INSTALLMENT]]=3),1,0)</f>
        <v>0</v>
      </c>
      <c r="F1941" s="1">
        <f>IF(OR(Table4[[#This Row],[INSTALLMENT]]=2,Table4[[#This Row],[INSTALLMENT]]=3),2,0)</f>
        <v>0</v>
      </c>
      <c r="G1941" s="1">
        <f>IF(OR(Table4[[#This Row],[INSTALLMENT]]=3),3,0)</f>
        <v>0</v>
      </c>
    </row>
    <row r="1942" spans="1:7">
      <c r="A1942" s="1">
        <v>2300</v>
      </c>
      <c r="B1942" s="1" t="s">
        <v>3375</v>
      </c>
      <c r="C1942" s="1" t="s">
        <v>299</v>
      </c>
      <c r="D1942" s="1">
        <f>COUNTIFS('Raw Entries'!B:B,Table4[[#This Row],[Name]],'Raw Entries'!I:I,Table4[[#This Row],[BOOK No.]])</f>
        <v>0</v>
      </c>
      <c r="E1942" s="1">
        <f t="array" ref="E1942">IF(OR(Table4[[#This Row],[INSTALLMENT]]=1,Table4[[#This Row],[INSTALLMENT]]=2,Table4[[#This Row],[INSTALLMENT]]=3),1,0)</f>
        <v>0</v>
      </c>
      <c r="F1942" s="1">
        <f>IF(OR(Table4[[#This Row],[INSTALLMENT]]=2,Table4[[#This Row],[INSTALLMENT]]=3),2,0)</f>
        <v>0</v>
      </c>
      <c r="G1942" s="1">
        <f>IF(OR(Table4[[#This Row],[INSTALLMENT]]=3),3,0)</f>
        <v>0</v>
      </c>
    </row>
    <row r="1943" spans="1:7">
      <c r="A1943" s="1">
        <v>2301</v>
      </c>
      <c r="B1943" s="1" t="s">
        <v>243</v>
      </c>
      <c r="C1943" s="1" t="s">
        <v>299</v>
      </c>
      <c r="D1943" s="1">
        <f>COUNTIFS('Raw Entries'!B:B,Table4[[#This Row],[Name]],'Raw Entries'!I:I,Table4[[#This Row],[BOOK No.]])</f>
        <v>2</v>
      </c>
      <c r="E1943" s="1">
        <f t="array" ref="E1943">IF(OR(Table4[[#This Row],[INSTALLMENT]]=1,Table4[[#This Row],[INSTALLMENT]]=2,Table4[[#This Row],[INSTALLMENT]]=3),1,0)</f>
        <v>1</v>
      </c>
      <c r="F1943" s="1">
        <f>IF(OR(Table4[[#This Row],[INSTALLMENT]]=2,Table4[[#This Row],[INSTALLMENT]]=3),2,0)</f>
        <v>2</v>
      </c>
      <c r="G1943" s="1">
        <f>IF(OR(Table4[[#This Row],[INSTALLMENT]]=3),3,0)</f>
        <v>0</v>
      </c>
    </row>
    <row r="1944" spans="1:7">
      <c r="A1944" s="1">
        <v>2302</v>
      </c>
      <c r="B1944" s="1" t="s">
        <v>2960</v>
      </c>
      <c r="C1944" s="1" t="s">
        <v>299</v>
      </c>
      <c r="D1944" s="1">
        <f>COUNTIFS('Raw Entries'!B:B,Table4[[#This Row],[Name]],'Raw Entries'!I:I,Table4[[#This Row],[BOOK No.]])</f>
        <v>0</v>
      </c>
      <c r="E1944" s="1">
        <f t="array" ref="E1944">IF(OR(Table4[[#This Row],[INSTALLMENT]]=1,Table4[[#This Row],[INSTALLMENT]]=2,Table4[[#This Row],[INSTALLMENT]]=3),1,0)</f>
        <v>0</v>
      </c>
      <c r="F1944" s="1">
        <f>IF(OR(Table4[[#This Row],[INSTALLMENT]]=2,Table4[[#This Row],[INSTALLMENT]]=3),2,0)</f>
        <v>0</v>
      </c>
      <c r="G1944" s="1">
        <f>IF(OR(Table4[[#This Row],[INSTALLMENT]]=3),3,0)</f>
        <v>0</v>
      </c>
    </row>
    <row r="1945" spans="1:7">
      <c r="A1945" s="1">
        <v>2303</v>
      </c>
      <c r="B1945" s="1" t="s">
        <v>3329</v>
      </c>
      <c r="C1945" s="1" t="s">
        <v>299</v>
      </c>
      <c r="D1945" s="1">
        <f>COUNTIFS('Raw Entries'!B:B,Table4[[#This Row],[Name]],'Raw Entries'!I:I,Table4[[#This Row],[BOOK No.]])</f>
        <v>0</v>
      </c>
      <c r="E1945" s="1">
        <f t="array" ref="E1945">IF(OR(Table4[[#This Row],[INSTALLMENT]]=1,Table4[[#This Row],[INSTALLMENT]]=2,Table4[[#This Row],[INSTALLMENT]]=3),1,0)</f>
        <v>0</v>
      </c>
      <c r="F1945" s="1">
        <f>IF(OR(Table4[[#This Row],[INSTALLMENT]]=2,Table4[[#This Row],[INSTALLMENT]]=3),2,0)</f>
        <v>0</v>
      </c>
      <c r="G1945" s="1">
        <f>IF(OR(Table4[[#This Row],[INSTALLMENT]]=3),3,0)</f>
        <v>0</v>
      </c>
    </row>
    <row r="1946" spans="1:7">
      <c r="A1946" s="1">
        <v>2304</v>
      </c>
      <c r="B1946" s="1" t="s">
        <v>3376</v>
      </c>
      <c r="C1946" s="1" t="s">
        <v>299</v>
      </c>
      <c r="D1946" s="1">
        <f>COUNTIFS('Raw Entries'!B:B,Table4[[#This Row],[Name]],'Raw Entries'!I:I,Table4[[#This Row],[BOOK No.]])</f>
        <v>0</v>
      </c>
      <c r="E1946" s="1">
        <f t="array" ref="E1946">IF(OR(Table4[[#This Row],[INSTALLMENT]]=1,Table4[[#This Row],[INSTALLMENT]]=2,Table4[[#This Row],[INSTALLMENT]]=3),1,0)</f>
        <v>0</v>
      </c>
      <c r="F1946" s="1">
        <f>IF(OR(Table4[[#This Row],[INSTALLMENT]]=2,Table4[[#This Row],[INSTALLMENT]]=3),2,0)</f>
        <v>0</v>
      </c>
      <c r="G1946" s="1">
        <f>IF(OR(Table4[[#This Row],[INSTALLMENT]]=3),3,0)</f>
        <v>0</v>
      </c>
    </row>
    <row r="1947" spans="1:7">
      <c r="A1947" s="1">
        <v>2305</v>
      </c>
      <c r="B1947" s="1" t="s">
        <v>629</v>
      </c>
      <c r="C1947" s="1" t="s">
        <v>299</v>
      </c>
      <c r="D1947" s="1">
        <f>COUNTIFS('Raw Entries'!B:B,Table4[[#This Row],[Name]],'Raw Entries'!I:I,Table4[[#This Row],[BOOK No.]])</f>
        <v>1</v>
      </c>
      <c r="E1947" s="1">
        <f t="array" ref="E1947">IF(OR(Table4[[#This Row],[INSTALLMENT]]=1,Table4[[#This Row],[INSTALLMENT]]=2,Table4[[#This Row],[INSTALLMENT]]=3),1,0)</f>
        <v>1</v>
      </c>
      <c r="F1947" s="1">
        <f>IF(OR(Table4[[#This Row],[INSTALLMENT]]=2,Table4[[#This Row],[INSTALLMENT]]=3),2,0)</f>
        <v>0</v>
      </c>
      <c r="G1947" s="1">
        <f>IF(OR(Table4[[#This Row],[INSTALLMENT]]=3),3,0)</f>
        <v>0</v>
      </c>
    </row>
    <row r="1948" spans="1:7">
      <c r="A1948" s="1">
        <v>2306</v>
      </c>
      <c r="B1948" s="1" t="s">
        <v>3377</v>
      </c>
      <c r="C1948" s="1" t="s">
        <v>299</v>
      </c>
      <c r="D1948" s="1">
        <f>COUNTIFS('Raw Entries'!B:B,Table4[[#This Row],[Name]],'Raw Entries'!I:I,Table4[[#This Row],[BOOK No.]])</f>
        <v>0</v>
      </c>
      <c r="E1948" s="1">
        <f t="array" ref="E1948">IF(OR(Table4[[#This Row],[INSTALLMENT]]=1,Table4[[#This Row],[INSTALLMENT]]=2,Table4[[#This Row],[INSTALLMENT]]=3),1,0)</f>
        <v>0</v>
      </c>
      <c r="F1948" s="1">
        <f>IF(OR(Table4[[#This Row],[INSTALLMENT]]=2,Table4[[#This Row],[INSTALLMENT]]=3),2,0)</f>
        <v>0</v>
      </c>
      <c r="G1948" s="1">
        <f>IF(OR(Table4[[#This Row],[INSTALLMENT]]=3),3,0)</f>
        <v>0</v>
      </c>
    </row>
    <row r="1949" spans="1:7">
      <c r="A1949" s="1">
        <v>2307</v>
      </c>
      <c r="B1949" s="1" t="s">
        <v>3378</v>
      </c>
      <c r="C1949" s="1" t="s">
        <v>299</v>
      </c>
      <c r="D1949" s="1">
        <f>COUNTIFS('Raw Entries'!B:B,Table4[[#This Row],[Name]],'Raw Entries'!I:I,Table4[[#This Row],[BOOK No.]])</f>
        <v>0</v>
      </c>
      <c r="E1949" s="1">
        <f t="array" ref="E1949">IF(OR(Table4[[#This Row],[INSTALLMENT]]=1,Table4[[#This Row],[INSTALLMENT]]=2,Table4[[#This Row],[INSTALLMENT]]=3),1,0)</f>
        <v>0</v>
      </c>
      <c r="F1949" s="1">
        <f>IF(OR(Table4[[#This Row],[INSTALLMENT]]=2,Table4[[#This Row],[INSTALLMENT]]=3),2,0)</f>
        <v>0</v>
      </c>
      <c r="G1949" s="1">
        <f>IF(OR(Table4[[#This Row],[INSTALLMENT]]=3),3,0)</f>
        <v>0</v>
      </c>
    </row>
    <row r="1950" spans="1:7">
      <c r="A1950" s="1">
        <v>2308</v>
      </c>
      <c r="B1950" s="1" t="s">
        <v>3379</v>
      </c>
      <c r="C1950" s="1" t="s">
        <v>299</v>
      </c>
      <c r="D1950" s="1">
        <f>COUNTIFS('Raw Entries'!B:B,Table4[[#This Row],[Name]],'Raw Entries'!I:I,Table4[[#This Row],[BOOK No.]])</f>
        <v>1</v>
      </c>
      <c r="E1950" s="1">
        <f t="array" ref="E1950">IF(OR(Table4[[#This Row],[INSTALLMENT]]=1,Table4[[#This Row],[INSTALLMENT]]=2,Table4[[#This Row],[INSTALLMENT]]=3),1,0)</f>
        <v>1</v>
      </c>
      <c r="F1950" s="1">
        <f>IF(OR(Table4[[#This Row],[INSTALLMENT]]=2,Table4[[#This Row],[INSTALLMENT]]=3),2,0)</f>
        <v>0</v>
      </c>
      <c r="G1950" s="1">
        <f>IF(OR(Table4[[#This Row],[INSTALLMENT]]=3),3,0)</f>
        <v>0</v>
      </c>
    </row>
    <row r="1951" spans="1:7">
      <c r="A1951" s="1">
        <v>2309</v>
      </c>
      <c r="B1951" s="1" t="s">
        <v>247</v>
      </c>
      <c r="C1951" s="1" t="s">
        <v>299</v>
      </c>
      <c r="D1951" s="1">
        <f>COUNTIFS('Raw Entries'!B:B,Table4[[#This Row],[Name]],'Raw Entries'!I:I,Table4[[#This Row],[BOOK No.]])</f>
        <v>0</v>
      </c>
      <c r="E1951" s="1">
        <f t="array" ref="E1951">IF(OR(Table4[[#This Row],[INSTALLMENT]]=1,Table4[[#This Row],[INSTALLMENT]]=2,Table4[[#This Row],[INSTALLMENT]]=3),1,0)</f>
        <v>0</v>
      </c>
      <c r="F1951" s="1">
        <f>IF(OR(Table4[[#This Row],[INSTALLMENT]]=2,Table4[[#This Row],[INSTALLMENT]]=3),2,0)</f>
        <v>0</v>
      </c>
      <c r="G1951" s="1">
        <f>IF(OR(Table4[[#This Row],[INSTALLMENT]]=3),3,0)</f>
        <v>0</v>
      </c>
    </row>
    <row r="1952" spans="1:7">
      <c r="A1952" s="1">
        <v>2310</v>
      </c>
      <c r="B1952" s="1" t="s">
        <v>3380</v>
      </c>
      <c r="C1952" s="1" t="s">
        <v>299</v>
      </c>
      <c r="D1952" s="1">
        <f>COUNTIFS('Raw Entries'!B:B,Table4[[#This Row],[Name]],'Raw Entries'!I:I,Table4[[#This Row],[BOOK No.]])</f>
        <v>0</v>
      </c>
      <c r="E1952" s="1">
        <f t="array" ref="E1952">IF(OR(Table4[[#This Row],[INSTALLMENT]]=1,Table4[[#This Row],[INSTALLMENT]]=2,Table4[[#This Row],[INSTALLMENT]]=3),1,0)</f>
        <v>0</v>
      </c>
      <c r="F1952" s="1">
        <f>IF(OR(Table4[[#This Row],[INSTALLMENT]]=2,Table4[[#This Row],[INSTALLMENT]]=3),2,0)</f>
        <v>0</v>
      </c>
      <c r="G1952" s="1">
        <f>IF(OR(Table4[[#This Row],[INSTALLMENT]]=3),3,0)</f>
        <v>0</v>
      </c>
    </row>
    <row r="1953" spans="1:7">
      <c r="A1953" s="1">
        <v>2311</v>
      </c>
      <c r="B1953" s="1" t="s">
        <v>679</v>
      </c>
      <c r="C1953" s="1" t="s">
        <v>299</v>
      </c>
      <c r="D1953" s="1">
        <f>COUNTIFS('Raw Entries'!B:B,Table4[[#This Row],[Name]],'Raw Entries'!I:I,Table4[[#This Row],[BOOK No.]])</f>
        <v>2</v>
      </c>
      <c r="E1953" s="1">
        <f t="array" ref="E1953">IF(OR(Table4[[#This Row],[INSTALLMENT]]=1,Table4[[#This Row],[INSTALLMENT]]=2,Table4[[#This Row],[INSTALLMENT]]=3),1,0)</f>
        <v>1</v>
      </c>
      <c r="F1953" s="1">
        <f>IF(OR(Table4[[#This Row],[INSTALLMENT]]=2,Table4[[#This Row],[INSTALLMENT]]=3),2,0)</f>
        <v>2</v>
      </c>
      <c r="G1953" s="1">
        <f>IF(OR(Table4[[#This Row],[INSTALLMENT]]=3),3,0)</f>
        <v>0</v>
      </c>
    </row>
    <row r="1954" spans="1:7">
      <c r="A1954" s="1">
        <v>2312</v>
      </c>
      <c r="B1954" s="1" t="s">
        <v>3381</v>
      </c>
      <c r="C1954" s="1" t="s">
        <v>299</v>
      </c>
      <c r="D1954" s="1">
        <f>COUNTIFS('Raw Entries'!B:B,Table4[[#This Row],[Name]],'Raw Entries'!I:I,Table4[[#This Row],[BOOK No.]])</f>
        <v>0</v>
      </c>
      <c r="E1954" s="1">
        <f t="array" ref="E1954">IF(OR(Table4[[#This Row],[INSTALLMENT]]=1,Table4[[#This Row],[INSTALLMENT]]=2,Table4[[#This Row],[INSTALLMENT]]=3),1,0)</f>
        <v>0</v>
      </c>
      <c r="F1954" s="1">
        <f>IF(OR(Table4[[#This Row],[INSTALLMENT]]=2,Table4[[#This Row],[INSTALLMENT]]=3),2,0)</f>
        <v>0</v>
      </c>
      <c r="G1954" s="1">
        <f>IF(OR(Table4[[#This Row],[INSTALLMENT]]=3),3,0)</f>
        <v>0</v>
      </c>
    </row>
    <row r="1955" spans="1:7">
      <c r="A1955" s="1">
        <v>2313</v>
      </c>
      <c r="B1955" s="1" t="s">
        <v>246</v>
      </c>
      <c r="C1955" s="1" t="s">
        <v>299</v>
      </c>
      <c r="D1955" s="1">
        <f>COUNTIFS('Raw Entries'!B:B,Table4[[#This Row],[Name]],'Raw Entries'!I:I,Table4[[#This Row],[BOOK No.]])</f>
        <v>0</v>
      </c>
      <c r="E1955" s="1">
        <f t="array" ref="E1955">IF(OR(Table4[[#This Row],[INSTALLMENT]]=1,Table4[[#This Row],[INSTALLMENT]]=2,Table4[[#This Row],[INSTALLMENT]]=3),1,0)</f>
        <v>0</v>
      </c>
      <c r="F1955" s="1">
        <f>IF(OR(Table4[[#This Row],[INSTALLMENT]]=2,Table4[[#This Row],[INSTALLMENT]]=3),2,0)</f>
        <v>0</v>
      </c>
      <c r="G1955" s="1">
        <f>IF(OR(Table4[[#This Row],[INSTALLMENT]]=3),3,0)</f>
        <v>0</v>
      </c>
    </row>
    <row r="1956" spans="1:7">
      <c r="A1956" s="1">
        <v>2314</v>
      </c>
      <c r="B1956" s="1" t="s">
        <v>3382</v>
      </c>
      <c r="C1956" s="1" t="s">
        <v>299</v>
      </c>
      <c r="D1956" s="1">
        <f>COUNTIFS('Raw Entries'!B:B,Table4[[#This Row],[Name]],'Raw Entries'!I:I,Table4[[#This Row],[BOOK No.]])</f>
        <v>1</v>
      </c>
      <c r="E1956" s="1">
        <f t="array" ref="E1956">IF(OR(Table4[[#This Row],[INSTALLMENT]]=1,Table4[[#This Row],[INSTALLMENT]]=2,Table4[[#This Row],[INSTALLMENT]]=3),1,0)</f>
        <v>1</v>
      </c>
      <c r="F1956" s="1">
        <f>IF(OR(Table4[[#This Row],[INSTALLMENT]]=2,Table4[[#This Row],[INSTALLMENT]]=3),2,0)</f>
        <v>0</v>
      </c>
      <c r="G1956" s="1">
        <f>IF(OR(Table4[[#This Row],[INSTALLMENT]]=3),3,0)</f>
        <v>0</v>
      </c>
    </row>
    <row r="1957" spans="1:7">
      <c r="A1957" s="1">
        <v>2315</v>
      </c>
      <c r="B1957" s="1" t="s">
        <v>245</v>
      </c>
      <c r="C1957" s="1" t="s">
        <v>299</v>
      </c>
      <c r="D1957" s="1">
        <f>COUNTIFS('Raw Entries'!B:B,Table4[[#This Row],[Name]],'Raw Entries'!I:I,Table4[[#This Row],[BOOK No.]])</f>
        <v>1</v>
      </c>
      <c r="E1957" s="1">
        <f t="array" ref="E1957">IF(OR(Table4[[#This Row],[INSTALLMENT]]=1,Table4[[#This Row],[INSTALLMENT]]=2,Table4[[#This Row],[INSTALLMENT]]=3),1,0)</f>
        <v>1</v>
      </c>
      <c r="F1957" s="1">
        <f>IF(OR(Table4[[#This Row],[INSTALLMENT]]=2,Table4[[#This Row],[INSTALLMENT]]=3),2,0)</f>
        <v>0</v>
      </c>
      <c r="G1957" s="1">
        <f>IF(OR(Table4[[#This Row],[INSTALLMENT]]=3),3,0)</f>
        <v>0</v>
      </c>
    </row>
    <row r="1958" spans="1:7">
      <c r="A1958" s="1">
        <v>2316</v>
      </c>
      <c r="B1958" s="1" t="s">
        <v>3383</v>
      </c>
      <c r="C1958" s="1" t="s">
        <v>299</v>
      </c>
      <c r="D1958" s="1">
        <f>COUNTIFS('Raw Entries'!B:B,Table4[[#This Row],[Name]],'Raw Entries'!I:I,Table4[[#This Row],[BOOK No.]])</f>
        <v>0</v>
      </c>
      <c r="E1958" s="1">
        <f t="array" ref="E1958">IF(OR(Table4[[#This Row],[INSTALLMENT]]=1,Table4[[#This Row],[INSTALLMENT]]=2,Table4[[#This Row],[INSTALLMENT]]=3),1,0)</f>
        <v>0</v>
      </c>
      <c r="F1958" s="1">
        <f>IF(OR(Table4[[#This Row],[INSTALLMENT]]=2,Table4[[#This Row],[INSTALLMENT]]=3),2,0)</f>
        <v>0</v>
      </c>
      <c r="G1958" s="1">
        <f>IF(OR(Table4[[#This Row],[INSTALLMENT]]=3),3,0)</f>
        <v>0</v>
      </c>
    </row>
    <row r="1959" spans="1:7">
      <c r="A1959" s="1">
        <v>2317</v>
      </c>
      <c r="B1959" s="1" t="s">
        <v>3384</v>
      </c>
      <c r="C1959" s="1" t="s">
        <v>299</v>
      </c>
      <c r="D1959" s="1">
        <f>COUNTIFS('Raw Entries'!B:B,Table4[[#This Row],[Name]],'Raw Entries'!I:I,Table4[[#This Row],[BOOK No.]])</f>
        <v>0</v>
      </c>
      <c r="E1959" s="1">
        <f t="array" ref="E1959">IF(OR(Table4[[#This Row],[INSTALLMENT]]=1,Table4[[#This Row],[INSTALLMENT]]=2,Table4[[#This Row],[INSTALLMENT]]=3),1,0)</f>
        <v>0</v>
      </c>
      <c r="F1959" s="1">
        <f>IF(OR(Table4[[#This Row],[INSTALLMENT]]=2,Table4[[#This Row],[INSTALLMENT]]=3),2,0)</f>
        <v>0</v>
      </c>
      <c r="G1959" s="1">
        <f>IF(OR(Table4[[#This Row],[INSTALLMENT]]=3),3,0)</f>
        <v>0</v>
      </c>
    </row>
    <row r="1960" spans="1:7">
      <c r="A1960" s="1">
        <v>2318</v>
      </c>
      <c r="B1960" s="1" t="s">
        <v>3385</v>
      </c>
      <c r="C1960" s="1" t="s">
        <v>299</v>
      </c>
      <c r="D1960" s="1">
        <f>COUNTIFS('Raw Entries'!B:B,Table4[[#This Row],[Name]],'Raw Entries'!I:I,Table4[[#This Row],[BOOK No.]])</f>
        <v>0</v>
      </c>
      <c r="E1960" s="1">
        <f t="array" ref="E1960">IF(OR(Table4[[#This Row],[INSTALLMENT]]=1,Table4[[#This Row],[INSTALLMENT]]=2,Table4[[#This Row],[INSTALLMENT]]=3),1,0)</f>
        <v>0</v>
      </c>
      <c r="F1960" s="1">
        <f>IF(OR(Table4[[#This Row],[INSTALLMENT]]=2,Table4[[#This Row],[INSTALLMENT]]=3),2,0)</f>
        <v>0</v>
      </c>
      <c r="G1960" s="1">
        <f>IF(OR(Table4[[#This Row],[INSTALLMENT]]=3),3,0)</f>
        <v>0</v>
      </c>
    </row>
    <row r="1961" spans="1:7">
      <c r="A1961" s="1">
        <v>2319</v>
      </c>
      <c r="B1961" s="1" t="s">
        <v>18</v>
      </c>
      <c r="C1961" s="1" t="s">
        <v>299</v>
      </c>
      <c r="D1961" s="1">
        <f>COUNTIFS('Raw Entries'!B:B,Table4[[#This Row],[Name]],'Raw Entries'!I:I,Table4[[#This Row],[BOOK No.]])</f>
        <v>0</v>
      </c>
      <c r="E1961" s="1">
        <f t="array" ref="E1961">IF(OR(Table4[[#This Row],[INSTALLMENT]]=1,Table4[[#This Row],[INSTALLMENT]]=2,Table4[[#This Row],[INSTALLMENT]]=3),1,0)</f>
        <v>0</v>
      </c>
      <c r="F1961" s="1">
        <f>IF(OR(Table4[[#This Row],[INSTALLMENT]]=2,Table4[[#This Row],[INSTALLMENT]]=3),2,0)</f>
        <v>0</v>
      </c>
      <c r="G1961" s="1">
        <f>IF(OR(Table4[[#This Row],[INSTALLMENT]]=3),3,0)</f>
        <v>0</v>
      </c>
    </row>
    <row r="1962" spans="1:7">
      <c r="A1962" s="1">
        <v>2320</v>
      </c>
      <c r="B1962" s="1" t="s">
        <v>3386</v>
      </c>
      <c r="C1962" s="1" t="s">
        <v>299</v>
      </c>
      <c r="D1962" s="1">
        <f>COUNTIFS('Raw Entries'!B:B,Table4[[#This Row],[Name]],'Raw Entries'!I:I,Table4[[#This Row],[BOOK No.]])</f>
        <v>0</v>
      </c>
      <c r="E1962" s="1">
        <f t="array" ref="E1962">IF(OR(Table4[[#This Row],[INSTALLMENT]]=1,Table4[[#This Row],[INSTALLMENT]]=2,Table4[[#This Row],[INSTALLMENT]]=3),1,0)</f>
        <v>0</v>
      </c>
      <c r="F1962" s="1">
        <f>IF(OR(Table4[[#This Row],[INSTALLMENT]]=2,Table4[[#This Row],[INSTALLMENT]]=3),2,0)</f>
        <v>0</v>
      </c>
      <c r="G1962" s="1">
        <f>IF(OR(Table4[[#This Row],[INSTALLMENT]]=3),3,0)</f>
        <v>0</v>
      </c>
    </row>
    <row r="1963" spans="1:7">
      <c r="A1963" s="1">
        <v>2321</v>
      </c>
      <c r="B1963" s="1" t="s">
        <v>302</v>
      </c>
      <c r="C1963" s="1" t="s">
        <v>299</v>
      </c>
      <c r="D1963" s="1">
        <f>COUNTIFS('Raw Entries'!B:B,Table4[[#This Row],[Name]],'Raw Entries'!I:I,Table4[[#This Row],[BOOK No.]])</f>
        <v>3</v>
      </c>
      <c r="E1963" s="1">
        <f t="array" ref="E1963">IF(OR(Table4[[#This Row],[INSTALLMENT]]=1,Table4[[#This Row],[INSTALLMENT]]=2,Table4[[#This Row],[INSTALLMENT]]=3),1,0)</f>
        <v>1</v>
      </c>
      <c r="F1963" s="1">
        <f>IF(OR(Table4[[#This Row],[INSTALLMENT]]=2,Table4[[#This Row],[INSTALLMENT]]=3),2,0)</f>
        <v>2</v>
      </c>
      <c r="G1963" s="1">
        <f>IF(OR(Table4[[#This Row],[INSTALLMENT]]=3),3,0)</f>
        <v>3</v>
      </c>
    </row>
    <row r="1964" spans="1:7">
      <c r="A1964" s="1">
        <v>2322</v>
      </c>
      <c r="B1964" s="1" t="s">
        <v>300</v>
      </c>
      <c r="C1964" s="1" t="s">
        <v>299</v>
      </c>
      <c r="D1964" s="1">
        <f>COUNTIFS('Raw Entries'!B:B,Table4[[#This Row],[Name]],'Raw Entries'!I:I,Table4[[#This Row],[BOOK No.]])</f>
        <v>3</v>
      </c>
      <c r="E1964" s="1">
        <f t="array" ref="E1964">IF(OR(Table4[[#This Row],[INSTALLMENT]]=1,Table4[[#This Row],[INSTALLMENT]]=2,Table4[[#This Row],[INSTALLMENT]]=3),1,0)</f>
        <v>1</v>
      </c>
      <c r="F1964" s="1">
        <f>IF(OR(Table4[[#This Row],[INSTALLMENT]]=2,Table4[[#This Row],[INSTALLMENT]]=3),2,0)</f>
        <v>2</v>
      </c>
      <c r="G1964" s="1">
        <f>IF(OR(Table4[[#This Row],[INSTALLMENT]]=3),3,0)</f>
        <v>3</v>
      </c>
    </row>
    <row r="1965" spans="1:7">
      <c r="A1965" s="1">
        <v>2323</v>
      </c>
      <c r="B1965" s="1" t="s">
        <v>3387</v>
      </c>
      <c r="C1965" s="1" t="s">
        <v>299</v>
      </c>
      <c r="D1965" s="1">
        <f>COUNTIFS('Raw Entries'!B:B,Table4[[#This Row],[Name]],'Raw Entries'!I:I,Table4[[#This Row],[BOOK No.]])</f>
        <v>0</v>
      </c>
      <c r="E1965" s="1">
        <f t="array" ref="E1965">IF(OR(Table4[[#This Row],[INSTALLMENT]]=1,Table4[[#This Row],[INSTALLMENT]]=2,Table4[[#This Row],[INSTALLMENT]]=3),1,0)</f>
        <v>0</v>
      </c>
      <c r="F1965" s="1">
        <f>IF(OR(Table4[[#This Row],[INSTALLMENT]]=2,Table4[[#This Row],[INSTALLMENT]]=3),2,0)</f>
        <v>0</v>
      </c>
      <c r="G1965" s="1">
        <f>IF(OR(Table4[[#This Row],[INSTALLMENT]]=3),3,0)</f>
        <v>0</v>
      </c>
    </row>
    <row r="1966" spans="1:7">
      <c r="A1966" s="1">
        <v>2324</v>
      </c>
      <c r="B1966" s="1" t="s">
        <v>617</v>
      </c>
      <c r="C1966" s="1" t="s">
        <v>299</v>
      </c>
      <c r="D1966" s="1">
        <f>COUNTIFS('Raw Entries'!B:B,Table4[[#This Row],[Name]],'Raw Entries'!I:I,Table4[[#This Row],[BOOK No.]])</f>
        <v>1</v>
      </c>
      <c r="E1966" s="1">
        <f t="array" ref="E1966">IF(OR(Table4[[#This Row],[INSTALLMENT]]=1,Table4[[#This Row],[INSTALLMENT]]=2,Table4[[#This Row],[INSTALLMENT]]=3),1,0)</f>
        <v>1</v>
      </c>
      <c r="F1966" s="1">
        <f>IF(OR(Table4[[#This Row],[INSTALLMENT]]=2,Table4[[#This Row],[INSTALLMENT]]=3),2,0)</f>
        <v>0</v>
      </c>
      <c r="G1966" s="1">
        <f>IF(OR(Table4[[#This Row],[INSTALLMENT]]=3),3,0)</f>
        <v>0</v>
      </c>
    </row>
    <row r="1967" spans="1:7">
      <c r="A1967" s="1">
        <v>2325</v>
      </c>
      <c r="B1967" s="1" t="s">
        <v>3388</v>
      </c>
      <c r="C1967" s="1" t="s">
        <v>299</v>
      </c>
      <c r="D1967" s="1">
        <f>COUNTIFS('Raw Entries'!B:B,Table4[[#This Row],[Name]],'Raw Entries'!I:I,Table4[[#This Row],[BOOK No.]])</f>
        <v>0</v>
      </c>
      <c r="E1967" s="1">
        <f t="array" ref="E1967">IF(OR(Table4[[#This Row],[INSTALLMENT]]=1,Table4[[#This Row],[INSTALLMENT]]=2,Table4[[#This Row],[INSTALLMENT]]=3),1,0)</f>
        <v>0</v>
      </c>
      <c r="F1967" s="1">
        <f>IF(OR(Table4[[#This Row],[INSTALLMENT]]=2,Table4[[#This Row],[INSTALLMENT]]=3),2,0)</f>
        <v>0</v>
      </c>
      <c r="G1967" s="1">
        <f>IF(OR(Table4[[#This Row],[INSTALLMENT]]=3),3,0)</f>
        <v>0</v>
      </c>
    </row>
    <row r="1968" spans="1:7">
      <c r="A1968" s="1">
        <v>2326</v>
      </c>
      <c r="B1968" s="1" t="s">
        <v>3389</v>
      </c>
      <c r="C1968" s="1" t="s">
        <v>299</v>
      </c>
      <c r="D1968" s="1">
        <f>COUNTIFS('Raw Entries'!B:B,Table4[[#This Row],[Name]],'Raw Entries'!I:I,Table4[[#This Row],[BOOK No.]])</f>
        <v>0</v>
      </c>
      <c r="E1968" s="1">
        <f t="array" ref="E1968">IF(OR(Table4[[#This Row],[INSTALLMENT]]=1,Table4[[#This Row],[INSTALLMENT]]=2,Table4[[#This Row],[INSTALLMENT]]=3),1,0)</f>
        <v>0</v>
      </c>
      <c r="F1968" s="1">
        <f>IF(OR(Table4[[#This Row],[INSTALLMENT]]=2,Table4[[#This Row],[INSTALLMENT]]=3),2,0)</f>
        <v>0</v>
      </c>
      <c r="G1968" s="1">
        <f>IF(OR(Table4[[#This Row],[INSTALLMENT]]=3),3,0)</f>
        <v>0</v>
      </c>
    </row>
    <row r="1969" spans="1:7">
      <c r="A1969" s="1">
        <v>2327</v>
      </c>
      <c r="B1969" s="1" t="s">
        <v>3390</v>
      </c>
      <c r="C1969" s="1" t="s">
        <v>299</v>
      </c>
      <c r="D1969" s="1">
        <f>COUNTIFS('Raw Entries'!B:B,Table4[[#This Row],[Name]],'Raw Entries'!I:I,Table4[[#This Row],[BOOK No.]])</f>
        <v>0</v>
      </c>
      <c r="E1969" s="1">
        <f t="array" ref="E1969">IF(OR(Table4[[#This Row],[INSTALLMENT]]=1,Table4[[#This Row],[INSTALLMENT]]=2,Table4[[#This Row],[INSTALLMENT]]=3),1,0)</f>
        <v>0</v>
      </c>
      <c r="F1969" s="1">
        <f>IF(OR(Table4[[#This Row],[INSTALLMENT]]=2,Table4[[#This Row],[INSTALLMENT]]=3),2,0)</f>
        <v>0</v>
      </c>
      <c r="G1969" s="1">
        <f>IF(OR(Table4[[#This Row],[INSTALLMENT]]=3),3,0)</f>
        <v>0</v>
      </c>
    </row>
    <row r="1970" spans="1:7">
      <c r="A1970" s="1">
        <v>2328</v>
      </c>
      <c r="B1970" s="1" t="s">
        <v>3391</v>
      </c>
      <c r="C1970" s="1" t="s">
        <v>299</v>
      </c>
      <c r="D1970" s="1">
        <f>COUNTIFS('Raw Entries'!B:B,Table4[[#This Row],[Name]],'Raw Entries'!I:I,Table4[[#This Row],[BOOK No.]])</f>
        <v>0</v>
      </c>
      <c r="E1970" s="1">
        <f t="array" ref="E1970">IF(OR(Table4[[#This Row],[INSTALLMENT]]=1,Table4[[#This Row],[INSTALLMENT]]=2,Table4[[#This Row],[INSTALLMENT]]=3),1,0)</f>
        <v>0</v>
      </c>
      <c r="F1970" s="1">
        <f>IF(OR(Table4[[#This Row],[INSTALLMENT]]=2,Table4[[#This Row],[INSTALLMENT]]=3),2,0)</f>
        <v>0</v>
      </c>
      <c r="G1970" s="1">
        <f>IF(OR(Table4[[#This Row],[INSTALLMENT]]=3),3,0)</f>
        <v>0</v>
      </c>
    </row>
    <row r="1971" spans="1:7">
      <c r="A1971" s="1">
        <v>2329</v>
      </c>
      <c r="B1971" s="1" t="s">
        <v>244</v>
      </c>
      <c r="C1971" s="1" t="s">
        <v>299</v>
      </c>
      <c r="D1971" s="1">
        <f>COUNTIFS('Raw Entries'!B:B,Table4[[#This Row],[Name]],'Raw Entries'!I:I,Table4[[#This Row],[BOOK No.]])</f>
        <v>0</v>
      </c>
      <c r="E1971" s="1">
        <f t="array" ref="E1971">IF(OR(Table4[[#This Row],[INSTALLMENT]]=1,Table4[[#This Row],[INSTALLMENT]]=2,Table4[[#This Row],[INSTALLMENT]]=3),1,0)</f>
        <v>0</v>
      </c>
      <c r="F1971" s="1">
        <f>IF(OR(Table4[[#This Row],[INSTALLMENT]]=2,Table4[[#This Row],[INSTALLMENT]]=3),2,0)</f>
        <v>0</v>
      </c>
      <c r="G1971" s="1">
        <f>IF(OR(Table4[[#This Row],[INSTALLMENT]]=3),3,0)</f>
        <v>0</v>
      </c>
    </row>
    <row r="1972" spans="1:7">
      <c r="A1972" s="1">
        <v>2330</v>
      </c>
      <c r="B1972" s="1" t="s">
        <v>3392</v>
      </c>
      <c r="C1972" s="1" t="s">
        <v>299</v>
      </c>
      <c r="D1972" s="1">
        <f>COUNTIFS('Raw Entries'!B:B,Table4[[#This Row],[Name]],'Raw Entries'!I:I,Table4[[#This Row],[BOOK No.]])</f>
        <v>0</v>
      </c>
      <c r="E1972" s="1">
        <f t="array" ref="E1972">IF(OR(Table4[[#This Row],[INSTALLMENT]]=1,Table4[[#This Row],[INSTALLMENT]]=2,Table4[[#This Row],[INSTALLMENT]]=3),1,0)</f>
        <v>0</v>
      </c>
      <c r="F1972" s="1">
        <f>IF(OR(Table4[[#This Row],[INSTALLMENT]]=2,Table4[[#This Row],[INSTALLMENT]]=3),2,0)</f>
        <v>0</v>
      </c>
      <c r="G1972" s="1">
        <f>IF(OR(Table4[[#This Row],[INSTALLMENT]]=3),3,0)</f>
        <v>0</v>
      </c>
    </row>
    <row r="1973" spans="1:7">
      <c r="A1973" s="1">
        <v>2331</v>
      </c>
      <c r="B1973" s="1" t="s">
        <v>3393</v>
      </c>
      <c r="C1973" s="1" t="s">
        <v>303</v>
      </c>
      <c r="D1973" s="1">
        <f>COUNTIFS('Raw Entries'!B:B,Table4[[#This Row],[Name]],'Raw Entries'!I:I,Table4[[#This Row],[BOOK No.]])</f>
        <v>0</v>
      </c>
      <c r="E1973" s="1">
        <f t="array" ref="E1973">IF(OR(Table4[[#This Row],[INSTALLMENT]]=1,Table4[[#This Row],[INSTALLMENT]]=2,Table4[[#This Row],[INSTALLMENT]]=3),1,0)</f>
        <v>0</v>
      </c>
      <c r="F1973" s="1">
        <f>IF(OR(Table4[[#This Row],[INSTALLMENT]]=2,Table4[[#This Row],[INSTALLMENT]]=3),2,0)</f>
        <v>0</v>
      </c>
      <c r="G1973" s="1">
        <f>IF(OR(Table4[[#This Row],[INSTALLMENT]]=3),3,0)</f>
        <v>0</v>
      </c>
    </row>
    <row r="1974" spans="1:7">
      <c r="A1974" s="1">
        <v>2332</v>
      </c>
      <c r="B1974" s="1" t="s">
        <v>3394</v>
      </c>
      <c r="C1974" s="1" t="s">
        <v>303</v>
      </c>
      <c r="D1974" s="1">
        <f>COUNTIFS('Raw Entries'!B:B,Table4[[#This Row],[Name]],'Raw Entries'!I:I,Table4[[#This Row],[BOOK No.]])</f>
        <v>0</v>
      </c>
      <c r="E1974" s="1">
        <f t="array" ref="E1974">IF(OR(Table4[[#This Row],[INSTALLMENT]]=1,Table4[[#This Row],[INSTALLMENT]]=2,Table4[[#This Row],[INSTALLMENT]]=3),1,0)</f>
        <v>0</v>
      </c>
      <c r="F1974" s="1">
        <f>IF(OR(Table4[[#This Row],[INSTALLMENT]]=2,Table4[[#This Row],[INSTALLMENT]]=3),2,0)</f>
        <v>0</v>
      </c>
      <c r="G1974" s="1">
        <f>IF(OR(Table4[[#This Row],[INSTALLMENT]]=3),3,0)</f>
        <v>0</v>
      </c>
    </row>
    <row r="1975" spans="1:7">
      <c r="A1975" s="1">
        <v>2333</v>
      </c>
      <c r="B1975" s="1" t="s">
        <v>201</v>
      </c>
      <c r="C1975" s="1" t="s">
        <v>303</v>
      </c>
      <c r="D1975" s="1">
        <f>COUNTIFS('Raw Entries'!B:B,Table4[[#This Row],[Name]],'Raw Entries'!I:I,Table4[[#This Row],[BOOK No.]])</f>
        <v>0</v>
      </c>
      <c r="E1975" s="1">
        <f t="array" ref="E1975">IF(OR(Table4[[#This Row],[INSTALLMENT]]=1,Table4[[#This Row],[INSTALLMENT]]=2,Table4[[#This Row],[INSTALLMENT]]=3),1,0)</f>
        <v>0</v>
      </c>
      <c r="F1975" s="1">
        <f>IF(OR(Table4[[#This Row],[INSTALLMENT]]=2,Table4[[#This Row],[INSTALLMENT]]=3),2,0)</f>
        <v>0</v>
      </c>
      <c r="G1975" s="1">
        <f>IF(OR(Table4[[#This Row],[INSTALLMENT]]=3),3,0)</f>
        <v>0</v>
      </c>
    </row>
    <row r="1976" spans="1:7">
      <c r="A1976" s="1">
        <v>2334</v>
      </c>
      <c r="B1976" s="1" t="s">
        <v>3395</v>
      </c>
      <c r="C1976" s="1" t="s">
        <v>303</v>
      </c>
      <c r="D1976" s="1">
        <f>COUNTIFS('Raw Entries'!B:B,Table4[[#This Row],[Name]],'Raw Entries'!I:I,Table4[[#This Row],[BOOK No.]])</f>
        <v>0</v>
      </c>
      <c r="E1976" s="1">
        <f t="array" ref="E1976">IF(OR(Table4[[#This Row],[INSTALLMENT]]=1,Table4[[#This Row],[INSTALLMENT]]=2,Table4[[#This Row],[INSTALLMENT]]=3),1,0)</f>
        <v>0</v>
      </c>
      <c r="F1976" s="1">
        <f>IF(OR(Table4[[#This Row],[INSTALLMENT]]=2,Table4[[#This Row],[INSTALLMENT]]=3),2,0)</f>
        <v>0</v>
      </c>
      <c r="G1976" s="1">
        <f>IF(OR(Table4[[#This Row],[INSTALLMENT]]=3),3,0)</f>
        <v>0</v>
      </c>
    </row>
    <row r="1977" spans="1:7">
      <c r="A1977" s="1">
        <v>2335</v>
      </c>
      <c r="B1977" s="1" t="s">
        <v>234</v>
      </c>
      <c r="C1977" s="1" t="s">
        <v>303</v>
      </c>
      <c r="D1977" s="1">
        <f>COUNTIFS('Raw Entries'!B:B,Table4[[#This Row],[Name]],'Raw Entries'!I:I,Table4[[#This Row],[BOOK No.]])</f>
        <v>0</v>
      </c>
      <c r="E1977" s="1">
        <f t="array" ref="E1977">IF(OR(Table4[[#This Row],[INSTALLMENT]]=1,Table4[[#This Row],[INSTALLMENT]]=2,Table4[[#This Row],[INSTALLMENT]]=3),1,0)</f>
        <v>0</v>
      </c>
      <c r="F1977" s="1">
        <f>IF(OR(Table4[[#This Row],[INSTALLMENT]]=2,Table4[[#This Row],[INSTALLMENT]]=3),2,0)</f>
        <v>0</v>
      </c>
      <c r="G1977" s="1">
        <f>IF(OR(Table4[[#This Row],[INSTALLMENT]]=3),3,0)</f>
        <v>0</v>
      </c>
    </row>
    <row r="1978" spans="1:7">
      <c r="A1978" s="1">
        <v>2336</v>
      </c>
      <c r="B1978" s="1" t="s">
        <v>3396</v>
      </c>
      <c r="C1978" s="1" t="s">
        <v>303</v>
      </c>
      <c r="D1978" s="1">
        <f>COUNTIFS('Raw Entries'!B:B,Table4[[#This Row],[Name]],'Raw Entries'!I:I,Table4[[#This Row],[BOOK No.]])</f>
        <v>0</v>
      </c>
      <c r="E1978" s="1">
        <f t="array" ref="E1978">IF(OR(Table4[[#This Row],[INSTALLMENT]]=1,Table4[[#This Row],[INSTALLMENT]]=2,Table4[[#This Row],[INSTALLMENT]]=3),1,0)</f>
        <v>0</v>
      </c>
      <c r="F1978" s="1">
        <f>IF(OR(Table4[[#This Row],[INSTALLMENT]]=2,Table4[[#This Row],[INSTALLMENT]]=3),2,0)</f>
        <v>0</v>
      </c>
      <c r="G1978" s="1">
        <f>IF(OR(Table4[[#This Row],[INSTALLMENT]]=3),3,0)</f>
        <v>0</v>
      </c>
    </row>
    <row r="1979" spans="1:7">
      <c r="A1979" s="1">
        <v>2337</v>
      </c>
      <c r="B1979" s="1" t="s">
        <v>3397</v>
      </c>
      <c r="C1979" s="1" t="s">
        <v>303</v>
      </c>
      <c r="D1979" s="1">
        <f>COUNTIFS('Raw Entries'!B:B,Table4[[#This Row],[Name]],'Raw Entries'!I:I,Table4[[#This Row],[BOOK No.]])</f>
        <v>0</v>
      </c>
      <c r="E1979" s="1">
        <f t="array" ref="E1979">IF(OR(Table4[[#This Row],[INSTALLMENT]]=1,Table4[[#This Row],[INSTALLMENT]]=2,Table4[[#This Row],[INSTALLMENT]]=3),1,0)</f>
        <v>0</v>
      </c>
      <c r="F1979" s="1">
        <f>IF(OR(Table4[[#This Row],[INSTALLMENT]]=2,Table4[[#This Row],[INSTALLMENT]]=3),2,0)</f>
        <v>0</v>
      </c>
      <c r="G1979" s="1">
        <f>IF(OR(Table4[[#This Row],[INSTALLMENT]]=3),3,0)</f>
        <v>0</v>
      </c>
    </row>
    <row r="1980" spans="1:7">
      <c r="A1980" s="1">
        <v>2338</v>
      </c>
      <c r="B1980" s="1" t="s">
        <v>239</v>
      </c>
      <c r="C1980" s="1" t="s">
        <v>303</v>
      </c>
      <c r="D1980" s="1">
        <f>COUNTIFS('Raw Entries'!B:B,Table4[[#This Row],[Name]],'Raw Entries'!I:I,Table4[[#This Row],[BOOK No.]])</f>
        <v>0</v>
      </c>
      <c r="E1980" s="1">
        <f t="array" ref="E1980">IF(OR(Table4[[#This Row],[INSTALLMENT]]=1,Table4[[#This Row],[INSTALLMENT]]=2,Table4[[#This Row],[INSTALLMENT]]=3),1,0)</f>
        <v>0</v>
      </c>
      <c r="F1980" s="1">
        <f>IF(OR(Table4[[#This Row],[INSTALLMENT]]=2,Table4[[#This Row],[INSTALLMENT]]=3),2,0)</f>
        <v>0</v>
      </c>
      <c r="G1980" s="1">
        <f>IF(OR(Table4[[#This Row],[INSTALLMENT]]=3),3,0)</f>
        <v>0</v>
      </c>
    </row>
    <row r="1981" spans="1:7">
      <c r="A1981" s="1">
        <v>2339</v>
      </c>
      <c r="B1981" s="1" t="s">
        <v>3398</v>
      </c>
      <c r="C1981" s="1" t="s">
        <v>303</v>
      </c>
      <c r="D1981" s="1">
        <f>COUNTIFS('Raw Entries'!B:B,Table4[[#This Row],[Name]],'Raw Entries'!I:I,Table4[[#This Row],[BOOK No.]])</f>
        <v>0</v>
      </c>
      <c r="E1981" s="1">
        <f t="array" ref="E1981">IF(OR(Table4[[#This Row],[INSTALLMENT]]=1,Table4[[#This Row],[INSTALLMENT]]=2,Table4[[#This Row],[INSTALLMENT]]=3),1,0)</f>
        <v>0</v>
      </c>
      <c r="F1981" s="1">
        <f>IF(OR(Table4[[#This Row],[INSTALLMENT]]=2,Table4[[#This Row],[INSTALLMENT]]=3),2,0)</f>
        <v>0</v>
      </c>
      <c r="G1981" s="1">
        <f>IF(OR(Table4[[#This Row],[INSTALLMENT]]=3),3,0)</f>
        <v>0</v>
      </c>
    </row>
    <row r="1982" spans="1:7">
      <c r="A1982" s="1">
        <v>2340</v>
      </c>
      <c r="B1982" s="1" t="s">
        <v>3399</v>
      </c>
      <c r="C1982" s="1" t="s">
        <v>303</v>
      </c>
      <c r="D1982" s="1">
        <f>COUNTIFS('Raw Entries'!B:B,Table4[[#This Row],[Name]],'Raw Entries'!I:I,Table4[[#This Row],[BOOK No.]])</f>
        <v>0</v>
      </c>
      <c r="E1982" s="1">
        <f t="array" ref="E1982">IF(OR(Table4[[#This Row],[INSTALLMENT]]=1,Table4[[#This Row],[INSTALLMENT]]=2,Table4[[#This Row],[INSTALLMENT]]=3),1,0)</f>
        <v>0</v>
      </c>
      <c r="F1982" s="1">
        <f>IF(OR(Table4[[#This Row],[INSTALLMENT]]=2,Table4[[#This Row],[INSTALLMENT]]=3),2,0)</f>
        <v>0</v>
      </c>
      <c r="G1982" s="1">
        <f>IF(OR(Table4[[#This Row],[INSTALLMENT]]=3),3,0)</f>
        <v>0</v>
      </c>
    </row>
    <row r="1983" spans="1:7">
      <c r="A1983" s="1">
        <v>2341</v>
      </c>
      <c r="B1983" s="1" t="s">
        <v>3400</v>
      </c>
      <c r="C1983" s="1" t="s">
        <v>303</v>
      </c>
      <c r="D1983" s="1">
        <f>COUNTIFS('Raw Entries'!B:B,Table4[[#This Row],[Name]],'Raw Entries'!I:I,Table4[[#This Row],[BOOK No.]])</f>
        <v>0</v>
      </c>
      <c r="E1983" s="1">
        <f t="array" ref="E1983">IF(OR(Table4[[#This Row],[INSTALLMENT]]=1,Table4[[#This Row],[INSTALLMENT]]=2,Table4[[#This Row],[INSTALLMENT]]=3),1,0)</f>
        <v>0</v>
      </c>
      <c r="F1983" s="1">
        <f>IF(OR(Table4[[#This Row],[INSTALLMENT]]=2,Table4[[#This Row],[INSTALLMENT]]=3),2,0)</f>
        <v>0</v>
      </c>
      <c r="G1983" s="1">
        <f>IF(OR(Table4[[#This Row],[INSTALLMENT]]=3),3,0)</f>
        <v>0</v>
      </c>
    </row>
    <row r="1984" spans="1:7">
      <c r="A1984" s="1">
        <v>2342</v>
      </c>
      <c r="B1984" s="1" t="s">
        <v>3401</v>
      </c>
      <c r="C1984" s="1" t="s">
        <v>303</v>
      </c>
      <c r="D1984" s="1">
        <f>COUNTIFS('Raw Entries'!B:B,Table4[[#This Row],[Name]],'Raw Entries'!I:I,Table4[[#This Row],[BOOK No.]])</f>
        <v>0</v>
      </c>
      <c r="E1984" s="1">
        <f t="array" ref="E1984">IF(OR(Table4[[#This Row],[INSTALLMENT]]=1,Table4[[#This Row],[INSTALLMENT]]=2,Table4[[#This Row],[INSTALLMENT]]=3),1,0)</f>
        <v>0</v>
      </c>
      <c r="F1984" s="1">
        <f>IF(OR(Table4[[#This Row],[INSTALLMENT]]=2,Table4[[#This Row],[INSTALLMENT]]=3),2,0)</f>
        <v>0</v>
      </c>
      <c r="G1984" s="1">
        <f>IF(OR(Table4[[#This Row],[INSTALLMENT]]=3),3,0)</f>
        <v>0</v>
      </c>
    </row>
    <row r="1985" spans="1:7">
      <c r="A1985" s="1">
        <v>2343</v>
      </c>
      <c r="B1985" s="1" t="s">
        <v>3402</v>
      </c>
      <c r="C1985" s="1" t="s">
        <v>303</v>
      </c>
      <c r="D1985" s="1">
        <f>COUNTIFS('Raw Entries'!B:B,Table4[[#This Row],[Name]],'Raw Entries'!I:I,Table4[[#This Row],[BOOK No.]])</f>
        <v>0</v>
      </c>
      <c r="E1985" s="1">
        <f t="array" ref="E1985">IF(OR(Table4[[#This Row],[INSTALLMENT]]=1,Table4[[#This Row],[INSTALLMENT]]=2,Table4[[#This Row],[INSTALLMENT]]=3),1,0)</f>
        <v>0</v>
      </c>
      <c r="F1985" s="1">
        <f>IF(OR(Table4[[#This Row],[INSTALLMENT]]=2,Table4[[#This Row],[INSTALLMENT]]=3),2,0)</f>
        <v>0</v>
      </c>
      <c r="G1985" s="1">
        <f>IF(OR(Table4[[#This Row],[INSTALLMENT]]=3),3,0)</f>
        <v>0</v>
      </c>
    </row>
    <row r="1986" spans="1:7">
      <c r="A1986" s="1">
        <v>2344</v>
      </c>
      <c r="B1986" s="1" t="s">
        <v>3403</v>
      </c>
      <c r="C1986" s="1" t="s">
        <v>303</v>
      </c>
      <c r="D1986" s="1">
        <f>COUNTIFS('Raw Entries'!B:B,Table4[[#This Row],[Name]],'Raw Entries'!I:I,Table4[[#This Row],[BOOK No.]])</f>
        <v>0</v>
      </c>
      <c r="E1986" s="1">
        <f t="array" ref="E1986">IF(OR(Table4[[#This Row],[INSTALLMENT]]=1,Table4[[#This Row],[INSTALLMENT]]=2,Table4[[#This Row],[INSTALLMENT]]=3),1,0)</f>
        <v>0</v>
      </c>
      <c r="F1986" s="1">
        <f>IF(OR(Table4[[#This Row],[INSTALLMENT]]=2,Table4[[#This Row],[INSTALLMENT]]=3),2,0)</f>
        <v>0</v>
      </c>
      <c r="G1986" s="1">
        <f>IF(OR(Table4[[#This Row],[INSTALLMENT]]=3),3,0)</f>
        <v>0</v>
      </c>
    </row>
    <row r="1987" spans="1:7">
      <c r="A1987" s="1">
        <v>2345</v>
      </c>
      <c r="B1987" s="1" t="s">
        <v>3404</v>
      </c>
      <c r="C1987" s="1" t="s">
        <v>303</v>
      </c>
      <c r="D1987" s="1">
        <f>COUNTIFS('Raw Entries'!B:B,Table4[[#This Row],[Name]],'Raw Entries'!I:I,Table4[[#This Row],[BOOK No.]])</f>
        <v>0</v>
      </c>
      <c r="E1987" s="1">
        <f t="array" ref="E1987">IF(OR(Table4[[#This Row],[INSTALLMENT]]=1,Table4[[#This Row],[INSTALLMENT]]=2,Table4[[#This Row],[INSTALLMENT]]=3),1,0)</f>
        <v>0</v>
      </c>
      <c r="F1987" s="1">
        <f>IF(OR(Table4[[#This Row],[INSTALLMENT]]=2,Table4[[#This Row],[INSTALLMENT]]=3),2,0)</f>
        <v>0</v>
      </c>
      <c r="G1987" s="1">
        <f>IF(OR(Table4[[#This Row],[INSTALLMENT]]=3),3,0)</f>
        <v>0</v>
      </c>
    </row>
    <row r="1988" spans="1:7">
      <c r="A1988" s="1">
        <v>2346</v>
      </c>
      <c r="B1988" s="1" t="s">
        <v>3405</v>
      </c>
      <c r="C1988" s="1" t="s">
        <v>303</v>
      </c>
      <c r="D1988" s="1">
        <f>COUNTIFS('Raw Entries'!B:B,Table4[[#This Row],[Name]],'Raw Entries'!I:I,Table4[[#This Row],[BOOK No.]])</f>
        <v>0</v>
      </c>
      <c r="E1988" s="1">
        <f t="array" ref="E1988">IF(OR(Table4[[#This Row],[INSTALLMENT]]=1,Table4[[#This Row],[INSTALLMENT]]=2,Table4[[#This Row],[INSTALLMENT]]=3),1,0)</f>
        <v>0</v>
      </c>
      <c r="F1988" s="1">
        <f>IF(OR(Table4[[#This Row],[INSTALLMENT]]=2,Table4[[#This Row],[INSTALLMENT]]=3),2,0)</f>
        <v>0</v>
      </c>
      <c r="G1988" s="1">
        <f>IF(OR(Table4[[#This Row],[INSTALLMENT]]=3),3,0)</f>
        <v>0</v>
      </c>
    </row>
    <row r="1989" spans="1:7">
      <c r="A1989" s="1">
        <v>2347</v>
      </c>
      <c r="B1989" s="1" t="s">
        <v>3406</v>
      </c>
      <c r="C1989" s="1" t="s">
        <v>303</v>
      </c>
      <c r="D1989" s="1">
        <f>COUNTIFS('Raw Entries'!B:B,Table4[[#This Row],[Name]],'Raw Entries'!I:I,Table4[[#This Row],[BOOK No.]])</f>
        <v>0</v>
      </c>
      <c r="E1989" s="1">
        <f t="array" ref="E1989">IF(OR(Table4[[#This Row],[INSTALLMENT]]=1,Table4[[#This Row],[INSTALLMENT]]=2,Table4[[#This Row],[INSTALLMENT]]=3),1,0)</f>
        <v>0</v>
      </c>
      <c r="F1989" s="1">
        <f>IF(OR(Table4[[#This Row],[INSTALLMENT]]=2,Table4[[#This Row],[INSTALLMENT]]=3),2,0)</f>
        <v>0</v>
      </c>
      <c r="G1989" s="1">
        <f>IF(OR(Table4[[#This Row],[INSTALLMENT]]=3),3,0)</f>
        <v>0</v>
      </c>
    </row>
    <row r="1990" spans="1:7">
      <c r="A1990" s="1">
        <v>2348</v>
      </c>
      <c r="B1990" s="1" t="s">
        <v>238</v>
      </c>
      <c r="C1990" s="1" t="s">
        <v>303</v>
      </c>
      <c r="D1990" s="1">
        <f>COUNTIFS('Raw Entries'!B:B,Table4[[#This Row],[Name]],'Raw Entries'!I:I,Table4[[#This Row],[BOOK No.]])</f>
        <v>0</v>
      </c>
      <c r="E1990" s="1">
        <f t="array" ref="E1990">IF(OR(Table4[[#This Row],[INSTALLMENT]]=1,Table4[[#This Row],[INSTALLMENT]]=2,Table4[[#This Row],[INSTALLMENT]]=3),1,0)</f>
        <v>0</v>
      </c>
      <c r="F1990" s="1">
        <f>IF(OR(Table4[[#This Row],[INSTALLMENT]]=2,Table4[[#This Row],[INSTALLMENT]]=3),2,0)</f>
        <v>0</v>
      </c>
      <c r="G1990" s="1">
        <f>IF(OR(Table4[[#This Row],[INSTALLMENT]]=3),3,0)</f>
        <v>0</v>
      </c>
    </row>
    <row r="1991" spans="1:7">
      <c r="A1991" s="1">
        <v>2349</v>
      </c>
      <c r="B1991" s="1" t="s">
        <v>3407</v>
      </c>
      <c r="C1991" s="1" t="s">
        <v>303</v>
      </c>
      <c r="D1991" s="1">
        <f>COUNTIFS('Raw Entries'!B:B,Table4[[#This Row],[Name]],'Raw Entries'!I:I,Table4[[#This Row],[BOOK No.]])</f>
        <v>0</v>
      </c>
      <c r="E1991" s="1">
        <f t="array" ref="E1991">IF(OR(Table4[[#This Row],[INSTALLMENT]]=1,Table4[[#This Row],[INSTALLMENT]]=2,Table4[[#This Row],[INSTALLMENT]]=3),1,0)</f>
        <v>0</v>
      </c>
      <c r="F1991" s="1">
        <f>IF(OR(Table4[[#This Row],[INSTALLMENT]]=2,Table4[[#This Row],[INSTALLMENT]]=3),2,0)</f>
        <v>0</v>
      </c>
      <c r="G1991" s="1">
        <f>IF(OR(Table4[[#This Row],[INSTALLMENT]]=3),3,0)</f>
        <v>0</v>
      </c>
    </row>
    <row r="1992" spans="1:7">
      <c r="A1992" s="1">
        <v>2350</v>
      </c>
      <c r="B1992" s="1" t="s">
        <v>3408</v>
      </c>
      <c r="C1992" s="1" t="s">
        <v>303</v>
      </c>
      <c r="D1992" s="1">
        <f>COUNTIFS('Raw Entries'!B:B,Table4[[#This Row],[Name]],'Raw Entries'!I:I,Table4[[#This Row],[BOOK No.]])</f>
        <v>0</v>
      </c>
      <c r="E1992" s="1">
        <f t="array" ref="E1992">IF(OR(Table4[[#This Row],[INSTALLMENT]]=1,Table4[[#This Row],[INSTALLMENT]]=2,Table4[[#This Row],[INSTALLMENT]]=3),1,0)</f>
        <v>0</v>
      </c>
      <c r="F1992" s="1">
        <f>IF(OR(Table4[[#This Row],[INSTALLMENT]]=2,Table4[[#This Row],[INSTALLMENT]]=3),2,0)</f>
        <v>0</v>
      </c>
      <c r="G1992" s="1">
        <f>IF(OR(Table4[[#This Row],[INSTALLMENT]]=3),3,0)</f>
        <v>0</v>
      </c>
    </row>
    <row r="1993" spans="1:7">
      <c r="A1993" s="1">
        <v>2351</v>
      </c>
      <c r="B1993" s="1" t="s">
        <v>3409</v>
      </c>
      <c r="C1993" s="1" t="s">
        <v>303</v>
      </c>
      <c r="D1993" s="1">
        <f>COUNTIFS('Raw Entries'!B:B,Table4[[#This Row],[Name]],'Raw Entries'!I:I,Table4[[#This Row],[BOOK No.]])</f>
        <v>0</v>
      </c>
      <c r="E1993" s="1">
        <f t="array" ref="E1993">IF(OR(Table4[[#This Row],[INSTALLMENT]]=1,Table4[[#This Row],[INSTALLMENT]]=2,Table4[[#This Row],[INSTALLMENT]]=3),1,0)</f>
        <v>0</v>
      </c>
      <c r="F1993" s="1">
        <f>IF(OR(Table4[[#This Row],[INSTALLMENT]]=2,Table4[[#This Row],[INSTALLMENT]]=3),2,0)</f>
        <v>0</v>
      </c>
      <c r="G1993" s="1">
        <f>IF(OR(Table4[[#This Row],[INSTALLMENT]]=3),3,0)</f>
        <v>0</v>
      </c>
    </row>
    <row r="1994" spans="1:7">
      <c r="A1994" s="1">
        <v>2352</v>
      </c>
      <c r="B1994" s="1" t="s">
        <v>237</v>
      </c>
      <c r="C1994" s="1" t="s">
        <v>303</v>
      </c>
      <c r="D1994" s="1">
        <f>COUNTIFS('Raw Entries'!B:B,Table4[[#This Row],[Name]],'Raw Entries'!I:I,Table4[[#This Row],[BOOK No.]])</f>
        <v>1</v>
      </c>
      <c r="E1994" s="1">
        <f t="array" ref="E1994">IF(OR(Table4[[#This Row],[INSTALLMENT]]=1,Table4[[#This Row],[INSTALLMENT]]=2,Table4[[#This Row],[INSTALLMENT]]=3),1,0)</f>
        <v>1</v>
      </c>
      <c r="F1994" s="1">
        <f>IF(OR(Table4[[#This Row],[INSTALLMENT]]=2,Table4[[#This Row],[INSTALLMENT]]=3),2,0)</f>
        <v>0</v>
      </c>
      <c r="G1994" s="1">
        <f>IF(OR(Table4[[#This Row],[INSTALLMENT]]=3),3,0)</f>
        <v>0</v>
      </c>
    </row>
    <row r="1995" spans="1:7">
      <c r="A1995" s="1">
        <v>2353</v>
      </c>
      <c r="B1995" s="1" t="s">
        <v>3410</v>
      </c>
      <c r="C1995" s="1" t="s">
        <v>303</v>
      </c>
      <c r="D1995" s="1">
        <f>COUNTIFS('Raw Entries'!B:B,Table4[[#This Row],[Name]],'Raw Entries'!I:I,Table4[[#This Row],[BOOK No.]])</f>
        <v>0</v>
      </c>
      <c r="E1995" s="1">
        <f t="array" ref="E1995">IF(OR(Table4[[#This Row],[INSTALLMENT]]=1,Table4[[#This Row],[INSTALLMENT]]=2,Table4[[#This Row],[INSTALLMENT]]=3),1,0)</f>
        <v>0</v>
      </c>
      <c r="F1995" s="1">
        <f>IF(OR(Table4[[#This Row],[INSTALLMENT]]=2,Table4[[#This Row],[INSTALLMENT]]=3),2,0)</f>
        <v>0</v>
      </c>
      <c r="G1995" s="1">
        <f>IF(OR(Table4[[#This Row],[INSTALLMENT]]=3),3,0)</f>
        <v>0</v>
      </c>
    </row>
    <row r="1996" spans="1:7">
      <c r="A1996" s="1">
        <v>2354</v>
      </c>
      <c r="B1996" s="1" t="s">
        <v>3411</v>
      </c>
      <c r="C1996" s="1" t="s">
        <v>303</v>
      </c>
      <c r="D1996" s="1">
        <f>COUNTIFS('Raw Entries'!B:B,Table4[[#This Row],[Name]],'Raw Entries'!I:I,Table4[[#This Row],[BOOK No.]])</f>
        <v>0</v>
      </c>
      <c r="E1996" s="1">
        <f t="array" ref="E1996">IF(OR(Table4[[#This Row],[INSTALLMENT]]=1,Table4[[#This Row],[INSTALLMENT]]=2,Table4[[#This Row],[INSTALLMENT]]=3),1,0)</f>
        <v>0</v>
      </c>
      <c r="F1996" s="1">
        <f>IF(OR(Table4[[#This Row],[INSTALLMENT]]=2,Table4[[#This Row],[INSTALLMENT]]=3),2,0)</f>
        <v>0</v>
      </c>
      <c r="G1996" s="1">
        <f>IF(OR(Table4[[#This Row],[INSTALLMENT]]=3),3,0)</f>
        <v>0</v>
      </c>
    </row>
    <row r="1997" spans="1:7">
      <c r="A1997" s="1">
        <v>2355</v>
      </c>
      <c r="B1997" s="1" t="s">
        <v>3412</v>
      </c>
      <c r="C1997" s="1" t="s">
        <v>303</v>
      </c>
      <c r="D1997" s="1">
        <f>COUNTIFS('Raw Entries'!B:B,Table4[[#This Row],[Name]],'Raw Entries'!I:I,Table4[[#This Row],[BOOK No.]])</f>
        <v>0</v>
      </c>
      <c r="E1997" s="1">
        <f t="array" ref="E1997">IF(OR(Table4[[#This Row],[INSTALLMENT]]=1,Table4[[#This Row],[INSTALLMENT]]=2,Table4[[#This Row],[INSTALLMENT]]=3),1,0)</f>
        <v>0</v>
      </c>
      <c r="F1997" s="1">
        <f>IF(OR(Table4[[#This Row],[INSTALLMENT]]=2,Table4[[#This Row],[INSTALLMENT]]=3),2,0)</f>
        <v>0</v>
      </c>
      <c r="G1997" s="1">
        <f>IF(OR(Table4[[#This Row],[INSTALLMENT]]=3),3,0)</f>
        <v>0</v>
      </c>
    </row>
    <row r="1998" spans="1:7">
      <c r="A1998" s="1">
        <v>2356</v>
      </c>
      <c r="B1998" s="1" t="s">
        <v>3394</v>
      </c>
      <c r="C1998" s="1" t="s">
        <v>304</v>
      </c>
      <c r="D1998" s="1">
        <f>COUNTIFS('Raw Entries'!B:B,Table4[[#This Row],[Name]],'Raw Entries'!I:I,Table4[[#This Row],[BOOK No.]])</f>
        <v>1</v>
      </c>
      <c r="E1998" s="1">
        <f t="array" ref="E1998">IF(OR(Table4[[#This Row],[INSTALLMENT]]=1,Table4[[#This Row],[INSTALLMENT]]=2,Table4[[#This Row],[INSTALLMENT]]=3),1,0)</f>
        <v>1</v>
      </c>
      <c r="F1998" s="1">
        <f>IF(OR(Table4[[#This Row],[INSTALLMENT]]=2,Table4[[#This Row],[INSTALLMENT]]=3),2,0)</f>
        <v>0</v>
      </c>
      <c r="G1998" s="1">
        <f>IF(OR(Table4[[#This Row],[INSTALLMENT]]=3),3,0)</f>
        <v>0</v>
      </c>
    </row>
    <row r="1999" spans="1:7">
      <c r="A1999" s="1">
        <v>2357</v>
      </c>
      <c r="B1999" s="1" t="s">
        <v>3413</v>
      </c>
      <c r="C1999" s="1" t="s">
        <v>304</v>
      </c>
      <c r="D1999" s="1">
        <f>COUNTIFS('Raw Entries'!B:B,Table4[[#This Row],[Name]],'Raw Entries'!I:I,Table4[[#This Row],[BOOK No.]])</f>
        <v>0</v>
      </c>
      <c r="E1999" s="1">
        <f t="array" ref="E1999">IF(OR(Table4[[#This Row],[INSTALLMENT]]=1,Table4[[#This Row],[INSTALLMENT]]=2,Table4[[#This Row],[INSTALLMENT]]=3),1,0)</f>
        <v>0</v>
      </c>
      <c r="F1999" s="1">
        <f>IF(OR(Table4[[#This Row],[INSTALLMENT]]=2,Table4[[#This Row],[INSTALLMENT]]=3),2,0)</f>
        <v>0</v>
      </c>
      <c r="G1999" s="1">
        <f>IF(OR(Table4[[#This Row],[INSTALLMENT]]=3),3,0)</f>
        <v>0</v>
      </c>
    </row>
    <row r="2000" spans="1:7">
      <c r="A2000" s="1">
        <v>2358</v>
      </c>
      <c r="B2000" s="1" t="s">
        <v>3414</v>
      </c>
      <c r="C2000" s="1" t="s">
        <v>304</v>
      </c>
      <c r="D2000" s="1">
        <f>COUNTIFS('Raw Entries'!B:B,Table4[[#This Row],[Name]],'Raw Entries'!I:I,Table4[[#This Row],[BOOK No.]])</f>
        <v>0</v>
      </c>
      <c r="E2000" s="1">
        <f t="array" ref="E2000">IF(OR(Table4[[#This Row],[INSTALLMENT]]=1,Table4[[#This Row],[INSTALLMENT]]=2,Table4[[#This Row],[INSTALLMENT]]=3),1,0)</f>
        <v>0</v>
      </c>
      <c r="F2000" s="1">
        <f>IF(OR(Table4[[#This Row],[INSTALLMENT]]=2,Table4[[#This Row],[INSTALLMENT]]=3),2,0)</f>
        <v>0</v>
      </c>
      <c r="G2000" s="1">
        <f>IF(OR(Table4[[#This Row],[INSTALLMENT]]=3),3,0)</f>
        <v>0</v>
      </c>
    </row>
    <row r="2001" spans="1:7">
      <c r="A2001" s="1">
        <v>2359</v>
      </c>
      <c r="B2001" s="1" t="s">
        <v>3415</v>
      </c>
      <c r="C2001" s="1" t="s">
        <v>304</v>
      </c>
      <c r="D2001" s="1">
        <f>COUNTIFS('Raw Entries'!B:B,Table4[[#This Row],[Name]],'Raw Entries'!I:I,Table4[[#This Row],[BOOK No.]])</f>
        <v>0</v>
      </c>
      <c r="E2001" s="1">
        <f t="array" ref="E2001">IF(OR(Table4[[#This Row],[INSTALLMENT]]=1,Table4[[#This Row],[INSTALLMENT]]=2,Table4[[#This Row],[INSTALLMENT]]=3),1,0)</f>
        <v>0</v>
      </c>
      <c r="F2001" s="1">
        <f>IF(OR(Table4[[#This Row],[INSTALLMENT]]=2,Table4[[#This Row],[INSTALLMENT]]=3),2,0)</f>
        <v>0</v>
      </c>
      <c r="G2001" s="1">
        <f>IF(OR(Table4[[#This Row],[INSTALLMENT]]=3),3,0)</f>
        <v>0</v>
      </c>
    </row>
    <row r="2002" spans="1:7">
      <c r="A2002" s="1">
        <v>2360</v>
      </c>
      <c r="B2002" s="1" t="s">
        <v>315</v>
      </c>
      <c r="C2002" s="1" t="s">
        <v>304</v>
      </c>
      <c r="D2002" s="1">
        <f>COUNTIFS('Raw Entries'!B:B,Table4[[#This Row],[Name]],'Raw Entries'!I:I,Table4[[#This Row],[BOOK No.]])</f>
        <v>1</v>
      </c>
      <c r="E2002" s="1">
        <f t="array" ref="E2002">IF(OR(Table4[[#This Row],[INSTALLMENT]]=1,Table4[[#This Row],[INSTALLMENT]]=2,Table4[[#This Row],[INSTALLMENT]]=3),1,0)</f>
        <v>1</v>
      </c>
      <c r="F2002" s="1">
        <f>IF(OR(Table4[[#This Row],[INSTALLMENT]]=2,Table4[[#This Row],[INSTALLMENT]]=3),2,0)</f>
        <v>0</v>
      </c>
      <c r="G2002" s="1">
        <f>IF(OR(Table4[[#This Row],[INSTALLMENT]]=3),3,0)</f>
        <v>0</v>
      </c>
    </row>
    <row r="2003" spans="1:7">
      <c r="A2003" s="1">
        <v>2361</v>
      </c>
      <c r="B2003" s="1" t="s">
        <v>3416</v>
      </c>
      <c r="C2003" s="1" t="s">
        <v>304</v>
      </c>
      <c r="D2003" s="1">
        <f>COUNTIFS('Raw Entries'!B:B,Table4[[#This Row],[Name]],'Raw Entries'!I:I,Table4[[#This Row],[BOOK No.]])</f>
        <v>0</v>
      </c>
      <c r="E2003" s="1">
        <f t="array" ref="E2003">IF(OR(Table4[[#This Row],[INSTALLMENT]]=1,Table4[[#This Row],[INSTALLMENT]]=2,Table4[[#This Row],[INSTALLMENT]]=3),1,0)</f>
        <v>0</v>
      </c>
      <c r="F2003" s="1">
        <f>IF(OR(Table4[[#This Row],[INSTALLMENT]]=2,Table4[[#This Row],[INSTALLMENT]]=3),2,0)</f>
        <v>0</v>
      </c>
      <c r="G2003" s="1">
        <f>IF(OR(Table4[[#This Row],[INSTALLMENT]]=3),3,0)</f>
        <v>0</v>
      </c>
    </row>
    <row r="2004" spans="1:7">
      <c r="A2004" s="1">
        <v>2362</v>
      </c>
      <c r="B2004" s="1" t="s">
        <v>3417</v>
      </c>
      <c r="C2004" s="1" t="s">
        <v>304</v>
      </c>
      <c r="D2004" s="1">
        <f>COUNTIFS('Raw Entries'!B:B,Table4[[#This Row],[Name]],'Raw Entries'!I:I,Table4[[#This Row],[BOOK No.]])</f>
        <v>0</v>
      </c>
      <c r="E2004" s="1">
        <f t="array" ref="E2004">IF(OR(Table4[[#This Row],[INSTALLMENT]]=1,Table4[[#This Row],[INSTALLMENT]]=2,Table4[[#This Row],[INSTALLMENT]]=3),1,0)</f>
        <v>0</v>
      </c>
      <c r="F2004" s="1">
        <f>IF(OR(Table4[[#This Row],[INSTALLMENT]]=2,Table4[[#This Row],[INSTALLMENT]]=3),2,0)</f>
        <v>0</v>
      </c>
      <c r="G2004" s="1">
        <f>IF(OR(Table4[[#This Row],[INSTALLMENT]]=3),3,0)</f>
        <v>0</v>
      </c>
    </row>
    <row r="2005" spans="1:7">
      <c r="A2005" s="1">
        <v>2363</v>
      </c>
      <c r="B2005" s="1" t="s">
        <v>3418</v>
      </c>
      <c r="C2005" s="1" t="s">
        <v>304</v>
      </c>
      <c r="D2005" s="1">
        <f>COUNTIFS('Raw Entries'!B:B,Table4[[#This Row],[Name]],'Raw Entries'!I:I,Table4[[#This Row],[BOOK No.]])</f>
        <v>0</v>
      </c>
      <c r="E2005" s="1">
        <f t="array" ref="E2005">IF(OR(Table4[[#This Row],[INSTALLMENT]]=1,Table4[[#This Row],[INSTALLMENT]]=2,Table4[[#This Row],[INSTALLMENT]]=3),1,0)</f>
        <v>0</v>
      </c>
      <c r="F2005" s="1">
        <f>IF(OR(Table4[[#This Row],[INSTALLMENT]]=2,Table4[[#This Row],[INSTALLMENT]]=3),2,0)</f>
        <v>0</v>
      </c>
      <c r="G2005" s="1">
        <f>IF(OR(Table4[[#This Row],[INSTALLMENT]]=3),3,0)</f>
        <v>0</v>
      </c>
    </row>
    <row r="2006" spans="1:7">
      <c r="A2006" s="1">
        <v>2364</v>
      </c>
      <c r="B2006" s="1" t="s">
        <v>3419</v>
      </c>
      <c r="C2006" s="1" t="s">
        <v>304</v>
      </c>
      <c r="D2006" s="1">
        <f>COUNTIFS('Raw Entries'!B:B,Table4[[#This Row],[Name]],'Raw Entries'!I:I,Table4[[#This Row],[BOOK No.]])</f>
        <v>0</v>
      </c>
      <c r="E2006" s="1">
        <f t="array" ref="E2006">IF(OR(Table4[[#This Row],[INSTALLMENT]]=1,Table4[[#This Row],[INSTALLMENT]]=2,Table4[[#This Row],[INSTALLMENT]]=3),1,0)</f>
        <v>0</v>
      </c>
      <c r="F2006" s="1">
        <f>IF(OR(Table4[[#This Row],[INSTALLMENT]]=2,Table4[[#This Row],[INSTALLMENT]]=3),2,0)</f>
        <v>0</v>
      </c>
      <c r="G2006" s="1">
        <f>IF(OR(Table4[[#This Row],[INSTALLMENT]]=3),3,0)</f>
        <v>0</v>
      </c>
    </row>
    <row r="2007" spans="1:7">
      <c r="A2007" s="1">
        <v>2365</v>
      </c>
      <c r="B2007" s="1" t="s">
        <v>3420</v>
      </c>
      <c r="C2007" s="1" t="s">
        <v>304</v>
      </c>
      <c r="D2007" s="1">
        <f>COUNTIFS('Raw Entries'!B:B,Table4[[#This Row],[Name]],'Raw Entries'!I:I,Table4[[#This Row],[BOOK No.]])</f>
        <v>0</v>
      </c>
      <c r="E2007" s="1">
        <f t="array" ref="E2007">IF(OR(Table4[[#This Row],[INSTALLMENT]]=1,Table4[[#This Row],[INSTALLMENT]]=2,Table4[[#This Row],[INSTALLMENT]]=3),1,0)</f>
        <v>0</v>
      </c>
      <c r="F2007" s="1">
        <f>IF(OR(Table4[[#This Row],[INSTALLMENT]]=2,Table4[[#This Row],[INSTALLMENT]]=3),2,0)</f>
        <v>0</v>
      </c>
      <c r="G2007" s="1">
        <f>IF(OR(Table4[[#This Row],[INSTALLMENT]]=3),3,0)</f>
        <v>0</v>
      </c>
    </row>
    <row r="2008" spans="1:7">
      <c r="A2008" s="1">
        <v>2366</v>
      </c>
      <c r="B2008" s="1" t="s">
        <v>317</v>
      </c>
      <c r="C2008" s="1" t="s">
        <v>304</v>
      </c>
      <c r="D2008" s="1">
        <f>COUNTIFS('Raw Entries'!B:B,Table4[[#This Row],[Name]],'Raw Entries'!I:I,Table4[[#This Row],[BOOK No.]])</f>
        <v>1</v>
      </c>
      <c r="E2008" s="1">
        <f t="array" ref="E2008">IF(OR(Table4[[#This Row],[INSTALLMENT]]=1,Table4[[#This Row],[INSTALLMENT]]=2,Table4[[#This Row],[INSTALLMENT]]=3),1,0)</f>
        <v>1</v>
      </c>
      <c r="F2008" s="1">
        <f>IF(OR(Table4[[#This Row],[INSTALLMENT]]=2,Table4[[#This Row],[INSTALLMENT]]=3),2,0)</f>
        <v>0</v>
      </c>
      <c r="G2008" s="1">
        <f>IF(OR(Table4[[#This Row],[INSTALLMENT]]=3),3,0)</f>
        <v>0</v>
      </c>
    </row>
    <row r="2009" spans="1:7">
      <c r="A2009" s="1">
        <v>2367</v>
      </c>
      <c r="B2009" s="1" t="s">
        <v>3421</v>
      </c>
      <c r="C2009" s="1" t="s">
        <v>304</v>
      </c>
      <c r="D2009" s="1">
        <f>COUNTIFS('Raw Entries'!B:B,Table4[[#This Row],[Name]],'Raw Entries'!I:I,Table4[[#This Row],[BOOK No.]])</f>
        <v>0</v>
      </c>
      <c r="E2009" s="1">
        <f t="array" ref="E2009">IF(OR(Table4[[#This Row],[INSTALLMENT]]=1,Table4[[#This Row],[INSTALLMENT]]=2,Table4[[#This Row],[INSTALLMENT]]=3),1,0)</f>
        <v>0</v>
      </c>
      <c r="F2009" s="1">
        <f>IF(OR(Table4[[#This Row],[INSTALLMENT]]=2,Table4[[#This Row],[INSTALLMENT]]=3),2,0)</f>
        <v>0</v>
      </c>
      <c r="G2009" s="1">
        <f>IF(OR(Table4[[#This Row],[INSTALLMENT]]=3),3,0)</f>
        <v>0</v>
      </c>
    </row>
    <row r="2010" spans="1:7">
      <c r="A2010" s="1">
        <v>2368</v>
      </c>
      <c r="B2010" s="1" t="s">
        <v>3422</v>
      </c>
      <c r="C2010" s="1" t="s">
        <v>304</v>
      </c>
      <c r="D2010" s="1">
        <f>COUNTIFS('Raw Entries'!B:B,Table4[[#This Row],[Name]],'Raw Entries'!I:I,Table4[[#This Row],[BOOK No.]])</f>
        <v>0</v>
      </c>
      <c r="E2010" s="1">
        <f t="array" ref="E2010">IF(OR(Table4[[#This Row],[INSTALLMENT]]=1,Table4[[#This Row],[INSTALLMENT]]=2,Table4[[#This Row],[INSTALLMENT]]=3),1,0)</f>
        <v>0</v>
      </c>
      <c r="F2010" s="1">
        <f>IF(OR(Table4[[#This Row],[INSTALLMENT]]=2,Table4[[#This Row],[INSTALLMENT]]=3),2,0)</f>
        <v>0</v>
      </c>
      <c r="G2010" s="1">
        <f>IF(OR(Table4[[#This Row],[INSTALLMENT]]=3),3,0)</f>
        <v>0</v>
      </c>
    </row>
    <row r="2011" spans="1:7">
      <c r="A2011" s="1">
        <v>2369</v>
      </c>
      <c r="B2011" s="1" t="s">
        <v>516</v>
      </c>
      <c r="C2011" s="1" t="s">
        <v>304</v>
      </c>
      <c r="D2011" s="1">
        <f>COUNTIFS('Raw Entries'!B:B,Table4[[#This Row],[Name]],'Raw Entries'!I:I,Table4[[#This Row],[BOOK No.]])</f>
        <v>0</v>
      </c>
      <c r="E2011" s="1">
        <f t="array" ref="E2011">IF(OR(Table4[[#This Row],[INSTALLMENT]]=1,Table4[[#This Row],[INSTALLMENT]]=2,Table4[[#This Row],[INSTALLMENT]]=3),1,0)</f>
        <v>0</v>
      </c>
      <c r="F2011" s="1">
        <f>IF(OR(Table4[[#This Row],[INSTALLMENT]]=2,Table4[[#This Row],[INSTALLMENT]]=3),2,0)</f>
        <v>0</v>
      </c>
      <c r="G2011" s="1">
        <f>IF(OR(Table4[[#This Row],[INSTALLMENT]]=3),3,0)</f>
        <v>0</v>
      </c>
    </row>
    <row r="2012" spans="1:7">
      <c r="A2012" s="1">
        <v>2370</v>
      </c>
      <c r="B2012" s="1" t="s">
        <v>3423</v>
      </c>
      <c r="C2012" s="1" t="s">
        <v>304</v>
      </c>
      <c r="D2012" s="1">
        <f>COUNTIFS('Raw Entries'!B:B,Table4[[#This Row],[Name]],'Raw Entries'!I:I,Table4[[#This Row],[BOOK No.]])</f>
        <v>3</v>
      </c>
      <c r="E2012" s="1">
        <f t="array" ref="E2012">IF(OR(Table4[[#This Row],[INSTALLMENT]]=1,Table4[[#This Row],[INSTALLMENT]]=2,Table4[[#This Row],[INSTALLMENT]]=3),1,0)</f>
        <v>1</v>
      </c>
      <c r="F2012" s="1">
        <f>IF(OR(Table4[[#This Row],[INSTALLMENT]]=2,Table4[[#This Row],[INSTALLMENT]]=3),2,0)</f>
        <v>2</v>
      </c>
      <c r="G2012" s="1">
        <f>IF(OR(Table4[[#This Row],[INSTALLMENT]]=3),3,0)</f>
        <v>3</v>
      </c>
    </row>
    <row r="2013" spans="1:7">
      <c r="A2013" s="1">
        <v>2371</v>
      </c>
      <c r="B2013" s="1" t="s">
        <v>316</v>
      </c>
      <c r="C2013" s="1" t="s">
        <v>304</v>
      </c>
      <c r="D2013" s="1">
        <f>COUNTIFS('Raw Entries'!B:B,Table4[[#This Row],[Name]],'Raw Entries'!I:I,Table4[[#This Row],[BOOK No.]])</f>
        <v>3</v>
      </c>
      <c r="E2013" s="1">
        <f t="array" ref="E2013">IF(OR(Table4[[#This Row],[INSTALLMENT]]=1,Table4[[#This Row],[INSTALLMENT]]=2,Table4[[#This Row],[INSTALLMENT]]=3),1,0)</f>
        <v>1</v>
      </c>
      <c r="F2013" s="1">
        <f>IF(OR(Table4[[#This Row],[INSTALLMENT]]=2,Table4[[#This Row],[INSTALLMENT]]=3),2,0)</f>
        <v>2</v>
      </c>
      <c r="G2013" s="1">
        <f>IF(OR(Table4[[#This Row],[INSTALLMENT]]=3),3,0)</f>
        <v>3</v>
      </c>
    </row>
    <row r="2014" spans="1:7">
      <c r="A2014" s="1">
        <v>2372</v>
      </c>
      <c r="B2014" s="1" t="s">
        <v>318</v>
      </c>
      <c r="C2014" s="1" t="s">
        <v>304</v>
      </c>
      <c r="D2014" s="1">
        <f>COUNTIFS('Raw Entries'!B:B,Table4[[#This Row],[Name]],'Raw Entries'!I:I,Table4[[#This Row],[BOOK No.]])</f>
        <v>1</v>
      </c>
      <c r="E2014" s="1">
        <f t="array" ref="E2014">IF(OR(Table4[[#This Row],[INSTALLMENT]]=1,Table4[[#This Row],[INSTALLMENT]]=2,Table4[[#This Row],[INSTALLMENT]]=3),1,0)</f>
        <v>1</v>
      </c>
      <c r="F2014" s="1">
        <f>IF(OR(Table4[[#This Row],[INSTALLMENT]]=2,Table4[[#This Row],[INSTALLMENT]]=3),2,0)</f>
        <v>0</v>
      </c>
      <c r="G2014" s="1">
        <f>IF(OR(Table4[[#This Row],[INSTALLMENT]]=3),3,0)</f>
        <v>0</v>
      </c>
    </row>
    <row r="2015" spans="1:7">
      <c r="A2015" s="1">
        <v>2373</v>
      </c>
      <c r="B2015" s="1" t="s">
        <v>3424</v>
      </c>
      <c r="C2015" s="1" t="s">
        <v>304</v>
      </c>
      <c r="D2015" s="1">
        <f>COUNTIFS('Raw Entries'!B:B,Table4[[#This Row],[Name]],'Raw Entries'!I:I,Table4[[#This Row],[BOOK No.]])</f>
        <v>0</v>
      </c>
      <c r="E2015" s="1">
        <f t="array" ref="E2015">IF(OR(Table4[[#This Row],[INSTALLMENT]]=1,Table4[[#This Row],[INSTALLMENT]]=2,Table4[[#This Row],[INSTALLMENT]]=3),1,0)</f>
        <v>0</v>
      </c>
      <c r="F2015" s="1">
        <f>IF(OR(Table4[[#This Row],[INSTALLMENT]]=2,Table4[[#This Row],[INSTALLMENT]]=3),2,0)</f>
        <v>0</v>
      </c>
      <c r="G2015" s="1">
        <f>IF(OR(Table4[[#This Row],[INSTALLMENT]]=3),3,0)</f>
        <v>0</v>
      </c>
    </row>
    <row r="2016" spans="1:7">
      <c r="A2016" s="1">
        <v>2374</v>
      </c>
      <c r="B2016" s="1" t="s">
        <v>3425</v>
      </c>
      <c r="C2016" s="1" t="s">
        <v>304</v>
      </c>
      <c r="D2016" s="1">
        <f>COUNTIFS('Raw Entries'!B:B,Table4[[#This Row],[Name]],'Raw Entries'!I:I,Table4[[#This Row],[BOOK No.]])</f>
        <v>0</v>
      </c>
      <c r="E2016" s="1">
        <f t="array" ref="E2016">IF(OR(Table4[[#This Row],[INSTALLMENT]]=1,Table4[[#This Row],[INSTALLMENT]]=2,Table4[[#This Row],[INSTALLMENT]]=3),1,0)</f>
        <v>0</v>
      </c>
      <c r="F2016" s="1">
        <f>IF(OR(Table4[[#This Row],[INSTALLMENT]]=2,Table4[[#This Row],[INSTALLMENT]]=3),2,0)</f>
        <v>0</v>
      </c>
      <c r="G2016" s="1">
        <f>IF(OR(Table4[[#This Row],[INSTALLMENT]]=3),3,0)</f>
        <v>0</v>
      </c>
    </row>
    <row r="2017" spans="1:7">
      <c r="A2017" s="1">
        <v>2375</v>
      </c>
      <c r="B2017" s="1" t="s">
        <v>3426</v>
      </c>
      <c r="C2017" s="1" t="s">
        <v>304</v>
      </c>
      <c r="D2017" s="1">
        <f>COUNTIFS('Raw Entries'!B:B,Table4[[#This Row],[Name]],'Raw Entries'!I:I,Table4[[#This Row],[BOOK No.]])</f>
        <v>1</v>
      </c>
      <c r="E2017" s="1">
        <f t="array" ref="E2017">IF(OR(Table4[[#This Row],[INSTALLMENT]]=1,Table4[[#This Row],[INSTALLMENT]]=2,Table4[[#This Row],[INSTALLMENT]]=3),1,0)</f>
        <v>1</v>
      </c>
      <c r="F2017" s="1">
        <f>IF(OR(Table4[[#This Row],[INSTALLMENT]]=2,Table4[[#This Row],[INSTALLMENT]]=3),2,0)</f>
        <v>0</v>
      </c>
      <c r="G2017" s="1">
        <f>IF(OR(Table4[[#This Row],[INSTALLMENT]]=3),3,0)</f>
        <v>0</v>
      </c>
    </row>
    <row r="2018" spans="1:7">
      <c r="A2018" s="1">
        <v>2376</v>
      </c>
      <c r="B2018" s="1" t="s">
        <v>319</v>
      </c>
      <c r="C2018" s="1" t="s">
        <v>304</v>
      </c>
      <c r="D2018" s="1">
        <f>COUNTIFS('Raw Entries'!B:B,Table4[[#This Row],[Name]],'Raw Entries'!I:I,Table4[[#This Row],[BOOK No.]])</f>
        <v>3</v>
      </c>
      <c r="E2018" s="1">
        <f t="array" ref="E2018">IF(OR(Table4[[#This Row],[INSTALLMENT]]=1,Table4[[#This Row],[INSTALLMENT]]=2,Table4[[#This Row],[INSTALLMENT]]=3),1,0)</f>
        <v>1</v>
      </c>
      <c r="F2018" s="1">
        <f>IF(OR(Table4[[#This Row],[INSTALLMENT]]=2,Table4[[#This Row],[INSTALLMENT]]=3),2,0)</f>
        <v>2</v>
      </c>
      <c r="G2018" s="1">
        <f>IF(OR(Table4[[#This Row],[INSTALLMENT]]=3),3,0)</f>
        <v>3</v>
      </c>
    </row>
    <row r="2019" spans="1:7">
      <c r="A2019" s="1">
        <v>2377</v>
      </c>
      <c r="B2019" s="1" t="s">
        <v>3427</v>
      </c>
      <c r="C2019" s="1" t="s">
        <v>304</v>
      </c>
      <c r="D2019" s="1">
        <f>COUNTIFS('Raw Entries'!B:B,Table4[[#This Row],[Name]],'Raw Entries'!I:I,Table4[[#This Row],[BOOK No.]])</f>
        <v>0</v>
      </c>
      <c r="E2019" s="1">
        <f t="array" ref="E2019">IF(OR(Table4[[#This Row],[INSTALLMENT]]=1,Table4[[#This Row],[INSTALLMENT]]=2,Table4[[#This Row],[INSTALLMENT]]=3),1,0)</f>
        <v>0</v>
      </c>
      <c r="F2019" s="1">
        <f>IF(OR(Table4[[#This Row],[INSTALLMENT]]=2,Table4[[#This Row],[INSTALLMENT]]=3),2,0)</f>
        <v>0</v>
      </c>
      <c r="G2019" s="1">
        <f>IF(OR(Table4[[#This Row],[INSTALLMENT]]=3),3,0)</f>
        <v>0</v>
      </c>
    </row>
    <row r="2020" spans="1:7">
      <c r="A2020" s="1">
        <v>2378</v>
      </c>
      <c r="B2020" s="1" t="s">
        <v>3428</v>
      </c>
      <c r="C2020" s="1" t="s">
        <v>304</v>
      </c>
      <c r="D2020" s="1">
        <f>COUNTIFS('Raw Entries'!B:B,Table4[[#This Row],[Name]],'Raw Entries'!I:I,Table4[[#This Row],[BOOK No.]])</f>
        <v>0</v>
      </c>
      <c r="E2020" s="1">
        <f t="array" ref="E2020">IF(OR(Table4[[#This Row],[INSTALLMENT]]=1,Table4[[#This Row],[INSTALLMENT]]=2,Table4[[#This Row],[INSTALLMENT]]=3),1,0)</f>
        <v>0</v>
      </c>
      <c r="F2020" s="1">
        <f>IF(OR(Table4[[#This Row],[INSTALLMENT]]=2,Table4[[#This Row],[INSTALLMENT]]=3),2,0)</f>
        <v>0</v>
      </c>
      <c r="G2020" s="1">
        <f>IF(OR(Table4[[#This Row],[INSTALLMENT]]=3),3,0)</f>
        <v>0</v>
      </c>
    </row>
    <row r="2021" spans="1:7">
      <c r="A2021" s="1">
        <v>2379</v>
      </c>
      <c r="B2021" s="1" t="s">
        <v>3429</v>
      </c>
      <c r="C2021" s="1" t="s">
        <v>304</v>
      </c>
      <c r="D2021" s="1">
        <f>COUNTIFS('Raw Entries'!B:B,Table4[[#This Row],[Name]],'Raw Entries'!I:I,Table4[[#This Row],[BOOK No.]])</f>
        <v>0</v>
      </c>
      <c r="E2021" s="1">
        <f t="array" ref="E2021">IF(OR(Table4[[#This Row],[INSTALLMENT]]=1,Table4[[#This Row],[INSTALLMENT]]=2,Table4[[#This Row],[INSTALLMENT]]=3),1,0)</f>
        <v>0</v>
      </c>
      <c r="F2021" s="1">
        <f>IF(OR(Table4[[#This Row],[INSTALLMENT]]=2,Table4[[#This Row],[INSTALLMENT]]=3),2,0)</f>
        <v>0</v>
      </c>
      <c r="G2021" s="1">
        <f>IF(OR(Table4[[#This Row],[INSTALLMENT]]=3),3,0)</f>
        <v>0</v>
      </c>
    </row>
    <row r="2022" spans="1:7">
      <c r="A2022" s="1">
        <v>2380</v>
      </c>
      <c r="B2022" s="1" t="s">
        <v>3430</v>
      </c>
      <c r="C2022" s="1" t="s">
        <v>304</v>
      </c>
      <c r="D2022" s="1">
        <f>COUNTIFS('Raw Entries'!B:B,Table4[[#This Row],[Name]],'Raw Entries'!I:I,Table4[[#This Row],[BOOK No.]])</f>
        <v>0</v>
      </c>
      <c r="E2022" s="1">
        <f t="array" ref="E2022">IF(OR(Table4[[#This Row],[INSTALLMENT]]=1,Table4[[#This Row],[INSTALLMENT]]=2,Table4[[#This Row],[INSTALLMENT]]=3),1,0)</f>
        <v>0</v>
      </c>
      <c r="F2022" s="1">
        <f>IF(OR(Table4[[#This Row],[INSTALLMENT]]=2,Table4[[#This Row],[INSTALLMENT]]=3),2,0)</f>
        <v>0</v>
      </c>
      <c r="G2022" s="1">
        <f>IF(OR(Table4[[#This Row],[INSTALLMENT]]=3),3,0)</f>
        <v>0</v>
      </c>
    </row>
    <row r="2023" spans="1:7">
      <c r="A2023" s="1">
        <v>2381</v>
      </c>
      <c r="B2023" s="1" t="s">
        <v>3431</v>
      </c>
      <c r="C2023" s="1" t="s">
        <v>304</v>
      </c>
      <c r="D2023" s="1">
        <f>COUNTIFS('Raw Entries'!B:B,Table4[[#This Row],[Name]],'Raw Entries'!I:I,Table4[[#This Row],[BOOK No.]])</f>
        <v>0</v>
      </c>
      <c r="E2023" s="1">
        <f t="array" ref="E2023">IF(OR(Table4[[#This Row],[INSTALLMENT]]=1,Table4[[#This Row],[INSTALLMENT]]=2,Table4[[#This Row],[INSTALLMENT]]=3),1,0)</f>
        <v>0</v>
      </c>
      <c r="F2023" s="1">
        <f>IF(OR(Table4[[#This Row],[INSTALLMENT]]=2,Table4[[#This Row],[INSTALLMENT]]=3),2,0)</f>
        <v>0</v>
      </c>
      <c r="G2023" s="1">
        <f>IF(OR(Table4[[#This Row],[INSTALLMENT]]=3),3,0)</f>
        <v>0</v>
      </c>
    </row>
    <row r="2024" spans="1:7">
      <c r="A2024" s="1">
        <v>2382</v>
      </c>
      <c r="B2024" s="1" t="s">
        <v>3432</v>
      </c>
      <c r="C2024" s="1" t="s">
        <v>304</v>
      </c>
      <c r="D2024" s="1">
        <f>COUNTIFS('Raw Entries'!B:B,Table4[[#This Row],[Name]],'Raw Entries'!I:I,Table4[[#This Row],[BOOK No.]])</f>
        <v>0</v>
      </c>
      <c r="E2024" s="1">
        <f t="array" ref="E2024">IF(OR(Table4[[#This Row],[INSTALLMENT]]=1,Table4[[#This Row],[INSTALLMENT]]=2,Table4[[#This Row],[INSTALLMENT]]=3),1,0)</f>
        <v>0</v>
      </c>
      <c r="F2024" s="1">
        <f>IF(OR(Table4[[#This Row],[INSTALLMENT]]=2,Table4[[#This Row],[INSTALLMENT]]=3),2,0)</f>
        <v>0</v>
      </c>
      <c r="G2024" s="1">
        <f>IF(OR(Table4[[#This Row],[INSTALLMENT]]=3),3,0)</f>
        <v>0</v>
      </c>
    </row>
    <row r="2025" spans="1:7">
      <c r="A2025" s="1">
        <v>2383</v>
      </c>
      <c r="B2025" s="1" t="s">
        <v>3433</v>
      </c>
      <c r="C2025" s="1" t="s">
        <v>304</v>
      </c>
      <c r="D2025" s="1">
        <f>COUNTIFS('Raw Entries'!B:B,Table4[[#This Row],[Name]],'Raw Entries'!I:I,Table4[[#This Row],[BOOK No.]])</f>
        <v>0</v>
      </c>
      <c r="E2025" s="1">
        <f t="array" ref="E2025">IF(OR(Table4[[#This Row],[INSTALLMENT]]=1,Table4[[#This Row],[INSTALLMENT]]=2,Table4[[#This Row],[INSTALLMENT]]=3),1,0)</f>
        <v>0</v>
      </c>
      <c r="F2025" s="1">
        <f>IF(OR(Table4[[#This Row],[INSTALLMENT]]=2,Table4[[#This Row],[INSTALLMENT]]=3),2,0)</f>
        <v>0</v>
      </c>
      <c r="G2025" s="1">
        <f>IF(OR(Table4[[#This Row],[INSTALLMENT]]=3),3,0)</f>
        <v>0</v>
      </c>
    </row>
    <row r="2026" spans="1:7">
      <c r="A2026" s="1">
        <v>2384</v>
      </c>
      <c r="B2026" s="1" t="s">
        <v>312</v>
      </c>
      <c r="C2026" s="1" t="s">
        <v>304</v>
      </c>
      <c r="D2026" s="1">
        <f>COUNTIFS('Raw Entries'!B:B,Table4[[#This Row],[Name]],'Raw Entries'!I:I,Table4[[#This Row],[BOOK No.]])</f>
        <v>1</v>
      </c>
      <c r="E2026" s="1">
        <f t="array" ref="E2026">IF(OR(Table4[[#This Row],[INSTALLMENT]]=1,Table4[[#This Row],[INSTALLMENT]]=2,Table4[[#This Row],[INSTALLMENT]]=3),1,0)</f>
        <v>1</v>
      </c>
      <c r="F2026" s="1">
        <f>IF(OR(Table4[[#This Row],[INSTALLMENT]]=2,Table4[[#This Row],[INSTALLMENT]]=3),2,0)</f>
        <v>0</v>
      </c>
      <c r="G2026" s="1">
        <f>IF(OR(Table4[[#This Row],[INSTALLMENT]]=3),3,0)</f>
        <v>0</v>
      </c>
    </row>
    <row r="2027" spans="1:7">
      <c r="A2027" s="1">
        <v>2385</v>
      </c>
      <c r="B2027" s="1" t="s">
        <v>3434</v>
      </c>
      <c r="C2027" s="1" t="s">
        <v>304</v>
      </c>
      <c r="D2027" s="1">
        <f>COUNTIFS('Raw Entries'!B:B,Table4[[#This Row],[Name]],'Raw Entries'!I:I,Table4[[#This Row],[BOOK No.]])</f>
        <v>0</v>
      </c>
      <c r="E2027" s="1">
        <f t="array" ref="E2027">IF(OR(Table4[[#This Row],[INSTALLMENT]]=1,Table4[[#This Row],[INSTALLMENT]]=2,Table4[[#This Row],[INSTALLMENT]]=3),1,0)</f>
        <v>0</v>
      </c>
      <c r="F2027" s="1">
        <f>IF(OR(Table4[[#This Row],[INSTALLMENT]]=2,Table4[[#This Row],[INSTALLMENT]]=3),2,0)</f>
        <v>0</v>
      </c>
      <c r="G2027" s="1">
        <f>IF(OR(Table4[[#This Row],[INSTALLMENT]]=3),3,0)</f>
        <v>0</v>
      </c>
    </row>
    <row r="2028" spans="1:7">
      <c r="A2028" s="1">
        <v>2386</v>
      </c>
      <c r="B2028" s="1" t="s">
        <v>3435</v>
      </c>
      <c r="C2028" s="1" t="s">
        <v>304</v>
      </c>
      <c r="D2028" s="1">
        <f>COUNTIFS('Raw Entries'!B:B,Table4[[#This Row],[Name]],'Raw Entries'!I:I,Table4[[#This Row],[BOOK No.]])</f>
        <v>2</v>
      </c>
      <c r="E2028" s="1">
        <f t="array" ref="E2028">IF(OR(Table4[[#This Row],[INSTALLMENT]]=1,Table4[[#This Row],[INSTALLMENT]]=2,Table4[[#This Row],[INSTALLMENT]]=3),1,0)</f>
        <v>1</v>
      </c>
      <c r="F2028" s="1">
        <f>IF(OR(Table4[[#This Row],[INSTALLMENT]]=2,Table4[[#This Row],[INSTALLMENT]]=3),2,0)</f>
        <v>2</v>
      </c>
      <c r="G2028" s="1">
        <f>IF(OR(Table4[[#This Row],[INSTALLMENT]]=3),3,0)</f>
        <v>0</v>
      </c>
    </row>
    <row r="2029" spans="1:7">
      <c r="A2029" s="1">
        <v>2387</v>
      </c>
      <c r="B2029" s="1" t="s">
        <v>3436</v>
      </c>
      <c r="C2029" s="1" t="s">
        <v>304</v>
      </c>
      <c r="D2029" s="1">
        <f>COUNTIFS('Raw Entries'!B:B,Table4[[#This Row],[Name]],'Raw Entries'!I:I,Table4[[#This Row],[BOOK No.]])</f>
        <v>1</v>
      </c>
      <c r="E2029" s="1">
        <f t="array" ref="E2029">IF(OR(Table4[[#This Row],[INSTALLMENT]]=1,Table4[[#This Row],[INSTALLMENT]]=2,Table4[[#This Row],[INSTALLMENT]]=3),1,0)</f>
        <v>1</v>
      </c>
      <c r="F2029" s="1">
        <f>IF(OR(Table4[[#This Row],[INSTALLMENT]]=2,Table4[[#This Row],[INSTALLMENT]]=3),2,0)</f>
        <v>0</v>
      </c>
      <c r="G2029" s="1">
        <f>IF(OR(Table4[[#This Row],[INSTALLMENT]]=3),3,0)</f>
        <v>0</v>
      </c>
    </row>
    <row r="2030" spans="1:7">
      <c r="A2030" s="1">
        <v>2388</v>
      </c>
      <c r="B2030" s="1" t="s">
        <v>3437</v>
      </c>
      <c r="C2030" s="1" t="s">
        <v>304</v>
      </c>
      <c r="D2030" s="1">
        <f>COUNTIFS('Raw Entries'!B:B,Table4[[#This Row],[Name]],'Raw Entries'!I:I,Table4[[#This Row],[BOOK No.]])</f>
        <v>0</v>
      </c>
      <c r="E2030" s="1">
        <f t="array" ref="E2030">IF(OR(Table4[[#This Row],[INSTALLMENT]]=1,Table4[[#This Row],[INSTALLMENT]]=2,Table4[[#This Row],[INSTALLMENT]]=3),1,0)</f>
        <v>0</v>
      </c>
      <c r="F2030" s="1">
        <f>IF(OR(Table4[[#This Row],[INSTALLMENT]]=2,Table4[[#This Row],[INSTALLMENT]]=3),2,0)</f>
        <v>0</v>
      </c>
      <c r="G2030" s="1">
        <f>IF(OR(Table4[[#This Row],[INSTALLMENT]]=3),3,0)</f>
        <v>0</v>
      </c>
    </row>
    <row r="2031" spans="1:7">
      <c r="A2031" s="1">
        <v>2389</v>
      </c>
      <c r="B2031" s="1" t="s">
        <v>3438</v>
      </c>
      <c r="C2031" s="1" t="s">
        <v>304</v>
      </c>
      <c r="D2031" s="1">
        <f>COUNTIFS('Raw Entries'!B:B,Table4[[#This Row],[Name]],'Raw Entries'!I:I,Table4[[#This Row],[BOOK No.]])</f>
        <v>0</v>
      </c>
      <c r="E2031" s="1">
        <f t="array" ref="E2031">IF(OR(Table4[[#This Row],[INSTALLMENT]]=1,Table4[[#This Row],[INSTALLMENT]]=2,Table4[[#This Row],[INSTALLMENT]]=3),1,0)</f>
        <v>0</v>
      </c>
      <c r="F2031" s="1">
        <f>IF(OR(Table4[[#This Row],[INSTALLMENT]]=2,Table4[[#This Row],[INSTALLMENT]]=3),2,0)</f>
        <v>0</v>
      </c>
      <c r="G2031" s="1">
        <f>IF(OR(Table4[[#This Row],[INSTALLMENT]]=3),3,0)</f>
        <v>0</v>
      </c>
    </row>
    <row r="2032" spans="1:7">
      <c r="A2032" s="1">
        <v>2390</v>
      </c>
      <c r="B2032" s="1" t="s">
        <v>3439</v>
      </c>
      <c r="C2032" s="1" t="s">
        <v>304</v>
      </c>
      <c r="D2032" s="1">
        <f>COUNTIFS('Raw Entries'!B:B,Table4[[#This Row],[Name]],'Raw Entries'!I:I,Table4[[#This Row],[BOOK No.]])</f>
        <v>0</v>
      </c>
      <c r="E2032" s="1">
        <f t="array" ref="E2032">IF(OR(Table4[[#This Row],[INSTALLMENT]]=1,Table4[[#This Row],[INSTALLMENT]]=2,Table4[[#This Row],[INSTALLMENT]]=3),1,0)</f>
        <v>0</v>
      </c>
      <c r="F2032" s="1">
        <f>IF(OR(Table4[[#This Row],[INSTALLMENT]]=2,Table4[[#This Row],[INSTALLMENT]]=3),2,0)</f>
        <v>0</v>
      </c>
      <c r="G2032" s="1">
        <f>IF(OR(Table4[[#This Row],[INSTALLMENT]]=3),3,0)</f>
        <v>0</v>
      </c>
    </row>
    <row r="2033" spans="1:7">
      <c r="A2033" s="1">
        <v>2391</v>
      </c>
      <c r="B2033" s="1" t="s">
        <v>3440</v>
      </c>
      <c r="C2033" s="1" t="s">
        <v>304</v>
      </c>
      <c r="D2033" s="1">
        <f>COUNTIFS('Raw Entries'!B:B,Table4[[#This Row],[Name]],'Raw Entries'!I:I,Table4[[#This Row],[BOOK No.]])</f>
        <v>0</v>
      </c>
      <c r="E2033" s="1">
        <f t="array" ref="E2033">IF(OR(Table4[[#This Row],[INSTALLMENT]]=1,Table4[[#This Row],[INSTALLMENT]]=2,Table4[[#This Row],[INSTALLMENT]]=3),1,0)</f>
        <v>0</v>
      </c>
      <c r="F2033" s="1">
        <f>IF(OR(Table4[[#This Row],[INSTALLMENT]]=2,Table4[[#This Row],[INSTALLMENT]]=3),2,0)</f>
        <v>0</v>
      </c>
      <c r="G2033" s="1">
        <f>IF(OR(Table4[[#This Row],[INSTALLMENT]]=3),3,0)</f>
        <v>0</v>
      </c>
    </row>
    <row r="2034" spans="1:7">
      <c r="A2034" s="1">
        <v>2392</v>
      </c>
      <c r="B2034" s="1" t="s">
        <v>3441</v>
      </c>
      <c r="C2034" s="1" t="s">
        <v>304</v>
      </c>
      <c r="D2034" s="1">
        <f>COUNTIFS('Raw Entries'!B:B,Table4[[#This Row],[Name]],'Raw Entries'!I:I,Table4[[#This Row],[BOOK No.]])</f>
        <v>0</v>
      </c>
      <c r="E2034" s="1">
        <f t="array" ref="E2034">IF(OR(Table4[[#This Row],[INSTALLMENT]]=1,Table4[[#This Row],[INSTALLMENT]]=2,Table4[[#This Row],[INSTALLMENT]]=3),1,0)</f>
        <v>0</v>
      </c>
      <c r="F2034" s="1">
        <f>IF(OR(Table4[[#This Row],[INSTALLMENT]]=2,Table4[[#This Row],[INSTALLMENT]]=3),2,0)</f>
        <v>0</v>
      </c>
      <c r="G2034" s="1">
        <f>IF(OR(Table4[[#This Row],[INSTALLMENT]]=3),3,0)</f>
        <v>0</v>
      </c>
    </row>
    <row r="2035" spans="1:7">
      <c r="A2035" s="1">
        <v>2393</v>
      </c>
      <c r="B2035" s="1" t="s">
        <v>3442</v>
      </c>
      <c r="C2035" s="1" t="s">
        <v>304</v>
      </c>
      <c r="D2035" s="1">
        <f>COUNTIFS('Raw Entries'!B:B,Table4[[#This Row],[Name]],'Raw Entries'!I:I,Table4[[#This Row],[BOOK No.]])</f>
        <v>0</v>
      </c>
      <c r="E2035" s="1">
        <f t="array" ref="E2035">IF(OR(Table4[[#This Row],[INSTALLMENT]]=1,Table4[[#This Row],[INSTALLMENT]]=2,Table4[[#This Row],[INSTALLMENT]]=3),1,0)</f>
        <v>0</v>
      </c>
      <c r="F2035" s="1">
        <f>IF(OR(Table4[[#This Row],[INSTALLMENT]]=2,Table4[[#This Row],[INSTALLMENT]]=3),2,0)</f>
        <v>0</v>
      </c>
      <c r="G2035" s="1">
        <f>IF(OR(Table4[[#This Row],[INSTALLMENT]]=3),3,0)</f>
        <v>0</v>
      </c>
    </row>
    <row r="2036" spans="1:7">
      <c r="A2036" s="1">
        <v>2394</v>
      </c>
      <c r="B2036" s="1" t="s">
        <v>3443</v>
      </c>
      <c r="C2036" s="1" t="s">
        <v>304</v>
      </c>
      <c r="D2036" s="1">
        <f>COUNTIFS('Raw Entries'!B:B,Table4[[#This Row],[Name]],'Raw Entries'!I:I,Table4[[#This Row],[BOOK No.]])</f>
        <v>0</v>
      </c>
      <c r="E2036" s="1">
        <f t="array" ref="E2036">IF(OR(Table4[[#This Row],[INSTALLMENT]]=1,Table4[[#This Row],[INSTALLMENT]]=2,Table4[[#This Row],[INSTALLMENT]]=3),1,0)</f>
        <v>0</v>
      </c>
      <c r="F2036" s="1">
        <f>IF(OR(Table4[[#This Row],[INSTALLMENT]]=2,Table4[[#This Row],[INSTALLMENT]]=3),2,0)</f>
        <v>0</v>
      </c>
      <c r="G2036" s="1">
        <f>IF(OR(Table4[[#This Row],[INSTALLMENT]]=3),3,0)</f>
        <v>0</v>
      </c>
    </row>
    <row r="2037" spans="1:7">
      <c r="A2037" s="1">
        <v>2395</v>
      </c>
      <c r="B2037" s="1" t="s">
        <v>3444</v>
      </c>
      <c r="C2037" s="1" t="s">
        <v>320</v>
      </c>
      <c r="D2037" s="1">
        <f>COUNTIFS('Raw Entries'!B:B,Table4[[#This Row],[Name]],'Raw Entries'!I:I,Table4[[#This Row],[BOOK No.]])</f>
        <v>0</v>
      </c>
      <c r="E2037" s="1">
        <f t="array" ref="E2037">IF(OR(Table4[[#This Row],[INSTALLMENT]]=1,Table4[[#This Row],[INSTALLMENT]]=2,Table4[[#This Row],[INSTALLMENT]]=3),1,0)</f>
        <v>0</v>
      </c>
      <c r="F2037" s="1">
        <f>IF(OR(Table4[[#This Row],[INSTALLMENT]]=2,Table4[[#This Row],[INSTALLMENT]]=3),2,0)</f>
        <v>0</v>
      </c>
      <c r="G2037" s="1">
        <f>IF(OR(Table4[[#This Row],[INSTALLMENT]]=3),3,0)</f>
        <v>0</v>
      </c>
    </row>
    <row r="2038" spans="1:7">
      <c r="A2038" s="1">
        <v>2396</v>
      </c>
      <c r="B2038" s="1" t="s">
        <v>3445</v>
      </c>
      <c r="C2038" s="1" t="s">
        <v>320</v>
      </c>
      <c r="D2038" s="1">
        <f>COUNTIFS('Raw Entries'!B:B,Table4[[#This Row],[Name]],'Raw Entries'!I:I,Table4[[#This Row],[BOOK No.]])</f>
        <v>0</v>
      </c>
      <c r="E2038" s="1">
        <f t="array" ref="E2038">IF(OR(Table4[[#This Row],[INSTALLMENT]]=1,Table4[[#This Row],[INSTALLMENT]]=2,Table4[[#This Row],[INSTALLMENT]]=3),1,0)</f>
        <v>0</v>
      </c>
      <c r="F2038" s="1">
        <f>IF(OR(Table4[[#This Row],[INSTALLMENT]]=2,Table4[[#This Row],[INSTALLMENT]]=3),2,0)</f>
        <v>0</v>
      </c>
      <c r="G2038" s="1">
        <f>IF(OR(Table4[[#This Row],[INSTALLMENT]]=3),3,0)</f>
        <v>0</v>
      </c>
    </row>
    <row r="2039" spans="1:7">
      <c r="A2039" s="1">
        <v>2397</v>
      </c>
      <c r="B2039" s="1" t="s">
        <v>3446</v>
      </c>
      <c r="C2039" s="1" t="s">
        <v>320</v>
      </c>
      <c r="D2039" s="1">
        <f>COUNTIFS('Raw Entries'!B:B,Table4[[#This Row],[Name]],'Raw Entries'!I:I,Table4[[#This Row],[BOOK No.]])</f>
        <v>0</v>
      </c>
      <c r="E2039" s="1">
        <f t="array" ref="E2039">IF(OR(Table4[[#This Row],[INSTALLMENT]]=1,Table4[[#This Row],[INSTALLMENT]]=2,Table4[[#This Row],[INSTALLMENT]]=3),1,0)</f>
        <v>0</v>
      </c>
      <c r="F2039" s="1">
        <f>IF(OR(Table4[[#This Row],[INSTALLMENT]]=2,Table4[[#This Row],[INSTALLMENT]]=3),2,0)</f>
        <v>0</v>
      </c>
      <c r="G2039" s="1">
        <f>IF(OR(Table4[[#This Row],[INSTALLMENT]]=3),3,0)</f>
        <v>0</v>
      </c>
    </row>
    <row r="2040" spans="1:7">
      <c r="A2040" s="1">
        <v>2398</v>
      </c>
      <c r="B2040" s="1" t="s">
        <v>3447</v>
      </c>
      <c r="C2040" s="1" t="s">
        <v>320</v>
      </c>
      <c r="D2040" s="1">
        <f>COUNTIFS('Raw Entries'!B:B,Table4[[#This Row],[Name]],'Raw Entries'!I:I,Table4[[#This Row],[BOOK No.]])</f>
        <v>3</v>
      </c>
      <c r="E2040" s="1">
        <f t="array" ref="E2040">IF(OR(Table4[[#This Row],[INSTALLMENT]]=1,Table4[[#This Row],[INSTALLMENT]]=2,Table4[[#This Row],[INSTALLMENT]]=3),1,0)</f>
        <v>1</v>
      </c>
      <c r="F2040" s="1">
        <f>IF(OR(Table4[[#This Row],[INSTALLMENT]]=2,Table4[[#This Row],[INSTALLMENT]]=3),2,0)</f>
        <v>2</v>
      </c>
      <c r="G2040" s="1">
        <f>IF(OR(Table4[[#This Row],[INSTALLMENT]]=3),3,0)</f>
        <v>3</v>
      </c>
    </row>
    <row r="2041" spans="1:7">
      <c r="A2041" s="1">
        <v>2399</v>
      </c>
      <c r="B2041" s="1" t="s">
        <v>321</v>
      </c>
      <c r="C2041" s="1" t="s">
        <v>320</v>
      </c>
      <c r="D2041" s="1">
        <f>COUNTIFS('Raw Entries'!B:B,Table4[[#This Row],[Name]],'Raw Entries'!I:I,Table4[[#This Row],[BOOK No.]])</f>
        <v>3</v>
      </c>
      <c r="E2041" s="1">
        <f t="array" ref="E2041">IF(OR(Table4[[#This Row],[INSTALLMENT]]=1,Table4[[#This Row],[INSTALLMENT]]=2,Table4[[#This Row],[INSTALLMENT]]=3),1,0)</f>
        <v>1</v>
      </c>
      <c r="F2041" s="1">
        <f>IF(OR(Table4[[#This Row],[INSTALLMENT]]=2,Table4[[#This Row],[INSTALLMENT]]=3),2,0)</f>
        <v>2</v>
      </c>
      <c r="G2041" s="1">
        <f>IF(OR(Table4[[#This Row],[INSTALLMENT]]=3),3,0)</f>
        <v>3</v>
      </c>
    </row>
    <row r="2042" spans="1:7">
      <c r="A2042" s="1">
        <v>2400</v>
      </c>
      <c r="B2042" s="1" t="s">
        <v>3448</v>
      </c>
      <c r="C2042" s="1" t="s">
        <v>320</v>
      </c>
      <c r="D2042" s="1">
        <f>COUNTIFS('Raw Entries'!B:B,Table4[[#This Row],[Name]],'Raw Entries'!I:I,Table4[[#This Row],[BOOK No.]])</f>
        <v>0</v>
      </c>
      <c r="E2042" s="1">
        <f t="array" ref="E2042">IF(OR(Table4[[#This Row],[INSTALLMENT]]=1,Table4[[#This Row],[INSTALLMENT]]=2,Table4[[#This Row],[INSTALLMENT]]=3),1,0)</f>
        <v>0</v>
      </c>
      <c r="F2042" s="1">
        <f>IF(OR(Table4[[#This Row],[INSTALLMENT]]=2,Table4[[#This Row],[INSTALLMENT]]=3),2,0)</f>
        <v>0</v>
      </c>
      <c r="G2042" s="1">
        <f>IF(OR(Table4[[#This Row],[INSTALLMENT]]=3),3,0)</f>
        <v>0</v>
      </c>
    </row>
    <row r="2043" spans="1:7">
      <c r="A2043" s="1">
        <v>2401</v>
      </c>
      <c r="B2043" s="1" t="s">
        <v>3449</v>
      </c>
      <c r="C2043" s="1" t="s">
        <v>320</v>
      </c>
      <c r="D2043" s="1">
        <f>COUNTIFS('Raw Entries'!B:B,Table4[[#This Row],[Name]],'Raw Entries'!I:I,Table4[[#This Row],[BOOK No.]])</f>
        <v>0</v>
      </c>
      <c r="E2043" s="1">
        <f t="array" ref="E2043">IF(OR(Table4[[#This Row],[INSTALLMENT]]=1,Table4[[#This Row],[INSTALLMENT]]=2,Table4[[#This Row],[INSTALLMENT]]=3),1,0)</f>
        <v>0</v>
      </c>
      <c r="F2043" s="1">
        <f>IF(OR(Table4[[#This Row],[INSTALLMENT]]=2,Table4[[#This Row],[INSTALLMENT]]=3),2,0)</f>
        <v>0</v>
      </c>
      <c r="G2043" s="1">
        <f>IF(OR(Table4[[#This Row],[INSTALLMENT]]=3),3,0)</f>
        <v>0</v>
      </c>
    </row>
    <row r="2044" spans="1:7">
      <c r="A2044" s="1">
        <v>2402</v>
      </c>
      <c r="B2044" s="1" t="s">
        <v>3450</v>
      </c>
      <c r="C2044" s="1" t="s">
        <v>320</v>
      </c>
      <c r="D2044" s="1">
        <f>COUNTIFS('Raw Entries'!B:B,Table4[[#This Row],[Name]],'Raw Entries'!I:I,Table4[[#This Row],[BOOK No.]])</f>
        <v>0</v>
      </c>
      <c r="E2044" s="1">
        <f t="array" ref="E2044">IF(OR(Table4[[#This Row],[INSTALLMENT]]=1,Table4[[#This Row],[INSTALLMENT]]=2,Table4[[#This Row],[INSTALLMENT]]=3),1,0)</f>
        <v>0</v>
      </c>
      <c r="F2044" s="1">
        <f>IF(OR(Table4[[#This Row],[INSTALLMENT]]=2,Table4[[#This Row],[INSTALLMENT]]=3),2,0)</f>
        <v>0</v>
      </c>
      <c r="G2044" s="1">
        <f>IF(OR(Table4[[#This Row],[INSTALLMENT]]=3),3,0)</f>
        <v>0</v>
      </c>
    </row>
    <row r="2045" spans="1:7">
      <c r="A2045" s="1">
        <v>2403</v>
      </c>
      <c r="B2045" s="1" t="s">
        <v>3451</v>
      </c>
      <c r="C2045" s="1" t="s">
        <v>320</v>
      </c>
      <c r="D2045" s="1">
        <f>COUNTIFS('Raw Entries'!B:B,Table4[[#This Row],[Name]],'Raw Entries'!I:I,Table4[[#This Row],[BOOK No.]])</f>
        <v>0</v>
      </c>
      <c r="E2045" s="1">
        <f t="array" ref="E2045">IF(OR(Table4[[#This Row],[INSTALLMENT]]=1,Table4[[#This Row],[INSTALLMENT]]=2,Table4[[#This Row],[INSTALLMENT]]=3),1,0)</f>
        <v>0</v>
      </c>
      <c r="F2045" s="1">
        <f>IF(OR(Table4[[#This Row],[INSTALLMENT]]=2,Table4[[#This Row],[INSTALLMENT]]=3),2,0)</f>
        <v>0</v>
      </c>
      <c r="G2045" s="1">
        <f>IF(OR(Table4[[#This Row],[INSTALLMENT]]=3),3,0)</f>
        <v>0</v>
      </c>
    </row>
    <row r="2046" spans="1:7">
      <c r="A2046" s="1">
        <v>2404</v>
      </c>
      <c r="B2046" s="1" t="s">
        <v>3452</v>
      </c>
      <c r="C2046" s="1" t="s">
        <v>320</v>
      </c>
      <c r="D2046" s="1">
        <f>COUNTIFS('Raw Entries'!B:B,Table4[[#This Row],[Name]],'Raw Entries'!I:I,Table4[[#This Row],[BOOK No.]])</f>
        <v>0</v>
      </c>
      <c r="E2046" s="1">
        <f t="array" ref="E2046">IF(OR(Table4[[#This Row],[INSTALLMENT]]=1,Table4[[#This Row],[INSTALLMENT]]=2,Table4[[#This Row],[INSTALLMENT]]=3),1,0)</f>
        <v>0</v>
      </c>
      <c r="F2046" s="1">
        <f>IF(OR(Table4[[#This Row],[INSTALLMENT]]=2,Table4[[#This Row],[INSTALLMENT]]=3),2,0)</f>
        <v>0</v>
      </c>
      <c r="G2046" s="1">
        <f>IF(OR(Table4[[#This Row],[INSTALLMENT]]=3),3,0)</f>
        <v>0</v>
      </c>
    </row>
    <row r="2047" spans="1:7">
      <c r="A2047" s="1">
        <v>2405</v>
      </c>
      <c r="B2047" s="1" t="s">
        <v>3453</v>
      </c>
      <c r="C2047" s="1" t="s">
        <v>320</v>
      </c>
      <c r="D2047" s="1">
        <f>COUNTIFS('Raw Entries'!B:B,Table4[[#This Row],[Name]],'Raw Entries'!I:I,Table4[[#This Row],[BOOK No.]])</f>
        <v>0</v>
      </c>
      <c r="E2047" s="1">
        <f t="array" ref="E2047">IF(OR(Table4[[#This Row],[INSTALLMENT]]=1,Table4[[#This Row],[INSTALLMENT]]=2,Table4[[#This Row],[INSTALLMENT]]=3),1,0)</f>
        <v>0</v>
      </c>
      <c r="F2047" s="1">
        <f>IF(OR(Table4[[#This Row],[INSTALLMENT]]=2,Table4[[#This Row],[INSTALLMENT]]=3),2,0)</f>
        <v>0</v>
      </c>
      <c r="G2047" s="1">
        <f>IF(OR(Table4[[#This Row],[INSTALLMENT]]=3),3,0)</f>
        <v>0</v>
      </c>
    </row>
    <row r="2048" spans="1:7">
      <c r="A2048" s="1">
        <v>2406</v>
      </c>
      <c r="B2048" s="1" t="s">
        <v>3454</v>
      </c>
      <c r="C2048" s="1" t="s">
        <v>320</v>
      </c>
      <c r="D2048" s="1">
        <f>COUNTIFS('Raw Entries'!B:B,Table4[[#This Row],[Name]],'Raw Entries'!I:I,Table4[[#This Row],[BOOK No.]])</f>
        <v>0</v>
      </c>
      <c r="E2048" s="1">
        <f t="array" ref="E2048">IF(OR(Table4[[#This Row],[INSTALLMENT]]=1,Table4[[#This Row],[INSTALLMENT]]=2,Table4[[#This Row],[INSTALLMENT]]=3),1,0)</f>
        <v>0</v>
      </c>
      <c r="F2048" s="1">
        <f>IF(OR(Table4[[#This Row],[INSTALLMENT]]=2,Table4[[#This Row],[INSTALLMENT]]=3),2,0)</f>
        <v>0</v>
      </c>
      <c r="G2048" s="1">
        <f>IF(OR(Table4[[#This Row],[INSTALLMENT]]=3),3,0)</f>
        <v>0</v>
      </c>
    </row>
    <row r="2049" spans="1:7">
      <c r="A2049" s="1">
        <v>2407</v>
      </c>
      <c r="B2049" s="1" t="s">
        <v>3455</v>
      </c>
      <c r="C2049" s="1" t="s">
        <v>320</v>
      </c>
      <c r="D2049" s="1">
        <f>COUNTIFS('Raw Entries'!B:B,Table4[[#This Row],[Name]],'Raw Entries'!I:I,Table4[[#This Row],[BOOK No.]])</f>
        <v>0</v>
      </c>
      <c r="E2049" s="1">
        <f t="array" ref="E2049">IF(OR(Table4[[#This Row],[INSTALLMENT]]=1,Table4[[#This Row],[INSTALLMENT]]=2,Table4[[#This Row],[INSTALLMENT]]=3),1,0)</f>
        <v>0</v>
      </c>
      <c r="F2049" s="1">
        <f>IF(OR(Table4[[#This Row],[INSTALLMENT]]=2,Table4[[#This Row],[INSTALLMENT]]=3),2,0)</f>
        <v>0</v>
      </c>
      <c r="G2049" s="1">
        <f>IF(OR(Table4[[#This Row],[INSTALLMENT]]=3),3,0)</f>
        <v>0</v>
      </c>
    </row>
    <row r="2050" spans="1:7">
      <c r="A2050" s="1">
        <v>2408</v>
      </c>
      <c r="B2050" s="1" t="s">
        <v>3456</v>
      </c>
      <c r="C2050" s="1" t="s">
        <v>320</v>
      </c>
      <c r="D2050" s="1">
        <f>COUNTIFS('Raw Entries'!B:B,Table4[[#This Row],[Name]],'Raw Entries'!I:I,Table4[[#This Row],[BOOK No.]])</f>
        <v>0</v>
      </c>
      <c r="E2050" s="1">
        <f t="array" ref="E2050">IF(OR(Table4[[#This Row],[INSTALLMENT]]=1,Table4[[#This Row],[INSTALLMENT]]=2,Table4[[#This Row],[INSTALLMENT]]=3),1,0)</f>
        <v>0</v>
      </c>
      <c r="F2050" s="1">
        <f>IF(OR(Table4[[#This Row],[INSTALLMENT]]=2,Table4[[#This Row],[INSTALLMENT]]=3),2,0)</f>
        <v>0</v>
      </c>
      <c r="G2050" s="1">
        <f>IF(OR(Table4[[#This Row],[INSTALLMENT]]=3),3,0)</f>
        <v>0</v>
      </c>
    </row>
    <row r="2051" spans="1:7">
      <c r="A2051" s="1">
        <v>2409</v>
      </c>
      <c r="B2051" s="1" t="s">
        <v>3457</v>
      </c>
      <c r="C2051" s="1" t="s">
        <v>320</v>
      </c>
      <c r="D2051" s="1">
        <f>COUNTIFS('Raw Entries'!B:B,Table4[[#This Row],[Name]],'Raw Entries'!I:I,Table4[[#This Row],[BOOK No.]])</f>
        <v>1</v>
      </c>
      <c r="E2051" s="1">
        <f t="array" ref="E2051">IF(OR(Table4[[#This Row],[INSTALLMENT]]=1,Table4[[#This Row],[INSTALLMENT]]=2,Table4[[#This Row],[INSTALLMENT]]=3),1,0)</f>
        <v>1</v>
      </c>
      <c r="F2051" s="1">
        <f>IF(OR(Table4[[#This Row],[INSTALLMENT]]=2,Table4[[#This Row],[INSTALLMENT]]=3),2,0)</f>
        <v>0</v>
      </c>
      <c r="G2051" s="1">
        <f>IF(OR(Table4[[#This Row],[INSTALLMENT]]=3),3,0)</f>
        <v>0</v>
      </c>
    </row>
    <row r="2052" spans="1:7">
      <c r="A2052" s="1">
        <v>2410</v>
      </c>
      <c r="B2052" s="1" t="s">
        <v>3458</v>
      </c>
      <c r="C2052" s="1" t="s">
        <v>320</v>
      </c>
      <c r="D2052" s="1">
        <f>COUNTIFS('Raw Entries'!B:B,Table4[[#This Row],[Name]],'Raw Entries'!I:I,Table4[[#This Row],[BOOK No.]])</f>
        <v>0</v>
      </c>
      <c r="E2052" s="1">
        <f t="array" ref="E2052">IF(OR(Table4[[#This Row],[INSTALLMENT]]=1,Table4[[#This Row],[INSTALLMENT]]=2,Table4[[#This Row],[INSTALLMENT]]=3),1,0)</f>
        <v>0</v>
      </c>
      <c r="F2052" s="1">
        <f>IF(OR(Table4[[#This Row],[INSTALLMENT]]=2,Table4[[#This Row],[INSTALLMENT]]=3),2,0)</f>
        <v>0</v>
      </c>
      <c r="G2052" s="1">
        <f>IF(OR(Table4[[#This Row],[INSTALLMENT]]=3),3,0)</f>
        <v>0</v>
      </c>
    </row>
    <row r="2053" spans="1:7">
      <c r="A2053" s="1">
        <v>2411</v>
      </c>
      <c r="B2053" s="1" t="s">
        <v>3459</v>
      </c>
      <c r="C2053" s="1" t="s">
        <v>320</v>
      </c>
      <c r="D2053" s="1">
        <f>COUNTIFS('Raw Entries'!B:B,Table4[[#This Row],[Name]],'Raw Entries'!I:I,Table4[[#This Row],[BOOK No.]])</f>
        <v>0</v>
      </c>
      <c r="E2053" s="1">
        <f t="array" ref="E2053">IF(OR(Table4[[#This Row],[INSTALLMENT]]=1,Table4[[#This Row],[INSTALLMENT]]=2,Table4[[#This Row],[INSTALLMENT]]=3),1,0)</f>
        <v>0</v>
      </c>
      <c r="F2053" s="1">
        <f>IF(OR(Table4[[#This Row],[INSTALLMENT]]=2,Table4[[#This Row],[INSTALLMENT]]=3),2,0)</f>
        <v>0</v>
      </c>
      <c r="G2053" s="1">
        <f>IF(OR(Table4[[#This Row],[INSTALLMENT]]=3),3,0)</f>
        <v>0</v>
      </c>
    </row>
    <row r="2054" spans="1:7">
      <c r="A2054" s="1">
        <v>2412</v>
      </c>
      <c r="B2054" s="1" t="s">
        <v>3460</v>
      </c>
      <c r="C2054" s="1" t="s">
        <v>320</v>
      </c>
      <c r="D2054" s="1">
        <f>COUNTIFS('Raw Entries'!B:B,Table4[[#This Row],[Name]],'Raw Entries'!I:I,Table4[[#This Row],[BOOK No.]])</f>
        <v>0</v>
      </c>
      <c r="E2054" s="1">
        <f t="array" ref="E2054">IF(OR(Table4[[#This Row],[INSTALLMENT]]=1,Table4[[#This Row],[INSTALLMENT]]=2,Table4[[#This Row],[INSTALLMENT]]=3),1,0)</f>
        <v>0</v>
      </c>
      <c r="F2054" s="1">
        <f>IF(OR(Table4[[#This Row],[INSTALLMENT]]=2,Table4[[#This Row],[INSTALLMENT]]=3),2,0)</f>
        <v>0</v>
      </c>
      <c r="G2054" s="1">
        <f>IF(OR(Table4[[#This Row],[INSTALLMENT]]=3),3,0)</f>
        <v>0</v>
      </c>
    </row>
    <row r="2055" spans="1:7">
      <c r="A2055" s="1">
        <v>2413</v>
      </c>
      <c r="B2055" s="1" t="s">
        <v>3461</v>
      </c>
      <c r="C2055" s="1" t="s">
        <v>320</v>
      </c>
      <c r="D2055" s="1">
        <f>COUNTIFS('Raw Entries'!B:B,Table4[[#This Row],[Name]],'Raw Entries'!I:I,Table4[[#This Row],[BOOK No.]])</f>
        <v>0</v>
      </c>
      <c r="E2055" s="1">
        <f t="array" ref="E2055">IF(OR(Table4[[#This Row],[INSTALLMENT]]=1,Table4[[#This Row],[INSTALLMENT]]=2,Table4[[#This Row],[INSTALLMENT]]=3),1,0)</f>
        <v>0</v>
      </c>
      <c r="F2055" s="1">
        <f>IF(OR(Table4[[#This Row],[INSTALLMENT]]=2,Table4[[#This Row],[INSTALLMENT]]=3),2,0)</f>
        <v>0</v>
      </c>
      <c r="G2055" s="1">
        <f>IF(OR(Table4[[#This Row],[INSTALLMENT]]=3),3,0)</f>
        <v>0</v>
      </c>
    </row>
    <row r="2056" spans="1:7">
      <c r="A2056" s="1">
        <v>2414</v>
      </c>
      <c r="B2056" s="1" t="s">
        <v>3956</v>
      </c>
      <c r="C2056" s="1" t="s">
        <v>320</v>
      </c>
      <c r="D2056" s="1">
        <f>COUNTIFS('Raw Entries'!B:B,Table4[[#This Row],[Name]],'Raw Entries'!I:I,Table4[[#This Row],[BOOK No.]])</f>
        <v>0</v>
      </c>
      <c r="E2056" s="1">
        <f t="array" ref="E2056">IF(OR(Table4[[#This Row],[INSTALLMENT]]=1,Table4[[#This Row],[INSTALLMENT]]=2,Table4[[#This Row],[INSTALLMENT]]=3),1,0)</f>
        <v>0</v>
      </c>
      <c r="F2056" s="1">
        <f>IF(OR(Table4[[#This Row],[INSTALLMENT]]=2,Table4[[#This Row],[INSTALLMENT]]=3),2,0)</f>
        <v>0</v>
      </c>
      <c r="G2056" s="1">
        <f>IF(OR(Table4[[#This Row],[INSTALLMENT]]=3),3,0)</f>
        <v>0</v>
      </c>
    </row>
    <row r="2057" spans="1:7">
      <c r="A2057" s="1">
        <v>2415</v>
      </c>
      <c r="B2057" s="1" t="s">
        <v>3462</v>
      </c>
      <c r="C2057" s="1" t="s">
        <v>320</v>
      </c>
      <c r="D2057" s="1">
        <f>COUNTIFS('Raw Entries'!B:B,Table4[[#This Row],[Name]],'Raw Entries'!I:I,Table4[[#This Row],[BOOK No.]])</f>
        <v>0</v>
      </c>
      <c r="E2057" s="1">
        <f t="array" ref="E2057">IF(OR(Table4[[#This Row],[INSTALLMENT]]=1,Table4[[#This Row],[INSTALLMENT]]=2,Table4[[#This Row],[INSTALLMENT]]=3),1,0)</f>
        <v>0</v>
      </c>
      <c r="F2057" s="1">
        <f>IF(OR(Table4[[#This Row],[INSTALLMENT]]=2,Table4[[#This Row],[INSTALLMENT]]=3),2,0)</f>
        <v>0</v>
      </c>
      <c r="G2057" s="1">
        <f>IF(OR(Table4[[#This Row],[INSTALLMENT]]=3),3,0)</f>
        <v>0</v>
      </c>
    </row>
    <row r="2058" spans="1:7">
      <c r="A2058" s="1">
        <v>2416</v>
      </c>
      <c r="B2058" s="1" t="s">
        <v>3463</v>
      </c>
      <c r="C2058" s="1" t="s">
        <v>320</v>
      </c>
      <c r="D2058" s="1">
        <f>COUNTIFS('Raw Entries'!B:B,Table4[[#This Row],[Name]],'Raw Entries'!I:I,Table4[[#This Row],[BOOK No.]])</f>
        <v>0</v>
      </c>
      <c r="E2058" s="1">
        <f t="array" ref="E2058">IF(OR(Table4[[#This Row],[INSTALLMENT]]=1,Table4[[#This Row],[INSTALLMENT]]=2,Table4[[#This Row],[INSTALLMENT]]=3),1,0)</f>
        <v>0</v>
      </c>
      <c r="F2058" s="1">
        <f>IF(OR(Table4[[#This Row],[INSTALLMENT]]=2,Table4[[#This Row],[INSTALLMENT]]=3),2,0)</f>
        <v>0</v>
      </c>
      <c r="G2058" s="1">
        <f>IF(OR(Table4[[#This Row],[INSTALLMENT]]=3),3,0)</f>
        <v>0</v>
      </c>
    </row>
    <row r="2059" spans="1:7">
      <c r="A2059" s="1">
        <v>2417</v>
      </c>
      <c r="B2059" s="1" t="s">
        <v>322</v>
      </c>
      <c r="C2059" s="1" t="s">
        <v>320</v>
      </c>
      <c r="D2059" s="1">
        <f>COUNTIFS('Raw Entries'!B:B,Table4[[#This Row],[Name]],'Raw Entries'!I:I,Table4[[#This Row],[BOOK No.]])</f>
        <v>1</v>
      </c>
      <c r="E2059" s="1">
        <f t="array" ref="E2059">IF(OR(Table4[[#This Row],[INSTALLMENT]]=1,Table4[[#This Row],[INSTALLMENT]]=2,Table4[[#This Row],[INSTALLMENT]]=3),1,0)</f>
        <v>1</v>
      </c>
      <c r="F2059" s="1">
        <f>IF(OR(Table4[[#This Row],[INSTALLMENT]]=2,Table4[[#This Row],[INSTALLMENT]]=3),2,0)</f>
        <v>0</v>
      </c>
      <c r="G2059" s="1">
        <f>IF(OR(Table4[[#This Row],[INSTALLMENT]]=3),3,0)</f>
        <v>0</v>
      </c>
    </row>
    <row r="2060" spans="1:7">
      <c r="A2060" s="1">
        <v>2418</v>
      </c>
      <c r="B2060" s="1" t="s">
        <v>1855</v>
      </c>
      <c r="C2060" s="1" t="s">
        <v>320</v>
      </c>
      <c r="D2060" s="1">
        <f>COUNTIFS('Raw Entries'!B:B,Table4[[#This Row],[Name]],'Raw Entries'!I:I,Table4[[#This Row],[BOOK No.]])</f>
        <v>1</v>
      </c>
      <c r="E2060" s="1">
        <f t="array" ref="E2060">IF(OR(Table4[[#This Row],[INSTALLMENT]]=1,Table4[[#This Row],[INSTALLMENT]]=2,Table4[[#This Row],[INSTALLMENT]]=3),1,0)</f>
        <v>1</v>
      </c>
      <c r="F2060" s="1">
        <f>IF(OR(Table4[[#This Row],[INSTALLMENT]]=2,Table4[[#This Row],[INSTALLMENT]]=3),2,0)</f>
        <v>0</v>
      </c>
      <c r="G2060" s="1">
        <f>IF(OR(Table4[[#This Row],[INSTALLMENT]]=3),3,0)</f>
        <v>0</v>
      </c>
    </row>
    <row r="2061" spans="1:7">
      <c r="A2061" s="1">
        <v>2419</v>
      </c>
      <c r="B2061" s="1" t="s">
        <v>3464</v>
      </c>
      <c r="C2061" s="1" t="s">
        <v>320</v>
      </c>
      <c r="D2061" s="1">
        <f>COUNTIFS('Raw Entries'!B:B,Table4[[#This Row],[Name]],'Raw Entries'!I:I,Table4[[#This Row],[BOOK No.]])</f>
        <v>0</v>
      </c>
      <c r="E2061" s="1">
        <f t="array" ref="E2061">IF(OR(Table4[[#This Row],[INSTALLMENT]]=1,Table4[[#This Row],[INSTALLMENT]]=2,Table4[[#This Row],[INSTALLMENT]]=3),1,0)</f>
        <v>0</v>
      </c>
      <c r="F2061" s="1">
        <f>IF(OR(Table4[[#This Row],[INSTALLMENT]]=2,Table4[[#This Row],[INSTALLMENT]]=3),2,0)</f>
        <v>0</v>
      </c>
      <c r="G2061" s="1">
        <f>IF(OR(Table4[[#This Row],[INSTALLMENT]]=3),3,0)</f>
        <v>0</v>
      </c>
    </row>
    <row r="2062" spans="1:7">
      <c r="A2062" s="1">
        <v>2420</v>
      </c>
      <c r="B2062" s="1" t="s">
        <v>3465</v>
      </c>
      <c r="C2062" s="1" t="s">
        <v>320</v>
      </c>
      <c r="D2062" s="1">
        <f>COUNTIFS('Raw Entries'!B:B,Table4[[#This Row],[Name]],'Raw Entries'!I:I,Table4[[#This Row],[BOOK No.]])</f>
        <v>0</v>
      </c>
      <c r="E2062" s="1">
        <f t="array" ref="E2062">IF(OR(Table4[[#This Row],[INSTALLMENT]]=1,Table4[[#This Row],[INSTALLMENT]]=2,Table4[[#This Row],[INSTALLMENT]]=3),1,0)</f>
        <v>0</v>
      </c>
      <c r="F2062" s="1">
        <f>IF(OR(Table4[[#This Row],[INSTALLMENT]]=2,Table4[[#This Row],[INSTALLMENT]]=3),2,0)</f>
        <v>0</v>
      </c>
      <c r="G2062" s="1">
        <f>IF(OR(Table4[[#This Row],[INSTALLMENT]]=3),3,0)</f>
        <v>0</v>
      </c>
    </row>
    <row r="2063" spans="1:7">
      <c r="A2063" s="1">
        <v>2421</v>
      </c>
      <c r="B2063" s="1" t="s">
        <v>3466</v>
      </c>
      <c r="C2063" s="1" t="s">
        <v>320</v>
      </c>
      <c r="D2063" s="1">
        <f>COUNTIFS('Raw Entries'!B:B,Table4[[#This Row],[Name]],'Raw Entries'!I:I,Table4[[#This Row],[BOOK No.]])</f>
        <v>3</v>
      </c>
      <c r="E2063" s="1">
        <f t="array" ref="E2063">IF(OR(Table4[[#This Row],[INSTALLMENT]]=1,Table4[[#This Row],[INSTALLMENT]]=2,Table4[[#This Row],[INSTALLMENT]]=3),1,0)</f>
        <v>1</v>
      </c>
      <c r="F2063" s="1">
        <f>IF(OR(Table4[[#This Row],[INSTALLMENT]]=2,Table4[[#This Row],[INSTALLMENT]]=3),2,0)</f>
        <v>2</v>
      </c>
      <c r="G2063" s="1">
        <f>IF(OR(Table4[[#This Row],[INSTALLMENT]]=3),3,0)</f>
        <v>3</v>
      </c>
    </row>
    <row r="2064" spans="1:7">
      <c r="A2064" s="1">
        <v>2422</v>
      </c>
      <c r="B2064" s="1" t="s">
        <v>3467</v>
      </c>
      <c r="C2064" s="1" t="s">
        <v>320</v>
      </c>
      <c r="D2064" s="1">
        <f>COUNTIFS('Raw Entries'!B:B,Table4[[#This Row],[Name]],'Raw Entries'!I:I,Table4[[#This Row],[BOOK No.]])</f>
        <v>0</v>
      </c>
      <c r="E2064" s="1">
        <f t="array" ref="E2064">IF(OR(Table4[[#This Row],[INSTALLMENT]]=1,Table4[[#This Row],[INSTALLMENT]]=2,Table4[[#This Row],[INSTALLMENT]]=3),1,0)</f>
        <v>0</v>
      </c>
      <c r="F2064" s="1">
        <f>IF(OR(Table4[[#This Row],[INSTALLMENT]]=2,Table4[[#This Row],[INSTALLMENT]]=3),2,0)</f>
        <v>0</v>
      </c>
      <c r="G2064" s="1">
        <f>IF(OR(Table4[[#This Row],[INSTALLMENT]]=3),3,0)</f>
        <v>0</v>
      </c>
    </row>
    <row r="2065" spans="1:7">
      <c r="A2065" s="1">
        <v>2423</v>
      </c>
      <c r="B2065" s="1" t="s">
        <v>3468</v>
      </c>
      <c r="C2065" s="1" t="s">
        <v>320</v>
      </c>
      <c r="D2065" s="1">
        <f>COUNTIFS('Raw Entries'!B:B,Table4[[#This Row],[Name]],'Raw Entries'!I:I,Table4[[#This Row],[BOOK No.]])</f>
        <v>1</v>
      </c>
      <c r="E2065" s="1">
        <f t="array" ref="E2065">IF(OR(Table4[[#This Row],[INSTALLMENT]]=1,Table4[[#This Row],[INSTALLMENT]]=2,Table4[[#This Row],[INSTALLMENT]]=3),1,0)</f>
        <v>1</v>
      </c>
      <c r="F2065" s="1">
        <f>IF(OR(Table4[[#This Row],[INSTALLMENT]]=2,Table4[[#This Row],[INSTALLMENT]]=3),2,0)</f>
        <v>0</v>
      </c>
      <c r="G2065" s="1">
        <f>IF(OR(Table4[[#This Row],[INSTALLMENT]]=3),3,0)</f>
        <v>0</v>
      </c>
    </row>
    <row r="2066" spans="1:7">
      <c r="A2066" s="1">
        <v>2424</v>
      </c>
      <c r="B2066" s="1" t="s">
        <v>3469</v>
      </c>
      <c r="C2066" s="1" t="s">
        <v>320</v>
      </c>
      <c r="D2066" s="1">
        <f>COUNTIFS('Raw Entries'!B:B,Table4[[#This Row],[Name]],'Raw Entries'!I:I,Table4[[#This Row],[BOOK No.]])</f>
        <v>0</v>
      </c>
      <c r="E2066" s="1">
        <f t="array" ref="E2066">IF(OR(Table4[[#This Row],[INSTALLMENT]]=1,Table4[[#This Row],[INSTALLMENT]]=2,Table4[[#This Row],[INSTALLMENT]]=3),1,0)</f>
        <v>0</v>
      </c>
      <c r="F2066" s="1">
        <f>IF(OR(Table4[[#This Row],[INSTALLMENT]]=2,Table4[[#This Row],[INSTALLMENT]]=3),2,0)</f>
        <v>0</v>
      </c>
      <c r="G2066" s="1">
        <f>IF(OR(Table4[[#This Row],[INSTALLMENT]]=3),3,0)</f>
        <v>0</v>
      </c>
    </row>
    <row r="2067" spans="1:7">
      <c r="A2067" s="1">
        <v>2425</v>
      </c>
      <c r="B2067" s="1" t="s">
        <v>3470</v>
      </c>
      <c r="C2067" s="1" t="s">
        <v>320</v>
      </c>
      <c r="D2067" s="1">
        <f>COUNTIFS('Raw Entries'!B:B,Table4[[#This Row],[Name]],'Raw Entries'!I:I,Table4[[#This Row],[BOOK No.]])</f>
        <v>0</v>
      </c>
      <c r="E2067" s="1">
        <f t="array" ref="E2067">IF(OR(Table4[[#This Row],[INSTALLMENT]]=1,Table4[[#This Row],[INSTALLMENT]]=2,Table4[[#This Row],[INSTALLMENT]]=3),1,0)</f>
        <v>0</v>
      </c>
      <c r="F2067" s="1">
        <f>IF(OR(Table4[[#This Row],[INSTALLMENT]]=2,Table4[[#This Row],[INSTALLMENT]]=3),2,0)</f>
        <v>0</v>
      </c>
      <c r="G2067" s="1">
        <f>IF(OR(Table4[[#This Row],[INSTALLMENT]]=3),3,0)</f>
        <v>0</v>
      </c>
    </row>
    <row r="2068" spans="1:7">
      <c r="A2068" s="1">
        <v>2426</v>
      </c>
      <c r="B2068" s="1" t="s">
        <v>3471</v>
      </c>
      <c r="C2068" s="1" t="s">
        <v>320</v>
      </c>
      <c r="D2068" s="1">
        <f>COUNTIFS('Raw Entries'!B:B,Table4[[#This Row],[Name]],'Raw Entries'!I:I,Table4[[#This Row],[BOOK No.]])</f>
        <v>0</v>
      </c>
      <c r="E2068" s="1">
        <f t="array" ref="E2068">IF(OR(Table4[[#This Row],[INSTALLMENT]]=1,Table4[[#This Row],[INSTALLMENT]]=2,Table4[[#This Row],[INSTALLMENT]]=3),1,0)</f>
        <v>0</v>
      </c>
      <c r="F2068" s="1">
        <f>IF(OR(Table4[[#This Row],[INSTALLMENT]]=2,Table4[[#This Row],[INSTALLMENT]]=3),2,0)</f>
        <v>0</v>
      </c>
      <c r="G2068" s="1">
        <f>IF(OR(Table4[[#This Row],[INSTALLMENT]]=3),3,0)</f>
        <v>0</v>
      </c>
    </row>
    <row r="2069" spans="1:7">
      <c r="A2069" s="1">
        <v>2427</v>
      </c>
      <c r="B2069" s="1" t="s">
        <v>3472</v>
      </c>
      <c r="C2069" s="1" t="s">
        <v>320</v>
      </c>
      <c r="D2069" s="1">
        <f>COUNTIFS('Raw Entries'!B:B,Table4[[#This Row],[Name]],'Raw Entries'!I:I,Table4[[#This Row],[BOOK No.]])</f>
        <v>0</v>
      </c>
      <c r="E2069" s="1">
        <f t="array" ref="E2069">IF(OR(Table4[[#This Row],[INSTALLMENT]]=1,Table4[[#This Row],[INSTALLMENT]]=2,Table4[[#This Row],[INSTALLMENT]]=3),1,0)</f>
        <v>0</v>
      </c>
      <c r="F2069" s="1">
        <f>IF(OR(Table4[[#This Row],[INSTALLMENT]]=2,Table4[[#This Row],[INSTALLMENT]]=3),2,0)</f>
        <v>0</v>
      </c>
      <c r="G2069" s="1">
        <f>IF(OR(Table4[[#This Row],[INSTALLMENT]]=3),3,0)</f>
        <v>0</v>
      </c>
    </row>
    <row r="2070" spans="1:7">
      <c r="A2070" s="1">
        <v>2428</v>
      </c>
      <c r="B2070" s="1" t="s">
        <v>3473</v>
      </c>
      <c r="C2070" s="1" t="s">
        <v>320</v>
      </c>
      <c r="D2070" s="1">
        <f>COUNTIFS('Raw Entries'!B:B,Table4[[#This Row],[Name]],'Raw Entries'!I:I,Table4[[#This Row],[BOOK No.]])</f>
        <v>0</v>
      </c>
      <c r="E2070" s="1">
        <f t="array" ref="E2070">IF(OR(Table4[[#This Row],[INSTALLMENT]]=1,Table4[[#This Row],[INSTALLMENT]]=2,Table4[[#This Row],[INSTALLMENT]]=3),1,0)</f>
        <v>0</v>
      </c>
      <c r="F2070" s="1">
        <f>IF(OR(Table4[[#This Row],[INSTALLMENT]]=2,Table4[[#This Row],[INSTALLMENT]]=3),2,0)</f>
        <v>0</v>
      </c>
      <c r="G2070" s="1">
        <f>IF(OR(Table4[[#This Row],[INSTALLMENT]]=3),3,0)</f>
        <v>0</v>
      </c>
    </row>
    <row r="2071" spans="1:7">
      <c r="A2071" s="1">
        <v>2429</v>
      </c>
      <c r="B2071" s="1" t="s">
        <v>3474</v>
      </c>
      <c r="C2071" s="1" t="s">
        <v>320</v>
      </c>
      <c r="D2071" s="1">
        <f>COUNTIFS('Raw Entries'!B:B,Table4[[#This Row],[Name]],'Raw Entries'!I:I,Table4[[#This Row],[BOOK No.]])</f>
        <v>0</v>
      </c>
      <c r="E2071" s="1">
        <f t="array" ref="E2071">IF(OR(Table4[[#This Row],[INSTALLMENT]]=1,Table4[[#This Row],[INSTALLMENT]]=2,Table4[[#This Row],[INSTALLMENT]]=3),1,0)</f>
        <v>0</v>
      </c>
      <c r="F2071" s="1">
        <f>IF(OR(Table4[[#This Row],[INSTALLMENT]]=2,Table4[[#This Row],[INSTALLMENT]]=3),2,0)</f>
        <v>0</v>
      </c>
      <c r="G2071" s="1">
        <f>IF(OR(Table4[[#This Row],[INSTALLMENT]]=3),3,0)</f>
        <v>0</v>
      </c>
    </row>
    <row r="2072" spans="1:7">
      <c r="A2072" s="1">
        <v>2430</v>
      </c>
      <c r="B2072" s="1" t="s">
        <v>3475</v>
      </c>
      <c r="C2072" s="1" t="s">
        <v>320</v>
      </c>
      <c r="D2072" s="1">
        <f>COUNTIFS('Raw Entries'!B:B,Table4[[#This Row],[Name]],'Raw Entries'!I:I,Table4[[#This Row],[BOOK No.]])</f>
        <v>0</v>
      </c>
      <c r="E2072" s="1">
        <f t="array" ref="E2072">IF(OR(Table4[[#This Row],[INSTALLMENT]]=1,Table4[[#This Row],[INSTALLMENT]]=2,Table4[[#This Row],[INSTALLMENT]]=3),1,0)</f>
        <v>0</v>
      </c>
      <c r="F2072" s="1">
        <f>IF(OR(Table4[[#This Row],[INSTALLMENT]]=2,Table4[[#This Row],[INSTALLMENT]]=3),2,0)</f>
        <v>0</v>
      </c>
      <c r="G2072" s="1">
        <f>IF(OR(Table4[[#This Row],[INSTALLMENT]]=3),3,0)</f>
        <v>0</v>
      </c>
    </row>
    <row r="2073" spans="1:7">
      <c r="A2073" s="1">
        <v>2431</v>
      </c>
      <c r="B2073" s="1" t="s">
        <v>3476</v>
      </c>
      <c r="C2073" s="1" t="s">
        <v>320</v>
      </c>
      <c r="D2073" s="1">
        <f>COUNTIFS('Raw Entries'!B:B,Table4[[#This Row],[Name]],'Raw Entries'!I:I,Table4[[#This Row],[BOOK No.]])</f>
        <v>0</v>
      </c>
      <c r="E2073" s="1">
        <f t="array" ref="E2073">IF(OR(Table4[[#This Row],[INSTALLMENT]]=1,Table4[[#This Row],[INSTALLMENT]]=2,Table4[[#This Row],[INSTALLMENT]]=3),1,0)</f>
        <v>0</v>
      </c>
      <c r="F2073" s="1">
        <f>IF(OR(Table4[[#This Row],[INSTALLMENT]]=2,Table4[[#This Row],[INSTALLMENT]]=3),2,0)</f>
        <v>0</v>
      </c>
      <c r="G2073" s="1">
        <f>IF(OR(Table4[[#This Row],[INSTALLMENT]]=3),3,0)</f>
        <v>0</v>
      </c>
    </row>
    <row r="2074" spans="1:7">
      <c r="A2074" s="1">
        <v>2432</v>
      </c>
      <c r="B2074" s="1" t="s">
        <v>323</v>
      </c>
      <c r="C2074" s="1" t="s">
        <v>320</v>
      </c>
      <c r="D2074" s="1">
        <f>COUNTIFS('Raw Entries'!B:B,Table4[[#This Row],[Name]],'Raw Entries'!I:I,Table4[[#This Row],[BOOK No.]])</f>
        <v>1</v>
      </c>
      <c r="E2074" s="1">
        <f t="array" ref="E2074">IF(OR(Table4[[#This Row],[INSTALLMENT]]=1,Table4[[#This Row],[INSTALLMENT]]=2,Table4[[#This Row],[INSTALLMENT]]=3),1,0)</f>
        <v>1</v>
      </c>
      <c r="F2074" s="1">
        <f>IF(OR(Table4[[#This Row],[INSTALLMENT]]=2,Table4[[#This Row],[INSTALLMENT]]=3),2,0)</f>
        <v>0</v>
      </c>
      <c r="G2074" s="1">
        <f>IF(OR(Table4[[#This Row],[INSTALLMENT]]=3),3,0)</f>
        <v>0</v>
      </c>
    </row>
    <row r="2075" spans="1:7">
      <c r="A2075" s="1">
        <v>2433</v>
      </c>
      <c r="B2075" s="1" t="s">
        <v>343</v>
      </c>
      <c r="C2075" s="1" t="s">
        <v>320</v>
      </c>
      <c r="D2075" s="1">
        <f>COUNTIFS('Raw Entries'!B:B,Table4[[#This Row],[Name]],'Raw Entries'!I:I,Table4[[#This Row],[BOOK No.]])</f>
        <v>0</v>
      </c>
      <c r="E2075" s="1">
        <f t="array" ref="E2075">IF(OR(Table4[[#This Row],[INSTALLMENT]]=1,Table4[[#This Row],[INSTALLMENT]]=2,Table4[[#This Row],[INSTALLMENT]]=3),1,0)</f>
        <v>0</v>
      </c>
      <c r="F2075" s="1">
        <f>IF(OR(Table4[[#This Row],[INSTALLMENT]]=2,Table4[[#This Row],[INSTALLMENT]]=3),2,0)</f>
        <v>0</v>
      </c>
      <c r="G2075" s="1">
        <f>IF(OR(Table4[[#This Row],[INSTALLMENT]]=3),3,0)</f>
        <v>0</v>
      </c>
    </row>
    <row r="2076" spans="1:7">
      <c r="A2076" s="1">
        <v>2434</v>
      </c>
      <c r="B2076" s="1" t="s">
        <v>3477</v>
      </c>
      <c r="C2076" s="1" t="s">
        <v>324</v>
      </c>
      <c r="D2076" s="1">
        <f>COUNTIFS('Raw Entries'!B:B,Table4[[#This Row],[Name]],'Raw Entries'!I:I,Table4[[#This Row],[BOOK No.]])</f>
        <v>0</v>
      </c>
      <c r="E2076" s="1">
        <f t="array" ref="E2076">IF(OR(Table4[[#This Row],[INSTALLMENT]]=1,Table4[[#This Row],[INSTALLMENT]]=2,Table4[[#This Row],[INSTALLMENT]]=3),1,0)</f>
        <v>0</v>
      </c>
      <c r="F2076" s="1">
        <f>IF(OR(Table4[[#This Row],[INSTALLMENT]]=2,Table4[[#This Row],[INSTALLMENT]]=3),2,0)</f>
        <v>0</v>
      </c>
      <c r="G2076" s="1">
        <f>IF(OR(Table4[[#This Row],[INSTALLMENT]]=3),3,0)</f>
        <v>0</v>
      </c>
    </row>
    <row r="2077" spans="1:7">
      <c r="A2077" s="1">
        <v>2435</v>
      </c>
      <c r="B2077" s="1" t="s">
        <v>3478</v>
      </c>
      <c r="C2077" s="1" t="s">
        <v>324</v>
      </c>
      <c r="D2077" s="1">
        <f>COUNTIFS('Raw Entries'!B:B,Table4[[#This Row],[Name]],'Raw Entries'!I:I,Table4[[#This Row],[BOOK No.]])</f>
        <v>0</v>
      </c>
      <c r="E2077" s="1">
        <f t="array" ref="E2077">IF(OR(Table4[[#This Row],[INSTALLMENT]]=1,Table4[[#This Row],[INSTALLMENT]]=2,Table4[[#This Row],[INSTALLMENT]]=3),1,0)</f>
        <v>0</v>
      </c>
      <c r="F2077" s="1">
        <f>IF(OR(Table4[[#This Row],[INSTALLMENT]]=2,Table4[[#This Row],[INSTALLMENT]]=3),2,0)</f>
        <v>0</v>
      </c>
      <c r="G2077" s="1">
        <f>IF(OR(Table4[[#This Row],[INSTALLMENT]]=3),3,0)</f>
        <v>0</v>
      </c>
    </row>
    <row r="2078" spans="1:7">
      <c r="A2078" s="1">
        <v>2436</v>
      </c>
      <c r="B2078" s="1" t="s">
        <v>329</v>
      </c>
      <c r="C2078" s="1" t="s">
        <v>324</v>
      </c>
      <c r="D2078" s="1">
        <f>COUNTIFS('Raw Entries'!B:B,Table4[[#This Row],[Name]],'Raw Entries'!I:I,Table4[[#This Row],[BOOK No.]])</f>
        <v>3</v>
      </c>
      <c r="E2078" s="1">
        <f t="array" ref="E2078">IF(OR(Table4[[#This Row],[INSTALLMENT]]=1,Table4[[#This Row],[INSTALLMENT]]=2,Table4[[#This Row],[INSTALLMENT]]=3),1,0)</f>
        <v>1</v>
      </c>
      <c r="F2078" s="1">
        <f>IF(OR(Table4[[#This Row],[INSTALLMENT]]=2,Table4[[#This Row],[INSTALLMENT]]=3),2,0)</f>
        <v>2</v>
      </c>
      <c r="G2078" s="1">
        <f>IF(OR(Table4[[#This Row],[INSTALLMENT]]=3),3,0)</f>
        <v>3</v>
      </c>
    </row>
    <row r="2079" spans="1:7">
      <c r="A2079" s="1">
        <v>2437</v>
      </c>
      <c r="B2079" s="1" t="s">
        <v>3479</v>
      </c>
      <c r="C2079" s="1" t="s">
        <v>324</v>
      </c>
      <c r="D2079" s="1">
        <f>COUNTIFS('Raw Entries'!B:B,Table4[[#This Row],[Name]],'Raw Entries'!I:I,Table4[[#This Row],[BOOK No.]])</f>
        <v>0</v>
      </c>
      <c r="E2079" s="1">
        <f t="array" ref="E2079">IF(OR(Table4[[#This Row],[INSTALLMENT]]=1,Table4[[#This Row],[INSTALLMENT]]=2,Table4[[#This Row],[INSTALLMENT]]=3),1,0)</f>
        <v>0</v>
      </c>
      <c r="F2079" s="1">
        <f>IF(OR(Table4[[#This Row],[INSTALLMENT]]=2,Table4[[#This Row],[INSTALLMENT]]=3),2,0)</f>
        <v>0</v>
      </c>
      <c r="G2079" s="1">
        <f>IF(OR(Table4[[#This Row],[INSTALLMENT]]=3),3,0)</f>
        <v>0</v>
      </c>
    </row>
    <row r="2080" spans="1:7">
      <c r="A2080" s="1">
        <v>2438</v>
      </c>
      <c r="B2080" s="1" t="s">
        <v>326</v>
      </c>
      <c r="C2080" s="1" t="s">
        <v>324</v>
      </c>
      <c r="D2080" s="1">
        <f>COUNTIFS('Raw Entries'!B:B,Table4[[#This Row],[Name]],'Raw Entries'!I:I,Table4[[#This Row],[BOOK No.]])</f>
        <v>3</v>
      </c>
      <c r="E2080" s="1">
        <f t="array" ref="E2080">IF(OR(Table4[[#This Row],[INSTALLMENT]]=1,Table4[[#This Row],[INSTALLMENT]]=2,Table4[[#This Row],[INSTALLMENT]]=3),1,0)</f>
        <v>1</v>
      </c>
      <c r="F2080" s="1">
        <f>IF(OR(Table4[[#This Row],[INSTALLMENT]]=2,Table4[[#This Row],[INSTALLMENT]]=3),2,0)</f>
        <v>2</v>
      </c>
      <c r="G2080" s="1">
        <f>IF(OR(Table4[[#This Row],[INSTALLMENT]]=3),3,0)</f>
        <v>3</v>
      </c>
    </row>
    <row r="2081" spans="1:7">
      <c r="A2081" s="1">
        <v>2439</v>
      </c>
      <c r="B2081" s="1" t="s">
        <v>153</v>
      </c>
      <c r="C2081" s="1" t="s">
        <v>324</v>
      </c>
      <c r="D2081" s="1">
        <f>COUNTIFS('Raw Entries'!B:B,Table4[[#This Row],[Name]],'Raw Entries'!I:I,Table4[[#This Row],[BOOK No.]])</f>
        <v>1</v>
      </c>
      <c r="E2081" s="1">
        <f t="array" ref="E2081">IF(OR(Table4[[#This Row],[INSTALLMENT]]=1,Table4[[#This Row],[INSTALLMENT]]=2,Table4[[#This Row],[INSTALLMENT]]=3),1,0)</f>
        <v>1</v>
      </c>
      <c r="F2081" s="1">
        <f>IF(OR(Table4[[#This Row],[INSTALLMENT]]=2,Table4[[#This Row],[INSTALLMENT]]=3),2,0)</f>
        <v>0</v>
      </c>
      <c r="G2081" s="1">
        <f>IF(OR(Table4[[#This Row],[INSTALLMENT]]=3),3,0)</f>
        <v>0</v>
      </c>
    </row>
    <row r="2082" spans="1:7">
      <c r="A2082" s="1">
        <v>2440</v>
      </c>
      <c r="B2082" s="1" t="s">
        <v>333</v>
      </c>
      <c r="C2082" s="1" t="s">
        <v>324</v>
      </c>
      <c r="D2082" s="1">
        <f>COUNTIFS('Raw Entries'!B:B,Table4[[#This Row],[Name]],'Raw Entries'!I:I,Table4[[#This Row],[BOOK No.]])</f>
        <v>1</v>
      </c>
      <c r="E2082" s="1">
        <f t="array" ref="E2082">IF(OR(Table4[[#This Row],[INSTALLMENT]]=1,Table4[[#This Row],[INSTALLMENT]]=2,Table4[[#This Row],[INSTALLMENT]]=3),1,0)</f>
        <v>1</v>
      </c>
      <c r="F2082" s="1">
        <f>IF(OR(Table4[[#This Row],[INSTALLMENT]]=2,Table4[[#This Row],[INSTALLMENT]]=3),2,0)</f>
        <v>0</v>
      </c>
      <c r="G2082" s="1">
        <f>IF(OR(Table4[[#This Row],[INSTALLMENT]]=3),3,0)</f>
        <v>0</v>
      </c>
    </row>
    <row r="2083" spans="1:7">
      <c r="A2083" s="1">
        <v>2441</v>
      </c>
      <c r="B2083" s="1" t="s">
        <v>3480</v>
      </c>
      <c r="C2083" s="1" t="s">
        <v>324</v>
      </c>
      <c r="D2083" s="1">
        <f>COUNTIFS('Raw Entries'!B:B,Table4[[#This Row],[Name]],'Raw Entries'!I:I,Table4[[#This Row],[BOOK No.]])</f>
        <v>0</v>
      </c>
      <c r="E2083" s="1">
        <f t="array" ref="E2083">IF(OR(Table4[[#This Row],[INSTALLMENT]]=1,Table4[[#This Row],[INSTALLMENT]]=2,Table4[[#This Row],[INSTALLMENT]]=3),1,0)</f>
        <v>0</v>
      </c>
      <c r="F2083" s="1">
        <f>IF(OR(Table4[[#This Row],[INSTALLMENT]]=2,Table4[[#This Row],[INSTALLMENT]]=3),2,0)</f>
        <v>0</v>
      </c>
      <c r="G2083" s="1">
        <f>IF(OR(Table4[[#This Row],[INSTALLMENT]]=3),3,0)</f>
        <v>0</v>
      </c>
    </row>
    <row r="2084" spans="1:7">
      <c r="A2084" s="1">
        <v>2442</v>
      </c>
      <c r="B2084" s="1" t="s">
        <v>3481</v>
      </c>
      <c r="C2084" s="1" t="s">
        <v>324</v>
      </c>
      <c r="D2084" s="1">
        <f>COUNTIFS('Raw Entries'!B:B,Table4[[#This Row],[Name]],'Raw Entries'!I:I,Table4[[#This Row],[BOOK No.]])</f>
        <v>0</v>
      </c>
      <c r="E2084" s="1">
        <f t="array" ref="E2084">IF(OR(Table4[[#This Row],[INSTALLMENT]]=1,Table4[[#This Row],[INSTALLMENT]]=2,Table4[[#This Row],[INSTALLMENT]]=3),1,0)</f>
        <v>0</v>
      </c>
      <c r="F2084" s="1">
        <f>IF(OR(Table4[[#This Row],[INSTALLMENT]]=2,Table4[[#This Row],[INSTALLMENT]]=3),2,0)</f>
        <v>0</v>
      </c>
      <c r="G2084" s="1">
        <f>IF(OR(Table4[[#This Row],[INSTALLMENT]]=3),3,0)</f>
        <v>0</v>
      </c>
    </row>
    <row r="2085" spans="1:7">
      <c r="A2085" s="1">
        <v>2443</v>
      </c>
      <c r="B2085" s="1" t="s">
        <v>3482</v>
      </c>
      <c r="C2085" s="1" t="s">
        <v>324</v>
      </c>
      <c r="D2085" s="1">
        <f>COUNTIFS('Raw Entries'!B:B,Table4[[#This Row],[Name]],'Raw Entries'!I:I,Table4[[#This Row],[BOOK No.]])</f>
        <v>3</v>
      </c>
      <c r="E2085" s="1">
        <f t="array" ref="E2085">IF(OR(Table4[[#This Row],[INSTALLMENT]]=1,Table4[[#This Row],[INSTALLMENT]]=2,Table4[[#This Row],[INSTALLMENT]]=3),1,0)</f>
        <v>1</v>
      </c>
      <c r="F2085" s="1">
        <f>IF(OR(Table4[[#This Row],[INSTALLMENT]]=2,Table4[[#This Row],[INSTALLMENT]]=3),2,0)</f>
        <v>2</v>
      </c>
      <c r="G2085" s="1">
        <f>IF(OR(Table4[[#This Row],[INSTALLMENT]]=3),3,0)</f>
        <v>3</v>
      </c>
    </row>
    <row r="2086" spans="1:7">
      <c r="A2086" s="1">
        <v>2444</v>
      </c>
      <c r="B2086" s="1" t="s">
        <v>3483</v>
      </c>
      <c r="C2086" s="1" t="s">
        <v>324</v>
      </c>
      <c r="D2086" s="1">
        <f>COUNTIFS('Raw Entries'!B:B,Table4[[#This Row],[Name]],'Raw Entries'!I:I,Table4[[#This Row],[BOOK No.]])</f>
        <v>0</v>
      </c>
      <c r="E2086" s="1">
        <f t="array" ref="E2086">IF(OR(Table4[[#This Row],[INSTALLMENT]]=1,Table4[[#This Row],[INSTALLMENT]]=2,Table4[[#This Row],[INSTALLMENT]]=3),1,0)</f>
        <v>0</v>
      </c>
      <c r="F2086" s="1">
        <f>IF(OR(Table4[[#This Row],[INSTALLMENT]]=2,Table4[[#This Row],[INSTALLMENT]]=3),2,0)</f>
        <v>0</v>
      </c>
      <c r="G2086" s="1">
        <f>IF(OR(Table4[[#This Row],[INSTALLMENT]]=3),3,0)</f>
        <v>0</v>
      </c>
    </row>
    <row r="2087" spans="1:7">
      <c r="A2087" s="1">
        <v>2445</v>
      </c>
      <c r="B2087" s="1" t="s">
        <v>3484</v>
      </c>
      <c r="C2087" s="1" t="s">
        <v>324</v>
      </c>
      <c r="D2087" s="1">
        <f>COUNTIFS('Raw Entries'!B:B,Table4[[#This Row],[Name]],'Raw Entries'!I:I,Table4[[#This Row],[BOOK No.]])</f>
        <v>0</v>
      </c>
      <c r="E2087" s="1">
        <f t="array" ref="E2087">IF(OR(Table4[[#This Row],[INSTALLMENT]]=1,Table4[[#This Row],[INSTALLMENT]]=2,Table4[[#This Row],[INSTALLMENT]]=3),1,0)</f>
        <v>0</v>
      </c>
      <c r="F2087" s="1">
        <f>IF(OR(Table4[[#This Row],[INSTALLMENT]]=2,Table4[[#This Row],[INSTALLMENT]]=3),2,0)</f>
        <v>0</v>
      </c>
      <c r="G2087" s="1">
        <f>IF(OR(Table4[[#This Row],[INSTALLMENT]]=3),3,0)</f>
        <v>0</v>
      </c>
    </row>
    <row r="2088" spans="1:7">
      <c r="A2088" s="1">
        <v>2446</v>
      </c>
      <c r="B2088" s="1" t="s">
        <v>615</v>
      </c>
      <c r="C2088" s="1" t="s">
        <v>324</v>
      </c>
      <c r="D2088" s="1">
        <f>COUNTIFS('Raw Entries'!B:B,Table4[[#This Row],[Name]],'Raw Entries'!I:I,Table4[[#This Row],[BOOK No.]])</f>
        <v>1</v>
      </c>
      <c r="E2088" s="1">
        <f t="array" ref="E2088">IF(OR(Table4[[#This Row],[INSTALLMENT]]=1,Table4[[#This Row],[INSTALLMENT]]=2,Table4[[#This Row],[INSTALLMENT]]=3),1,0)</f>
        <v>1</v>
      </c>
      <c r="F2088" s="1">
        <f>IF(OR(Table4[[#This Row],[INSTALLMENT]]=2,Table4[[#This Row],[INSTALLMENT]]=3),2,0)</f>
        <v>0</v>
      </c>
      <c r="G2088" s="1">
        <f>IF(OR(Table4[[#This Row],[INSTALLMENT]]=3),3,0)</f>
        <v>0</v>
      </c>
    </row>
    <row r="2089" spans="1:7">
      <c r="A2089" s="1">
        <v>2447</v>
      </c>
      <c r="B2089" s="1" t="s">
        <v>642</v>
      </c>
      <c r="C2089" s="1" t="s">
        <v>324</v>
      </c>
      <c r="D2089" s="1">
        <f>COUNTIFS('Raw Entries'!B:B,Table4[[#This Row],[Name]],'Raw Entries'!I:I,Table4[[#This Row],[BOOK No.]])</f>
        <v>1</v>
      </c>
      <c r="E2089" s="1">
        <f t="array" ref="E2089">IF(OR(Table4[[#This Row],[INSTALLMENT]]=1,Table4[[#This Row],[INSTALLMENT]]=2,Table4[[#This Row],[INSTALLMENT]]=3),1,0)</f>
        <v>1</v>
      </c>
      <c r="F2089" s="1">
        <f>IF(OR(Table4[[#This Row],[INSTALLMENT]]=2,Table4[[#This Row],[INSTALLMENT]]=3),2,0)</f>
        <v>0</v>
      </c>
      <c r="G2089" s="1">
        <f>IF(OR(Table4[[#This Row],[INSTALLMENT]]=3),3,0)</f>
        <v>0</v>
      </c>
    </row>
    <row r="2090" spans="1:7">
      <c r="A2090" s="1">
        <v>2448</v>
      </c>
      <c r="B2090" s="1" t="s">
        <v>3485</v>
      </c>
      <c r="C2090" s="1" t="s">
        <v>324</v>
      </c>
      <c r="D2090" s="1">
        <f>COUNTIFS('Raw Entries'!B:B,Table4[[#This Row],[Name]],'Raw Entries'!I:I,Table4[[#This Row],[BOOK No.]])</f>
        <v>0</v>
      </c>
      <c r="E2090" s="1">
        <f t="array" ref="E2090">IF(OR(Table4[[#This Row],[INSTALLMENT]]=1,Table4[[#This Row],[INSTALLMENT]]=2,Table4[[#This Row],[INSTALLMENT]]=3),1,0)</f>
        <v>0</v>
      </c>
      <c r="F2090" s="1">
        <f>IF(OR(Table4[[#This Row],[INSTALLMENT]]=2,Table4[[#This Row],[INSTALLMENT]]=3),2,0)</f>
        <v>0</v>
      </c>
      <c r="G2090" s="1">
        <f>IF(OR(Table4[[#This Row],[INSTALLMENT]]=3),3,0)</f>
        <v>0</v>
      </c>
    </row>
    <row r="2091" spans="1:7">
      <c r="A2091" s="1">
        <v>2449</v>
      </c>
      <c r="B2091" s="1" t="s">
        <v>3486</v>
      </c>
      <c r="C2091" s="1" t="s">
        <v>324</v>
      </c>
      <c r="D2091" s="1">
        <f>COUNTIFS('Raw Entries'!B:B,Table4[[#This Row],[Name]],'Raw Entries'!I:I,Table4[[#This Row],[BOOK No.]])</f>
        <v>0</v>
      </c>
      <c r="E2091" s="1">
        <f t="array" ref="E2091">IF(OR(Table4[[#This Row],[INSTALLMENT]]=1,Table4[[#This Row],[INSTALLMENT]]=2,Table4[[#This Row],[INSTALLMENT]]=3),1,0)</f>
        <v>0</v>
      </c>
      <c r="F2091" s="1">
        <f>IF(OR(Table4[[#This Row],[INSTALLMENT]]=2,Table4[[#This Row],[INSTALLMENT]]=3),2,0)</f>
        <v>0</v>
      </c>
      <c r="G2091" s="1">
        <f>IF(OR(Table4[[#This Row],[INSTALLMENT]]=3),3,0)</f>
        <v>0</v>
      </c>
    </row>
    <row r="2092" spans="1:7">
      <c r="A2092" s="1">
        <v>2450</v>
      </c>
      <c r="B2092" s="1" t="s">
        <v>3487</v>
      </c>
      <c r="C2092" s="1" t="s">
        <v>324</v>
      </c>
      <c r="D2092" s="1">
        <f>COUNTIFS('Raw Entries'!B:B,Table4[[#This Row],[Name]],'Raw Entries'!I:I,Table4[[#This Row],[BOOK No.]])</f>
        <v>0</v>
      </c>
      <c r="E2092" s="1">
        <f t="array" ref="E2092">IF(OR(Table4[[#This Row],[INSTALLMENT]]=1,Table4[[#This Row],[INSTALLMENT]]=2,Table4[[#This Row],[INSTALLMENT]]=3),1,0)</f>
        <v>0</v>
      </c>
      <c r="F2092" s="1">
        <f>IF(OR(Table4[[#This Row],[INSTALLMENT]]=2,Table4[[#This Row],[INSTALLMENT]]=3),2,0)</f>
        <v>0</v>
      </c>
      <c r="G2092" s="1">
        <f>IF(OR(Table4[[#This Row],[INSTALLMENT]]=3),3,0)</f>
        <v>0</v>
      </c>
    </row>
    <row r="2093" spans="1:7">
      <c r="A2093" s="1">
        <v>2451</v>
      </c>
      <c r="B2093" s="1" t="s">
        <v>3488</v>
      </c>
      <c r="C2093" s="1" t="s">
        <v>324</v>
      </c>
      <c r="D2093" s="1">
        <f>COUNTIFS('Raw Entries'!B:B,Table4[[#This Row],[Name]],'Raw Entries'!I:I,Table4[[#This Row],[BOOK No.]])</f>
        <v>0</v>
      </c>
      <c r="E2093" s="1">
        <f t="array" ref="E2093">IF(OR(Table4[[#This Row],[INSTALLMENT]]=1,Table4[[#This Row],[INSTALLMENT]]=2,Table4[[#This Row],[INSTALLMENT]]=3),1,0)</f>
        <v>0</v>
      </c>
      <c r="F2093" s="1">
        <f>IF(OR(Table4[[#This Row],[INSTALLMENT]]=2,Table4[[#This Row],[INSTALLMENT]]=3),2,0)</f>
        <v>0</v>
      </c>
      <c r="G2093" s="1">
        <f>IF(OR(Table4[[#This Row],[INSTALLMENT]]=3),3,0)</f>
        <v>0</v>
      </c>
    </row>
    <row r="2094" spans="1:7">
      <c r="A2094" s="1">
        <v>2452</v>
      </c>
      <c r="B2094" s="1" t="s">
        <v>327</v>
      </c>
      <c r="C2094" s="1" t="s">
        <v>324</v>
      </c>
      <c r="D2094" s="1">
        <f>COUNTIFS('Raw Entries'!B:B,Table4[[#This Row],[Name]],'Raw Entries'!I:I,Table4[[#This Row],[BOOK No.]])</f>
        <v>1</v>
      </c>
      <c r="E2094" s="1">
        <f t="array" ref="E2094">IF(OR(Table4[[#This Row],[INSTALLMENT]]=1,Table4[[#This Row],[INSTALLMENT]]=2,Table4[[#This Row],[INSTALLMENT]]=3),1,0)</f>
        <v>1</v>
      </c>
      <c r="F2094" s="1">
        <f>IF(OR(Table4[[#This Row],[INSTALLMENT]]=2,Table4[[#This Row],[INSTALLMENT]]=3),2,0)</f>
        <v>0</v>
      </c>
      <c r="G2094" s="1">
        <f>IF(OR(Table4[[#This Row],[INSTALLMENT]]=3),3,0)</f>
        <v>0</v>
      </c>
    </row>
    <row r="2095" spans="1:7">
      <c r="A2095" s="1">
        <v>2453</v>
      </c>
      <c r="B2095" s="1" t="s">
        <v>331</v>
      </c>
      <c r="C2095" s="1" t="s">
        <v>324</v>
      </c>
      <c r="D2095" s="1">
        <f>COUNTIFS('Raw Entries'!B:B,Table4[[#This Row],[Name]],'Raw Entries'!I:I,Table4[[#This Row],[BOOK No.]])</f>
        <v>3</v>
      </c>
      <c r="E2095" s="1">
        <f t="array" ref="E2095">IF(OR(Table4[[#This Row],[INSTALLMENT]]=1,Table4[[#This Row],[INSTALLMENT]]=2,Table4[[#This Row],[INSTALLMENT]]=3),1,0)</f>
        <v>1</v>
      </c>
      <c r="F2095" s="1">
        <f>IF(OR(Table4[[#This Row],[INSTALLMENT]]=2,Table4[[#This Row],[INSTALLMENT]]=3),2,0)</f>
        <v>2</v>
      </c>
      <c r="G2095" s="1">
        <f>IF(OR(Table4[[#This Row],[INSTALLMENT]]=3),3,0)</f>
        <v>3</v>
      </c>
    </row>
    <row r="2096" spans="1:7">
      <c r="A2096" s="1">
        <v>2454</v>
      </c>
      <c r="B2096" s="1" t="s">
        <v>330</v>
      </c>
      <c r="C2096" s="1" t="s">
        <v>324</v>
      </c>
      <c r="D2096" s="1">
        <f>COUNTIFS('Raw Entries'!B:B,Table4[[#This Row],[Name]],'Raw Entries'!I:I,Table4[[#This Row],[BOOK No.]])</f>
        <v>3</v>
      </c>
      <c r="E2096" s="1">
        <f t="array" ref="E2096">IF(OR(Table4[[#This Row],[INSTALLMENT]]=1,Table4[[#This Row],[INSTALLMENT]]=2,Table4[[#This Row],[INSTALLMENT]]=3),1,0)</f>
        <v>1</v>
      </c>
      <c r="F2096" s="1">
        <f>IF(OR(Table4[[#This Row],[INSTALLMENT]]=2,Table4[[#This Row],[INSTALLMENT]]=3),2,0)</f>
        <v>2</v>
      </c>
      <c r="G2096" s="1">
        <f>IF(OR(Table4[[#This Row],[INSTALLMENT]]=3),3,0)</f>
        <v>3</v>
      </c>
    </row>
    <row r="2097" spans="1:7">
      <c r="A2097" s="1">
        <v>2455</v>
      </c>
      <c r="B2097" s="1" t="s">
        <v>3489</v>
      </c>
      <c r="C2097" s="1" t="s">
        <v>324</v>
      </c>
      <c r="D2097" s="1">
        <f>COUNTIFS('Raw Entries'!B:B,Table4[[#This Row],[Name]],'Raw Entries'!I:I,Table4[[#This Row],[BOOK No.]])</f>
        <v>0</v>
      </c>
      <c r="E2097" s="1">
        <f t="array" ref="E2097">IF(OR(Table4[[#This Row],[INSTALLMENT]]=1,Table4[[#This Row],[INSTALLMENT]]=2,Table4[[#This Row],[INSTALLMENT]]=3),1,0)</f>
        <v>0</v>
      </c>
      <c r="F2097" s="1">
        <f>IF(OR(Table4[[#This Row],[INSTALLMENT]]=2,Table4[[#This Row],[INSTALLMENT]]=3),2,0)</f>
        <v>0</v>
      </c>
      <c r="G2097" s="1">
        <f>IF(OR(Table4[[#This Row],[INSTALLMENT]]=3),3,0)</f>
        <v>0</v>
      </c>
    </row>
    <row r="2098" spans="1:7">
      <c r="A2098" s="1">
        <v>2456</v>
      </c>
      <c r="B2098" s="1" t="s">
        <v>3490</v>
      </c>
      <c r="C2098" s="1" t="s">
        <v>324</v>
      </c>
      <c r="D2098" s="1">
        <f>COUNTIFS('Raw Entries'!B:B,Table4[[#This Row],[Name]],'Raw Entries'!I:I,Table4[[#This Row],[BOOK No.]])</f>
        <v>0</v>
      </c>
      <c r="E2098" s="1">
        <f t="array" ref="E2098">IF(OR(Table4[[#This Row],[INSTALLMENT]]=1,Table4[[#This Row],[INSTALLMENT]]=2,Table4[[#This Row],[INSTALLMENT]]=3),1,0)</f>
        <v>0</v>
      </c>
      <c r="F2098" s="1">
        <f>IF(OR(Table4[[#This Row],[INSTALLMENT]]=2,Table4[[#This Row],[INSTALLMENT]]=3),2,0)</f>
        <v>0</v>
      </c>
      <c r="G2098" s="1">
        <f>IF(OR(Table4[[#This Row],[INSTALLMENT]]=3),3,0)</f>
        <v>0</v>
      </c>
    </row>
    <row r="2099" spans="1:7">
      <c r="A2099" s="1">
        <v>2457</v>
      </c>
      <c r="B2099" s="1" t="s">
        <v>3491</v>
      </c>
      <c r="C2099" s="1" t="s">
        <v>324</v>
      </c>
      <c r="D2099" s="1">
        <f>COUNTIFS('Raw Entries'!B:B,Table4[[#This Row],[Name]],'Raw Entries'!I:I,Table4[[#This Row],[BOOK No.]])</f>
        <v>3</v>
      </c>
      <c r="E2099" s="1">
        <f t="array" ref="E2099">IF(OR(Table4[[#This Row],[INSTALLMENT]]=1,Table4[[#This Row],[INSTALLMENT]]=2,Table4[[#This Row],[INSTALLMENT]]=3),1,0)</f>
        <v>1</v>
      </c>
      <c r="F2099" s="1">
        <f>IF(OR(Table4[[#This Row],[INSTALLMENT]]=2,Table4[[#This Row],[INSTALLMENT]]=3),2,0)</f>
        <v>2</v>
      </c>
      <c r="G2099" s="1">
        <f>IF(OR(Table4[[#This Row],[INSTALLMENT]]=3),3,0)</f>
        <v>3</v>
      </c>
    </row>
    <row r="2100" spans="1:7">
      <c r="A2100" s="1">
        <v>2458</v>
      </c>
      <c r="B2100" s="1" t="s">
        <v>325</v>
      </c>
      <c r="C2100" s="1" t="s">
        <v>324</v>
      </c>
      <c r="D2100" s="1">
        <f>COUNTIFS('Raw Entries'!B:B,Table4[[#This Row],[Name]],'Raw Entries'!I:I,Table4[[#This Row],[BOOK No.]])</f>
        <v>1</v>
      </c>
      <c r="E2100" s="1">
        <f t="array" ref="E2100">IF(OR(Table4[[#This Row],[INSTALLMENT]]=1,Table4[[#This Row],[INSTALLMENT]]=2,Table4[[#This Row],[INSTALLMENT]]=3),1,0)</f>
        <v>1</v>
      </c>
      <c r="F2100" s="1">
        <f>IF(OR(Table4[[#This Row],[INSTALLMENT]]=2,Table4[[#This Row],[INSTALLMENT]]=3),2,0)</f>
        <v>0</v>
      </c>
      <c r="G2100" s="1">
        <f>IF(OR(Table4[[#This Row],[INSTALLMENT]]=3),3,0)</f>
        <v>0</v>
      </c>
    </row>
    <row r="2101" spans="1:7">
      <c r="A2101" s="1">
        <v>2459</v>
      </c>
      <c r="B2101" s="1" t="s">
        <v>3492</v>
      </c>
      <c r="C2101" s="1" t="s">
        <v>324</v>
      </c>
      <c r="D2101" s="1">
        <f>COUNTIFS('Raw Entries'!B:B,Table4[[#This Row],[Name]],'Raw Entries'!I:I,Table4[[#This Row],[BOOK No.]])</f>
        <v>0</v>
      </c>
      <c r="E2101" s="1">
        <f t="array" ref="E2101">IF(OR(Table4[[#This Row],[INSTALLMENT]]=1,Table4[[#This Row],[INSTALLMENT]]=2,Table4[[#This Row],[INSTALLMENT]]=3),1,0)</f>
        <v>0</v>
      </c>
      <c r="F2101" s="1">
        <f>IF(OR(Table4[[#This Row],[INSTALLMENT]]=2,Table4[[#This Row],[INSTALLMENT]]=3),2,0)</f>
        <v>0</v>
      </c>
      <c r="G2101" s="1">
        <f>IF(OR(Table4[[#This Row],[INSTALLMENT]]=3),3,0)</f>
        <v>0</v>
      </c>
    </row>
    <row r="2102" spans="1:7">
      <c r="A2102" s="1">
        <v>2460</v>
      </c>
      <c r="B2102" s="1" t="s">
        <v>3493</v>
      </c>
      <c r="C2102" s="1" t="s">
        <v>324</v>
      </c>
      <c r="D2102" s="1">
        <f>COUNTIFS('Raw Entries'!B:B,Table4[[#This Row],[Name]],'Raw Entries'!I:I,Table4[[#This Row],[BOOK No.]])</f>
        <v>0</v>
      </c>
      <c r="E2102" s="1">
        <f t="array" ref="E2102">IF(OR(Table4[[#This Row],[INSTALLMENT]]=1,Table4[[#This Row],[INSTALLMENT]]=2,Table4[[#This Row],[INSTALLMENT]]=3),1,0)</f>
        <v>0</v>
      </c>
      <c r="F2102" s="1">
        <f>IF(OR(Table4[[#This Row],[INSTALLMENT]]=2,Table4[[#This Row],[INSTALLMENT]]=3),2,0)</f>
        <v>0</v>
      </c>
      <c r="G2102" s="1">
        <f>IF(OR(Table4[[#This Row],[INSTALLMENT]]=3),3,0)</f>
        <v>0</v>
      </c>
    </row>
    <row r="2103" spans="1:7">
      <c r="A2103" s="1">
        <v>2461</v>
      </c>
      <c r="B2103" s="1" t="s">
        <v>3494</v>
      </c>
      <c r="C2103" s="1" t="s">
        <v>324</v>
      </c>
      <c r="D2103" s="1">
        <f>COUNTIFS('Raw Entries'!B:B,Table4[[#This Row],[Name]],'Raw Entries'!I:I,Table4[[#This Row],[BOOK No.]])</f>
        <v>0</v>
      </c>
      <c r="E2103" s="1">
        <f t="array" ref="E2103">IF(OR(Table4[[#This Row],[INSTALLMENT]]=1,Table4[[#This Row],[INSTALLMENT]]=2,Table4[[#This Row],[INSTALLMENT]]=3),1,0)</f>
        <v>0</v>
      </c>
      <c r="F2103" s="1">
        <f>IF(OR(Table4[[#This Row],[INSTALLMENT]]=2,Table4[[#This Row],[INSTALLMENT]]=3),2,0)</f>
        <v>0</v>
      </c>
      <c r="G2103" s="1">
        <f>IF(OR(Table4[[#This Row],[INSTALLMENT]]=3),3,0)</f>
        <v>0</v>
      </c>
    </row>
    <row r="2104" spans="1:7">
      <c r="A2104" s="1">
        <v>2462</v>
      </c>
      <c r="B2104" s="1" t="s">
        <v>3495</v>
      </c>
      <c r="C2104" s="1" t="s">
        <v>324</v>
      </c>
      <c r="D2104" s="1">
        <f>COUNTIFS('Raw Entries'!B:B,Table4[[#This Row],[Name]],'Raw Entries'!I:I,Table4[[#This Row],[BOOK No.]])</f>
        <v>0</v>
      </c>
      <c r="E2104" s="1">
        <f t="array" ref="E2104">IF(OR(Table4[[#This Row],[INSTALLMENT]]=1,Table4[[#This Row],[INSTALLMENT]]=2,Table4[[#This Row],[INSTALLMENT]]=3),1,0)</f>
        <v>0</v>
      </c>
      <c r="F2104" s="1">
        <f>IF(OR(Table4[[#This Row],[INSTALLMENT]]=2,Table4[[#This Row],[INSTALLMENT]]=3),2,0)</f>
        <v>0</v>
      </c>
      <c r="G2104" s="1">
        <f>IF(OR(Table4[[#This Row],[INSTALLMENT]]=3),3,0)</f>
        <v>0</v>
      </c>
    </row>
    <row r="2105" spans="1:7">
      <c r="A2105" s="1">
        <v>2463</v>
      </c>
      <c r="B2105" s="1" t="s">
        <v>328</v>
      </c>
      <c r="C2105" s="1" t="s">
        <v>324</v>
      </c>
      <c r="D2105" s="1">
        <f>COUNTIFS('Raw Entries'!B:B,Table4[[#This Row],[Name]],'Raw Entries'!I:I,Table4[[#This Row],[BOOK No.]])</f>
        <v>1</v>
      </c>
      <c r="E2105" s="1">
        <f t="array" ref="E2105">IF(OR(Table4[[#This Row],[INSTALLMENT]]=1,Table4[[#This Row],[INSTALLMENT]]=2,Table4[[#This Row],[INSTALLMENT]]=3),1,0)</f>
        <v>1</v>
      </c>
      <c r="F2105" s="1">
        <f>IF(OR(Table4[[#This Row],[INSTALLMENT]]=2,Table4[[#This Row],[INSTALLMENT]]=3),2,0)</f>
        <v>0</v>
      </c>
      <c r="G2105" s="1">
        <f>IF(OR(Table4[[#This Row],[INSTALLMENT]]=3),3,0)</f>
        <v>0</v>
      </c>
    </row>
    <row r="2106" spans="1:7">
      <c r="A2106" s="1">
        <v>2464</v>
      </c>
      <c r="B2106" s="1" t="s">
        <v>332</v>
      </c>
      <c r="C2106" s="1" t="s">
        <v>324</v>
      </c>
      <c r="D2106" s="1">
        <f>COUNTIFS('Raw Entries'!B:B,Table4[[#This Row],[Name]],'Raw Entries'!I:I,Table4[[#This Row],[BOOK No.]])</f>
        <v>3</v>
      </c>
      <c r="E2106" s="1">
        <f t="array" ref="E2106">IF(OR(Table4[[#This Row],[INSTALLMENT]]=1,Table4[[#This Row],[INSTALLMENT]]=2,Table4[[#This Row],[INSTALLMENT]]=3),1,0)</f>
        <v>1</v>
      </c>
      <c r="F2106" s="1">
        <f>IF(OR(Table4[[#This Row],[INSTALLMENT]]=2,Table4[[#This Row],[INSTALLMENT]]=3),2,0)</f>
        <v>2</v>
      </c>
      <c r="G2106" s="1">
        <f>IF(OR(Table4[[#This Row],[INSTALLMENT]]=3),3,0)</f>
        <v>3</v>
      </c>
    </row>
    <row r="2107" spans="1:7">
      <c r="A2107" s="1">
        <v>2465</v>
      </c>
      <c r="B2107" s="1" t="s">
        <v>3496</v>
      </c>
      <c r="C2107" s="1" t="s">
        <v>324</v>
      </c>
      <c r="D2107" s="1">
        <f>COUNTIFS('Raw Entries'!B:B,Table4[[#This Row],[Name]],'Raw Entries'!I:I,Table4[[#This Row],[BOOK No.]])</f>
        <v>0</v>
      </c>
      <c r="E2107" s="1">
        <f t="array" ref="E2107">IF(OR(Table4[[#This Row],[INSTALLMENT]]=1,Table4[[#This Row],[INSTALLMENT]]=2,Table4[[#This Row],[INSTALLMENT]]=3),1,0)</f>
        <v>0</v>
      </c>
      <c r="F2107" s="1">
        <f>IF(OR(Table4[[#This Row],[INSTALLMENT]]=2,Table4[[#This Row],[INSTALLMENT]]=3),2,0)</f>
        <v>0</v>
      </c>
      <c r="G2107" s="1">
        <f>IF(OR(Table4[[#This Row],[INSTALLMENT]]=3),3,0)</f>
        <v>0</v>
      </c>
    </row>
    <row r="2108" spans="1:7">
      <c r="A2108" s="1">
        <v>2466</v>
      </c>
      <c r="B2108" s="1" t="s">
        <v>3497</v>
      </c>
      <c r="C2108" s="1" t="s">
        <v>324</v>
      </c>
      <c r="D2108" s="1">
        <f>COUNTIFS('Raw Entries'!B:B,Table4[[#This Row],[Name]],'Raw Entries'!I:I,Table4[[#This Row],[BOOK No.]])</f>
        <v>0</v>
      </c>
      <c r="E2108" s="1">
        <f t="array" ref="E2108">IF(OR(Table4[[#This Row],[INSTALLMENT]]=1,Table4[[#This Row],[INSTALLMENT]]=2,Table4[[#This Row],[INSTALLMENT]]=3),1,0)</f>
        <v>0</v>
      </c>
      <c r="F2108" s="1">
        <f>IF(OR(Table4[[#This Row],[INSTALLMENT]]=2,Table4[[#This Row],[INSTALLMENT]]=3),2,0)</f>
        <v>0</v>
      </c>
      <c r="G2108" s="1">
        <f>IF(OR(Table4[[#This Row],[INSTALLMENT]]=3),3,0)</f>
        <v>0</v>
      </c>
    </row>
    <row r="2109" spans="1:7">
      <c r="A2109" s="1">
        <v>2467</v>
      </c>
      <c r="B2109" s="1" t="s">
        <v>657</v>
      </c>
      <c r="C2109" s="1" t="s">
        <v>324</v>
      </c>
      <c r="D2109" s="1">
        <f>COUNTIFS('Raw Entries'!B:B,Table4[[#This Row],[Name]],'Raw Entries'!I:I,Table4[[#This Row],[BOOK No.]])</f>
        <v>1</v>
      </c>
      <c r="E2109" s="1">
        <f t="array" ref="E2109">IF(OR(Table4[[#This Row],[INSTALLMENT]]=1,Table4[[#This Row],[INSTALLMENT]]=2,Table4[[#This Row],[INSTALLMENT]]=3),1,0)</f>
        <v>1</v>
      </c>
      <c r="F2109" s="1">
        <f>IF(OR(Table4[[#This Row],[INSTALLMENT]]=2,Table4[[#This Row],[INSTALLMENT]]=3),2,0)</f>
        <v>0</v>
      </c>
      <c r="G2109" s="1">
        <f>IF(OR(Table4[[#This Row],[INSTALLMENT]]=3),3,0)</f>
        <v>0</v>
      </c>
    </row>
    <row r="2110" spans="1:7">
      <c r="A2110" s="1">
        <v>2468</v>
      </c>
      <c r="B2110" s="1" t="s">
        <v>3498</v>
      </c>
      <c r="C2110" s="1" t="s">
        <v>324</v>
      </c>
      <c r="D2110" s="1">
        <f>COUNTIFS('Raw Entries'!B:B,Table4[[#This Row],[Name]],'Raw Entries'!I:I,Table4[[#This Row],[BOOK No.]])</f>
        <v>0</v>
      </c>
      <c r="E2110" s="1">
        <f t="array" ref="E2110">IF(OR(Table4[[#This Row],[INSTALLMENT]]=1,Table4[[#This Row],[INSTALLMENT]]=2,Table4[[#This Row],[INSTALLMENT]]=3),1,0)</f>
        <v>0</v>
      </c>
      <c r="F2110" s="1">
        <f>IF(OR(Table4[[#This Row],[INSTALLMENT]]=2,Table4[[#This Row],[INSTALLMENT]]=3),2,0)</f>
        <v>0</v>
      </c>
      <c r="G2110" s="1">
        <f>IF(OR(Table4[[#This Row],[INSTALLMENT]]=3),3,0)</f>
        <v>0</v>
      </c>
    </row>
    <row r="2111" spans="1:7">
      <c r="A2111" s="1">
        <v>2469</v>
      </c>
      <c r="B2111" s="1" t="s">
        <v>3499</v>
      </c>
      <c r="C2111" s="1" t="s">
        <v>324</v>
      </c>
      <c r="D2111" s="1">
        <f>COUNTIFS('Raw Entries'!B:B,Table4[[#This Row],[Name]],'Raw Entries'!I:I,Table4[[#This Row],[BOOK No.]])</f>
        <v>0</v>
      </c>
      <c r="E2111" s="1">
        <f t="array" ref="E2111">IF(OR(Table4[[#This Row],[INSTALLMENT]]=1,Table4[[#This Row],[INSTALLMENT]]=2,Table4[[#This Row],[INSTALLMENT]]=3),1,0)</f>
        <v>0</v>
      </c>
      <c r="F2111" s="1">
        <f>IF(OR(Table4[[#This Row],[INSTALLMENT]]=2,Table4[[#This Row],[INSTALLMENT]]=3),2,0)</f>
        <v>0</v>
      </c>
      <c r="G2111" s="1">
        <f>IF(OR(Table4[[#This Row],[INSTALLMENT]]=3),3,0)</f>
        <v>0</v>
      </c>
    </row>
    <row r="2112" spans="1:7">
      <c r="A2112" s="1">
        <v>2470</v>
      </c>
      <c r="B2112" s="1" t="s">
        <v>3500</v>
      </c>
      <c r="C2112" s="1" t="s">
        <v>324</v>
      </c>
      <c r="D2112" s="1">
        <f>COUNTIFS('Raw Entries'!B:B,Table4[[#This Row],[Name]],'Raw Entries'!I:I,Table4[[#This Row],[BOOK No.]])</f>
        <v>0</v>
      </c>
      <c r="E2112" s="1">
        <f t="array" ref="E2112">IF(OR(Table4[[#This Row],[INSTALLMENT]]=1,Table4[[#This Row],[INSTALLMENT]]=2,Table4[[#This Row],[INSTALLMENT]]=3),1,0)</f>
        <v>0</v>
      </c>
      <c r="F2112" s="1">
        <f>IF(OR(Table4[[#This Row],[INSTALLMENT]]=2,Table4[[#This Row],[INSTALLMENT]]=3),2,0)</f>
        <v>0</v>
      </c>
      <c r="G2112" s="1">
        <f>IF(OR(Table4[[#This Row],[INSTALLMENT]]=3),3,0)</f>
        <v>0</v>
      </c>
    </row>
    <row r="2113" spans="1:7">
      <c r="A2113" s="1">
        <v>2471</v>
      </c>
      <c r="B2113" s="1" t="s">
        <v>3501</v>
      </c>
      <c r="C2113" s="1" t="s">
        <v>334</v>
      </c>
      <c r="D2113" s="1">
        <f>COUNTIFS('Raw Entries'!B:B,Table4[[#This Row],[Name]],'Raw Entries'!I:I,Table4[[#This Row],[BOOK No.]])</f>
        <v>0</v>
      </c>
      <c r="E2113" s="1">
        <f t="array" ref="E2113">IF(OR(Table4[[#This Row],[INSTALLMENT]]=1,Table4[[#This Row],[INSTALLMENT]]=2,Table4[[#This Row],[INSTALLMENT]]=3),1,0)</f>
        <v>0</v>
      </c>
      <c r="F2113" s="1">
        <f>IF(OR(Table4[[#This Row],[INSTALLMENT]]=2,Table4[[#This Row],[INSTALLMENT]]=3),2,0)</f>
        <v>0</v>
      </c>
      <c r="G2113" s="1">
        <f>IF(OR(Table4[[#This Row],[INSTALLMENT]]=3),3,0)</f>
        <v>0</v>
      </c>
    </row>
    <row r="2114" spans="1:7">
      <c r="A2114" s="1">
        <v>2472</v>
      </c>
      <c r="B2114" s="1" t="s">
        <v>3502</v>
      </c>
      <c r="C2114" s="1" t="s">
        <v>334</v>
      </c>
      <c r="D2114" s="1">
        <f>COUNTIFS('Raw Entries'!B:B,Table4[[#This Row],[Name]],'Raw Entries'!I:I,Table4[[#This Row],[BOOK No.]])</f>
        <v>0</v>
      </c>
      <c r="E2114" s="1">
        <f t="array" ref="E2114">IF(OR(Table4[[#This Row],[INSTALLMENT]]=1,Table4[[#This Row],[INSTALLMENT]]=2,Table4[[#This Row],[INSTALLMENT]]=3),1,0)</f>
        <v>0</v>
      </c>
      <c r="F2114" s="1">
        <f>IF(OR(Table4[[#This Row],[INSTALLMENT]]=2,Table4[[#This Row],[INSTALLMENT]]=3),2,0)</f>
        <v>0</v>
      </c>
      <c r="G2114" s="1">
        <f>IF(OR(Table4[[#This Row],[INSTALLMENT]]=3),3,0)</f>
        <v>0</v>
      </c>
    </row>
    <row r="2115" spans="1:7">
      <c r="A2115" s="1">
        <v>2473</v>
      </c>
      <c r="B2115" s="1" t="s">
        <v>3503</v>
      </c>
      <c r="C2115" s="1" t="s">
        <v>334</v>
      </c>
      <c r="D2115" s="1">
        <f>COUNTIFS('Raw Entries'!B:B,Table4[[#This Row],[Name]],'Raw Entries'!I:I,Table4[[#This Row],[BOOK No.]])</f>
        <v>0</v>
      </c>
      <c r="E2115" s="1">
        <f t="array" ref="E2115">IF(OR(Table4[[#This Row],[INSTALLMENT]]=1,Table4[[#This Row],[INSTALLMENT]]=2,Table4[[#This Row],[INSTALLMENT]]=3),1,0)</f>
        <v>0</v>
      </c>
      <c r="F2115" s="1">
        <f>IF(OR(Table4[[#This Row],[INSTALLMENT]]=2,Table4[[#This Row],[INSTALLMENT]]=3),2,0)</f>
        <v>0</v>
      </c>
      <c r="G2115" s="1">
        <f>IF(OR(Table4[[#This Row],[INSTALLMENT]]=3),3,0)</f>
        <v>0</v>
      </c>
    </row>
    <row r="2116" spans="1:7">
      <c r="A2116" s="1">
        <v>2474</v>
      </c>
      <c r="B2116" s="1" t="s">
        <v>3504</v>
      </c>
      <c r="C2116" s="1" t="s">
        <v>334</v>
      </c>
      <c r="D2116" s="1">
        <f>COUNTIFS('Raw Entries'!B:B,Table4[[#This Row],[Name]],'Raw Entries'!I:I,Table4[[#This Row],[BOOK No.]])</f>
        <v>0</v>
      </c>
      <c r="E2116" s="1">
        <f t="array" ref="E2116">IF(OR(Table4[[#This Row],[INSTALLMENT]]=1,Table4[[#This Row],[INSTALLMENT]]=2,Table4[[#This Row],[INSTALLMENT]]=3),1,0)</f>
        <v>0</v>
      </c>
      <c r="F2116" s="1">
        <f>IF(OR(Table4[[#This Row],[INSTALLMENT]]=2,Table4[[#This Row],[INSTALLMENT]]=3),2,0)</f>
        <v>0</v>
      </c>
      <c r="G2116" s="1">
        <f>IF(OR(Table4[[#This Row],[INSTALLMENT]]=3),3,0)</f>
        <v>0</v>
      </c>
    </row>
    <row r="2117" spans="1:7">
      <c r="A2117" s="1">
        <v>2475</v>
      </c>
      <c r="B2117" s="1" t="s">
        <v>3505</v>
      </c>
      <c r="C2117" s="1" t="s">
        <v>334</v>
      </c>
      <c r="D2117" s="1">
        <f>COUNTIFS('Raw Entries'!B:B,Table4[[#This Row],[Name]],'Raw Entries'!I:I,Table4[[#This Row],[BOOK No.]])</f>
        <v>0</v>
      </c>
      <c r="E2117" s="1">
        <f t="array" ref="E2117">IF(OR(Table4[[#This Row],[INSTALLMENT]]=1,Table4[[#This Row],[INSTALLMENT]]=2,Table4[[#This Row],[INSTALLMENT]]=3),1,0)</f>
        <v>0</v>
      </c>
      <c r="F2117" s="1">
        <f>IF(OR(Table4[[#This Row],[INSTALLMENT]]=2,Table4[[#This Row],[INSTALLMENT]]=3),2,0)</f>
        <v>0</v>
      </c>
      <c r="G2117" s="1">
        <f>IF(OR(Table4[[#This Row],[INSTALLMENT]]=3),3,0)</f>
        <v>0</v>
      </c>
    </row>
    <row r="2118" spans="1:7">
      <c r="A2118" s="1">
        <v>2476</v>
      </c>
      <c r="B2118" s="1" t="s">
        <v>3506</v>
      </c>
      <c r="C2118" s="1" t="s">
        <v>334</v>
      </c>
      <c r="D2118" s="1">
        <f>COUNTIFS('Raw Entries'!B:B,Table4[[#This Row],[Name]],'Raw Entries'!I:I,Table4[[#This Row],[BOOK No.]])</f>
        <v>0</v>
      </c>
      <c r="E2118" s="1">
        <f t="array" ref="E2118">IF(OR(Table4[[#This Row],[INSTALLMENT]]=1,Table4[[#This Row],[INSTALLMENT]]=2,Table4[[#This Row],[INSTALLMENT]]=3),1,0)</f>
        <v>0</v>
      </c>
      <c r="F2118" s="1">
        <f>IF(OR(Table4[[#This Row],[INSTALLMENT]]=2,Table4[[#This Row],[INSTALLMENT]]=3),2,0)</f>
        <v>0</v>
      </c>
      <c r="G2118" s="1">
        <f>IF(OR(Table4[[#This Row],[INSTALLMENT]]=3),3,0)</f>
        <v>0</v>
      </c>
    </row>
    <row r="2119" spans="1:7">
      <c r="A2119" s="1">
        <v>2477</v>
      </c>
      <c r="B2119" s="1" t="s">
        <v>3507</v>
      </c>
      <c r="C2119" s="1" t="s">
        <v>334</v>
      </c>
      <c r="D2119" s="1">
        <f>COUNTIFS('Raw Entries'!B:B,Table4[[#This Row],[Name]],'Raw Entries'!I:I,Table4[[#This Row],[BOOK No.]])</f>
        <v>0</v>
      </c>
      <c r="E2119" s="1">
        <f t="array" ref="E2119">IF(OR(Table4[[#This Row],[INSTALLMENT]]=1,Table4[[#This Row],[INSTALLMENT]]=2,Table4[[#This Row],[INSTALLMENT]]=3),1,0)</f>
        <v>0</v>
      </c>
      <c r="F2119" s="1">
        <f>IF(OR(Table4[[#This Row],[INSTALLMENT]]=2,Table4[[#This Row],[INSTALLMENT]]=3),2,0)</f>
        <v>0</v>
      </c>
      <c r="G2119" s="1">
        <f>IF(OR(Table4[[#This Row],[INSTALLMENT]]=3),3,0)</f>
        <v>0</v>
      </c>
    </row>
    <row r="2120" spans="1:7">
      <c r="A2120" s="1">
        <v>2478</v>
      </c>
      <c r="B2120" s="1" t="s">
        <v>336</v>
      </c>
      <c r="C2120" s="1" t="s">
        <v>334</v>
      </c>
      <c r="D2120" s="1">
        <f>COUNTIFS('Raw Entries'!B:B,Table4[[#This Row],[Name]],'Raw Entries'!I:I,Table4[[#This Row],[BOOK No.]])</f>
        <v>2</v>
      </c>
      <c r="E2120" s="1">
        <f t="array" ref="E2120">IF(OR(Table4[[#This Row],[INSTALLMENT]]=1,Table4[[#This Row],[INSTALLMENT]]=2,Table4[[#This Row],[INSTALLMENT]]=3),1,0)</f>
        <v>1</v>
      </c>
      <c r="F2120" s="1">
        <f>IF(OR(Table4[[#This Row],[INSTALLMENT]]=2,Table4[[#This Row],[INSTALLMENT]]=3),2,0)</f>
        <v>2</v>
      </c>
      <c r="G2120" s="1">
        <f>IF(OR(Table4[[#This Row],[INSTALLMENT]]=3),3,0)</f>
        <v>0</v>
      </c>
    </row>
    <row r="2121" spans="1:7">
      <c r="A2121" s="1">
        <v>2479</v>
      </c>
      <c r="B2121" s="1" t="s">
        <v>339</v>
      </c>
      <c r="C2121" s="1" t="s">
        <v>334</v>
      </c>
      <c r="D2121" s="1">
        <f>COUNTIFS('Raw Entries'!B:B,Table4[[#This Row],[Name]],'Raw Entries'!I:I,Table4[[#This Row],[BOOK No.]])</f>
        <v>1</v>
      </c>
      <c r="E2121" s="1">
        <f t="array" ref="E2121">IF(OR(Table4[[#This Row],[INSTALLMENT]]=1,Table4[[#This Row],[INSTALLMENT]]=2,Table4[[#This Row],[INSTALLMENT]]=3),1,0)</f>
        <v>1</v>
      </c>
      <c r="F2121" s="1">
        <f>IF(OR(Table4[[#This Row],[INSTALLMENT]]=2,Table4[[#This Row],[INSTALLMENT]]=3),2,0)</f>
        <v>0</v>
      </c>
      <c r="G2121" s="1">
        <f>IF(OR(Table4[[#This Row],[INSTALLMENT]]=3),3,0)</f>
        <v>0</v>
      </c>
    </row>
    <row r="2122" spans="1:7">
      <c r="A2122" s="1">
        <v>2480</v>
      </c>
      <c r="B2122" s="1" t="s">
        <v>3508</v>
      </c>
      <c r="C2122" s="1" t="s">
        <v>334</v>
      </c>
      <c r="D2122" s="1">
        <f>COUNTIFS('Raw Entries'!B:B,Table4[[#This Row],[Name]],'Raw Entries'!I:I,Table4[[#This Row],[BOOK No.]])</f>
        <v>0</v>
      </c>
      <c r="E2122" s="1">
        <f t="array" ref="E2122">IF(OR(Table4[[#This Row],[INSTALLMENT]]=1,Table4[[#This Row],[INSTALLMENT]]=2,Table4[[#This Row],[INSTALLMENT]]=3),1,0)</f>
        <v>0</v>
      </c>
      <c r="F2122" s="1">
        <f>IF(OR(Table4[[#This Row],[INSTALLMENT]]=2,Table4[[#This Row],[INSTALLMENT]]=3),2,0)</f>
        <v>0</v>
      </c>
      <c r="G2122" s="1">
        <f>IF(OR(Table4[[#This Row],[INSTALLMENT]]=3),3,0)</f>
        <v>0</v>
      </c>
    </row>
    <row r="2123" spans="1:7">
      <c r="A2123" s="1">
        <v>2481</v>
      </c>
      <c r="B2123" s="1" t="s">
        <v>3509</v>
      </c>
      <c r="C2123" s="1" t="s">
        <v>334</v>
      </c>
      <c r="D2123" s="1">
        <f>COUNTIFS('Raw Entries'!B:B,Table4[[#This Row],[Name]],'Raw Entries'!I:I,Table4[[#This Row],[BOOK No.]])</f>
        <v>0</v>
      </c>
      <c r="E2123" s="1">
        <f t="array" ref="E2123">IF(OR(Table4[[#This Row],[INSTALLMENT]]=1,Table4[[#This Row],[INSTALLMENT]]=2,Table4[[#This Row],[INSTALLMENT]]=3),1,0)</f>
        <v>0</v>
      </c>
      <c r="F2123" s="1">
        <f>IF(OR(Table4[[#This Row],[INSTALLMENT]]=2,Table4[[#This Row],[INSTALLMENT]]=3),2,0)</f>
        <v>0</v>
      </c>
      <c r="G2123" s="1">
        <f>IF(OR(Table4[[#This Row],[INSTALLMENT]]=3),3,0)</f>
        <v>0</v>
      </c>
    </row>
    <row r="2124" spans="1:7">
      <c r="A2124" s="1">
        <v>2482</v>
      </c>
      <c r="B2124" s="1" t="s">
        <v>3510</v>
      </c>
      <c r="C2124" s="1" t="s">
        <v>334</v>
      </c>
      <c r="D2124" s="1">
        <f>COUNTIFS('Raw Entries'!B:B,Table4[[#This Row],[Name]],'Raw Entries'!I:I,Table4[[#This Row],[BOOK No.]])</f>
        <v>1</v>
      </c>
      <c r="E2124" s="1">
        <f t="array" ref="E2124">IF(OR(Table4[[#This Row],[INSTALLMENT]]=1,Table4[[#This Row],[INSTALLMENT]]=2,Table4[[#This Row],[INSTALLMENT]]=3),1,0)</f>
        <v>1</v>
      </c>
      <c r="F2124" s="1">
        <f>IF(OR(Table4[[#This Row],[INSTALLMENT]]=2,Table4[[#This Row],[INSTALLMENT]]=3),2,0)</f>
        <v>0</v>
      </c>
      <c r="G2124" s="1">
        <f>IF(OR(Table4[[#This Row],[INSTALLMENT]]=3),3,0)</f>
        <v>0</v>
      </c>
    </row>
    <row r="2125" spans="1:7">
      <c r="A2125" s="1">
        <v>2483</v>
      </c>
      <c r="B2125" s="1" t="s">
        <v>3511</v>
      </c>
      <c r="C2125" s="1" t="s">
        <v>334</v>
      </c>
      <c r="D2125" s="1">
        <f>COUNTIFS('Raw Entries'!B:B,Table4[[#This Row],[Name]],'Raw Entries'!I:I,Table4[[#This Row],[BOOK No.]])</f>
        <v>0</v>
      </c>
      <c r="E2125" s="1">
        <f t="array" ref="E2125">IF(OR(Table4[[#This Row],[INSTALLMENT]]=1,Table4[[#This Row],[INSTALLMENT]]=2,Table4[[#This Row],[INSTALLMENT]]=3),1,0)</f>
        <v>0</v>
      </c>
      <c r="F2125" s="1">
        <f>IF(OR(Table4[[#This Row],[INSTALLMENT]]=2,Table4[[#This Row],[INSTALLMENT]]=3),2,0)</f>
        <v>0</v>
      </c>
      <c r="G2125" s="1">
        <f>IF(OR(Table4[[#This Row],[INSTALLMENT]]=3),3,0)</f>
        <v>0</v>
      </c>
    </row>
    <row r="2126" spans="1:7">
      <c r="A2126" s="1">
        <v>2484</v>
      </c>
      <c r="B2126" s="1" t="s">
        <v>3512</v>
      </c>
      <c r="C2126" s="1" t="s">
        <v>334</v>
      </c>
      <c r="D2126" s="1">
        <f>COUNTIFS('Raw Entries'!B:B,Table4[[#This Row],[Name]],'Raw Entries'!I:I,Table4[[#This Row],[BOOK No.]])</f>
        <v>0</v>
      </c>
      <c r="E2126" s="1">
        <f t="array" ref="E2126">IF(OR(Table4[[#This Row],[INSTALLMENT]]=1,Table4[[#This Row],[INSTALLMENT]]=2,Table4[[#This Row],[INSTALLMENT]]=3),1,0)</f>
        <v>0</v>
      </c>
      <c r="F2126" s="1">
        <f>IF(OR(Table4[[#This Row],[INSTALLMENT]]=2,Table4[[#This Row],[INSTALLMENT]]=3),2,0)</f>
        <v>0</v>
      </c>
      <c r="G2126" s="1">
        <f>IF(OR(Table4[[#This Row],[INSTALLMENT]]=3),3,0)</f>
        <v>0</v>
      </c>
    </row>
    <row r="2127" spans="1:7">
      <c r="A2127" s="1">
        <v>2485</v>
      </c>
      <c r="B2127" s="1" t="s">
        <v>3513</v>
      </c>
      <c r="C2127" s="1" t="s">
        <v>334</v>
      </c>
      <c r="D2127" s="1">
        <f>COUNTIFS('Raw Entries'!B:B,Table4[[#This Row],[Name]],'Raw Entries'!I:I,Table4[[#This Row],[BOOK No.]])</f>
        <v>0</v>
      </c>
      <c r="E2127" s="1">
        <f t="array" ref="E2127">IF(OR(Table4[[#This Row],[INSTALLMENT]]=1,Table4[[#This Row],[INSTALLMENT]]=2,Table4[[#This Row],[INSTALLMENT]]=3),1,0)</f>
        <v>0</v>
      </c>
      <c r="F2127" s="1">
        <f>IF(OR(Table4[[#This Row],[INSTALLMENT]]=2,Table4[[#This Row],[INSTALLMENT]]=3),2,0)</f>
        <v>0</v>
      </c>
      <c r="G2127" s="1">
        <f>IF(OR(Table4[[#This Row],[INSTALLMENT]]=3),3,0)</f>
        <v>0</v>
      </c>
    </row>
    <row r="2128" spans="1:7">
      <c r="A2128" s="1">
        <v>2486</v>
      </c>
      <c r="B2128" s="1" t="s">
        <v>3514</v>
      </c>
      <c r="C2128" s="1" t="s">
        <v>334</v>
      </c>
      <c r="D2128" s="1">
        <f>COUNTIFS('Raw Entries'!B:B,Table4[[#This Row],[Name]],'Raw Entries'!I:I,Table4[[#This Row],[BOOK No.]])</f>
        <v>3</v>
      </c>
      <c r="E2128" s="1">
        <f t="array" ref="E2128">IF(OR(Table4[[#This Row],[INSTALLMENT]]=1,Table4[[#This Row],[INSTALLMENT]]=2,Table4[[#This Row],[INSTALLMENT]]=3),1,0)</f>
        <v>1</v>
      </c>
      <c r="F2128" s="1">
        <f>IF(OR(Table4[[#This Row],[INSTALLMENT]]=2,Table4[[#This Row],[INSTALLMENT]]=3),2,0)</f>
        <v>2</v>
      </c>
      <c r="G2128" s="1">
        <f>IF(OR(Table4[[#This Row],[INSTALLMENT]]=3),3,0)</f>
        <v>3</v>
      </c>
    </row>
    <row r="2129" spans="1:7">
      <c r="A2129" s="1">
        <v>2487</v>
      </c>
      <c r="B2129" s="1" t="s">
        <v>3515</v>
      </c>
      <c r="C2129" s="1" t="s">
        <v>334</v>
      </c>
      <c r="D2129" s="1">
        <f>COUNTIFS('Raw Entries'!B:B,Table4[[#This Row],[Name]],'Raw Entries'!I:I,Table4[[#This Row],[BOOK No.]])</f>
        <v>0</v>
      </c>
      <c r="E2129" s="1">
        <f t="array" ref="E2129">IF(OR(Table4[[#This Row],[INSTALLMENT]]=1,Table4[[#This Row],[INSTALLMENT]]=2,Table4[[#This Row],[INSTALLMENT]]=3),1,0)</f>
        <v>0</v>
      </c>
      <c r="F2129" s="1">
        <f>IF(OR(Table4[[#This Row],[INSTALLMENT]]=2,Table4[[#This Row],[INSTALLMENT]]=3),2,0)</f>
        <v>0</v>
      </c>
      <c r="G2129" s="1">
        <f>IF(OR(Table4[[#This Row],[INSTALLMENT]]=3),3,0)</f>
        <v>0</v>
      </c>
    </row>
    <row r="2130" spans="1:7">
      <c r="A2130" s="1">
        <v>2488</v>
      </c>
      <c r="B2130" s="1" t="s">
        <v>3516</v>
      </c>
      <c r="C2130" s="1" t="s">
        <v>334</v>
      </c>
      <c r="D2130" s="1">
        <f>COUNTIFS('Raw Entries'!B:B,Table4[[#This Row],[Name]],'Raw Entries'!I:I,Table4[[#This Row],[BOOK No.]])</f>
        <v>0</v>
      </c>
      <c r="E2130" s="1">
        <f t="array" ref="E2130">IF(OR(Table4[[#This Row],[INSTALLMENT]]=1,Table4[[#This Row],[INSTALLMENT]]=2,Table4[[#This Row],[INSTALLMENT]]=3),1,0)</f>
        <v>0</v>
      </c>
      <c r="F2130" s="1">
        <f>IF(OR(Table4[[#This Row],[INSTALLMENT]]=2,Table4[[#This Row],[INSTALLMENT]]=3),2,0)</f>
        <v>0</v>
      </c>
      <c r="G2130" s="1">
        <f>IF(OR(Table4[[#This Row],[INSTALLMENT]]=3),3,0)</f>
        <v>0</v>
      </c>
    </row>
    <row r="2131" spans="1:7">
      <c r="A2131" s="1">
        <v>2489</v>
      </c>
      <c r="B2131" s="1" t="s">
        <v>3517</v>
      </c>
      <c r="C2131" s="1" t="s">
        <v>334</v>
      </c>
      <c r="D2131" s="1">
        <f>COUNTIFS('Raw Entries'!B:B,Table4[[#This Row],[Name]],'Raw Entries'!I:I,Table4[[#This Row],[BOOK No.]])</f>
        <v>0</v>
      </c>
      <c r="E2131" s="1">
        <f t="array" ref="E2131">IF(OR(Table4[[#This Row],[INSTALLMENT]]=1,Table4[[#This Row],[INSTALLMENT]]=2,Table4[[#This Row],[INSTALLMENT]]=3),1,0)</f>
        <v>0</v>
      </c>
      <c r="F2131" s="1">
        <f>IF(OR(Table4[[#This Row],[INSTALLMENT]]=2,Table4[[#This Row],[INSTALLMENT]]=3),2,0)</f>
        <v>0</v>
      </c>
      <c r="G2131" s="1">
        <f>IF(OR(Table4[[#This Row],[INSTALLMENT]]=3),3,0)</f>
        <v>0</v>
      </c>
    </row>
    <row r="2132" spans="1:7">
      <c r="A2132" s="1">
        <v>2490</v>
      </c>
      <c r="B2132" s="41" t="s">
        <v>335</v>
      </c>
      <c r="C2132" s="1" t="s">
        <v>334</v>
      </c>
      <c r="D2132" s="1">
        <f>COUNTIFS('Raw Entries'!B:B,Table4[[#This Row],[Name]],'Raw Entries'!I:I,Table4[[#This Row],[BOOK No.]])</f>
        <v>1</v>
      </c>
      <c r="E2132" s="1">
        <f t="array" ref="E2132">IF(OR(Table4[[#This Row],[INSTALLMENT]]=1,Table4[[#This Row],[INSTALLMENT]]=2,Table4[[#This Row],[INSTALLMENT]]=3),1,0)</f>
        <v>1</v>
      </c>
      <c r="F2132" s="1">
        <f>IF(OR(Table4[[#This Row],[INSTALLMENT]]=2,Table4[[#This Row],[INSTALLMENT]]=3),2,0)</f>
        <v>0</v>
      </c>
      <c r="G2132" s="1">
        <f>IF(OR(Table4[[#This Row],[INSTALLMENT]]=3),3,0)</f>
        <v>0</v>
      </c>
    </row>
    <row r="2133" spans="1:7">
      <c r="A2133" s="1">
        <v>2491</v>
      </c>
      <c r="B2133" s="1" t="s">
        <v>337</v>
      </c>
      <c r="C2133" s="1" t="s">
        <v>334</v>
      </c>
      <c r="D2133" s="1">
        <f>COUNTIFS('Raw Entries'!B:B,Table4[[#This Row],[Name]],'Raw Entries'!I:I,Table4[[#This Row],[BOOK No.]])</f>
        <v>1</v>
      </c>
      <c r="E2133" s="1">
        <f t="array" ref="E2133">IF(OR(Table4[[#This Row],[INSTALLMENT]]=1,Table4[[#This Row],[INSTALLMENT]]=2,Table4[[#This Row],[INSTALLMENT]]=3),1,0)</f>
        <v>1</v>
      </c>
      <c r="F2133" s="1">
        <f>IF(OR(Table4[[#This Row],[INSTALLMENT]]=2,Table4[[#This Row],[INSTALLMENT]]=3),2,0)</f>
        <v>0</v>
      </c>
      <c r="G2133" s="1">
        <f>IF(OR(Table4[[#This Row],[INSTALLMENT]]=3),3,0)</f>
        <v>0</v>
      </c>
    </row>
    <row r="2134" spans="1:7">
      <c r="A2134" s="1">
        <v>2492</v>
      </c>
      <c r="B2134" s="1" t="s">
        <v>3518</v>
      </c>
      <c r="C2134" s="1" t="s">
        <v>334</v>
      </c>
      <c r="D2134" s="1">
        <f>COUNTIFS('Raw Entries'!B:B,Table4[[#This Row],[Name]],'Raw Entries'!I:I,Table4[[#This Row],[BOOK No.]])</f>
        <v>0</v>
      </c>
      <c r="E2134" s="1">
        <f t="array" ref="E2134">IF(OR(Table4[[#This Row],[INSTALLMENT]]=1,Table4[[#This Row],[INSTALLMENT]]=2,Table4[[#This Row],[INSTALLMENT]]=3),1,0)</f>
        <v>0</v>
      </c>
      <c r="F2134" s="1">
        <f>IF(OR(Table4[[#This Row],[INSTALLMENT]]=2,Table4[[#This Row],[INSTALLMENT]]=3),2,0)</f>
        <v>0</v>
      </c>
      <c r="G2134" s="1">
        <f>IF(OR(Table4[[#This Row],[INSTALLMENT]]=3),3,0)</f>
        <v>0</v>
      </c>
    </row>
    <row r="2135" spans="1:7">
      <c r="A2135" s="1">
        <v>2493</v>
      </c>
      <c r="B2135" s="1" t="s">
        <v>3519</v>
      </c>
      <c r="C2135" s="1" t="s">
        <v>334</v>
      </c>
      <c r="D2135" s="1">
        <f>COUNTIFS('Raw Entries'!B:B,Table4[[#This Row],[Name]],'Raw Entries'!I:I,Table4[[#This Row],[BOOK No.]])</f>
        <v>0</v>
      </c>
      <c r="E2135" s="1">
        <f t="array" ref="E2135">IF(OR(Table4[[#This Row],[INSTALLMENT]]=1,Table4[[#This Row],[INSTALLMENT]]=2,Table4[[#This Row],[INSTALLMENT]]=3),1,0)</f>
        <v>0</v>
      </c>
      <c r="F2135" s="1">
        <f>IF(OR(Table4[[#This Row],[INSTALLMENT]]=2,Table4[[#This Row],[INSTALLMENT]]=3),2,0)</f>
        <v>0</v>
      </c>
      <c r="G2135" s="1">
        <f>IF(OR(Table4[[#This Row],[INSTALLMENT]]=3),3,0)</f>
        <v>0</v>
      </c>
    </row>
    <row r="2136" spans="1:7">
      <c r="A2136" s="1">
        <v>2494</v>
      </c>
      <c r="B2136" s="1" t="s">
        <v>3520</v>
      </c>
      <c r="C2136" s="1" t="s">
        <v>340</v>
      </c>
      <c r="D2136" s="1">
        <f>COUNTIFS('Raw Entries'!B:B,Table4[[#This Row],[Name]],'Raw Entries'!I:I,Table4[[#This Row],[BOOK No.]])</f>
        <v>0</v>
      </c>
      <c r="E2136" s="1">
        <f t="array" ref="E2136">IF(OR(Table4[[#This Row],[INSTALLMENT]]=1,Table4[[#This Row],[INSTALLMENT]]=2,Table4[[#This Row],[INSTALLMENT]]=3),1,0)</f>
        <v>0</v>
      </c>
      <c r="F2136" s="1">
        <f>IF(OR(Table4[[#This Row],[INSTALLMENT]]=2,Table4[[#This Row],[INSTALLMENT]]=3),2,0)</f>
        <v>0</v>
      </c>
      <c r="G2136" s="1">
        <f>IF(OR(Table4[[#This Row],[INSTALLMENT]]=3),3,0)</f>
        <v>0</v>
      </c>
    </row>
    <row r="2137" spans="1:7">
      <c r="A2137" s="1">
        <v>2495</v>
      </c>
      <c r="B2137" s="1" t="s">
        <v>3521</v>
      </c>
      <c r="C2137" s="1" t="s">
        <v>340</v>
      </c>
      <c r="D2137" s="1">
        <f>COUNTIFS('Raw Entries'!B:B,Table4[[#This Row],[Name]],'Raw Entries'!I:I,Table4[[#This Row],[BOOK No.]])</f>
        <v>0</v>
      </c>
      <c r="E2137" s="1">
        <f t="array" ref="E2137">IF(OR(Table4[[#This Row],[INSTALLMENT]]=1,Table4[[#This Row],[INSTALLMENT]]=2,Table4[[#This Row],[INSTALLMENT]]=3),1,0)</f>
        <v>0</v>
      </c>
      <c r="F2137" s="1">
        <f>IF(OR(Table4[[#This Row],[INSTALLMENT]]=2,Table4[[#This Row],[INSTALLMENT]]=3),2,0)</f>
        <v>0</v>
      </c>
      <c r="G2137" s="1">
        <f>IF(OR(Table4[[#This Row],[INSTALLMENT]]=3),3,0)</f>
        <v>0</v>
      </c>
    </row>
    <row r="2138" spans="1:7">
      <c r="A2138" s="1">
        <v>2496</v>
      </c>
      <c r="B2138" s="1" t="s">
        <v>3522</v>
      </c>
      <c r="C2138" s="1" t="s">
        <v>340</v>
      </c>
      <c r="D2138" s="1">
        <f>COUNTIFS('Raw Entries'!B:B,Table4[[#This Row],[Name]],'Raw Entries'!I:I,Table4[[#This Row],[BOOK No.]])</f>
        <v>0</v>
      </c>
      <c r="E2138" s="1">
        <f t="array" ref="E2138">IF(OR(Table4[[#This Row],[INSTALLMENT]]=1,Table4[[#This Row],[INSTALLMENT]]=2,Table4[[#This Row],[INSTALLMENT]]=3),1,0)</f>
        <v>0</v>
      </c>
      <c r="F2138" s="1">
        <f>IF(OR(Table4[[#This Row],[INSTALLMENT]]=2,Table4[[#This Row],[INSTALLMENT]]=3),2,0)</f>
        <v>0</v>
      </c>
      <c r="G2138" s="1">
        <f>IF(OR(Table4[[#This Row],[INSTALLMENT]]=3),3,0)</f>
        <v>0</v>
      </c>
    </row>
    <row r="2139" spans="1:7">
      <c r="A2139" s="1">
        <v>2497</v>
      </c>
      <c r="B2139" s="1" t="s">
        <v>3478</v>
      </c>
      <c r="C2139" s="1" t="s">
        <v>340</v>
      </c>
      <c r="D2139" s="1">
        <f>COUNTIFS('Raw Entries'!B:B,Table4[[#This Row],[Name]],'Raw Entries'!I:I,Table4[[#This Row],[BOOK No.]])</f>
        <v>0</v>
      </c>
      <c r="E2139" s="1">
        <f t="array" ref="E2139">IF(OR(Table4[[#This Row],[INSTALLMENT]]=1,Table4[[#This Row],[INSTALLMENT]]=2,Table4[[#This Row],[INSTALLMENT]]=3),1,0)</f>
        <v>0</v>
      </c>
      <c r="F2139" s="1">
        <f>IF(OR(Table4[[#This Row],[INSTALLMENT]]=2,Table4[[#This Row],[INSTALLMENT]]=3),2,0)</f>
        <v>0</v>
      </c>
      <c r="G2139" s="1">
        <f>IF(OR(Table4[[#This Row],[INSTALLMENT]]=3),3,0)</f>
        <v>0</v>
      </c>
    </row>
    <row r="2140" spans="1:7">
      <c r="A2140" s="1">
        <v>2498</v>
      </c>
      <c r="B2140" s="1" t="s">
        <v>348</v>
      </c>
      <c r="C2140" s="1" t="s">
        <v>340</v>
      </c>
      <c r="D2140" s="1">
        <f>COUNTIFS('Raw Entries'!B:B,Table4[[#This Row],[Name]],'Raw Entries'!I:I,Table4[[#This Row],[BOOK No.]])</f>
        <v>3</v>
      </c>
      <c r="E2140" s="1">
        <f t="array" ref="E2140">IF(OR(Table4[[#This Row],[INSTALLMENT]]=1,Table4[[#This Row],[INSTALLMENT]]=2,Table4[[#This Row],[INSTALLMENT]]=3),1,0)</f>
        <v>1</v>
      </c>
      <c r="F2140" s="1">
        <f>IF(OR(Table4[[#This Row],[INSTALLMENT]]=2,Table4[[#This Row],[INSTALLMENT]]=3),2,0)</f>
        <v>2</v>
      </c>
      <c r="G2140" s="1">
        <f>IF(OR(Table4[[#This Row],[INSTALLMENT]]=3),3,0)</f>
        <v>3</v>
      </c>
    </row>
    <row r="2141" spans="1:7">
      <c r="A2141" s="1">
        <v>2499</v>
      </c>
      <c r="B2141" s="1" t="s">
        <v>625</v>
      </c>
      <c r="C2141" s="1" t="s">
        <v>340</v>
      </c>
      <c r="D2141" s="1">
        <f>COUNTIFS('Raw Entries'!B:B,Table4[[#This Row],[Name]],'Raw Entries'!I:I,Table4[[#This Row],[BOOK No.]])</f>
        <v>3</v>
      </c>
      <c r="E2141" s="1">
        <f t="array" ref="E2141">IF(OR(Table4[[#This Row],[INSTALLMENT]]=1,Table4[[#This Row],[INSTALLMENT]]=2,Table4[[#This Row],[INSTALLMENT]]=3),1,0)</f>
        <v>1</v>
      </c>
      <c r="F2141" s="1">
        <f>IF(OR(Table4[[#This Row],[INSTALLMENT]]=2,Table4[[#This Row],[INSTALLMENT]]=3),2,0)</f>
        <v>2</v>
      </c>
      <c r="G2141" s="1">
        <f>IF(OR(Table4[[#This Row],[INSTALLMENT]]=3),3,0)</f>
        <v>3</v>
      </c>
    </row>
    <row r="2142" spans="1:7">
      <c r="A2142" s="1">
        <v>2500</v>
      </c>
      <c r="B2142" s="1" t="s">
        <v>290</v>
      </c>
      <c r="C2142" s="1" t="s">
        <v>340</v>
      </c>
      <c r="D2142" s="1">
        <f>COUNTIFS('Raw Entries'!B:B,Table4[[#This Row],[Name]],'Raw Entries'!I:I,Table4[[#This Row],[BOOK No.]])</f>
        <v>0</v>
      </c>
      <c r="E2142" s="1">
        <f t="array" ref="E2142">IF(OR(Table4[[#This Row],[INSTALLMENT]]=1,Table4[[#This Row],[INSTALLMENT]]=2,Table4[[#This Row],[INSTALLMENT]]=3),1,0)</f>
        <v>0</v>
      </c>
      <c r="F2142" s="1">
        <f>IF(OR(Table4[[#This Row],[INSTALLMENT]]=2,Table4[[#This Row],[INSTALLMENT]]=3),2,0)</f>
        <v>0</v>
      </c>
      <c r="G2142" s="1">
        <f>IF(OR(Table4[[#This Row],[INSTALLMENT]]=3),3,0)</f>
        <v>0</v>
      </c>
    </row>
    <row r="2143" spans="1:7">
      <c r="A2143" s="1">
        <v>2501</v>
      </c>
      <c r="B2143" s="1" t="s">
        <v>343</v>
      </c>
      <c r="C2143" s="1" t="s">
        <v>340</v>
      </c>
      <c r="D2143" s="1">
        <f>COUNTIFS('Raw Entries'!B:B,Table4[[#This Row],[Name]],'Raw Entries'!I:I,Table4[[#This Row],[BOOK No.]])</f>
        <v>1</v>
      </c>
      <c r="E2143" s="1">
        <f t="array" ref="E2143">IF(OR(Table4[[#This Row],[INSTALLMENT]]=1,Table4[[#This Row],[INSTALLMENT]]=2,Table4[[#This Row],[INSTALLMENT]]=3),1,0)</f>
        <v>1</v>
      </c>
      <c r="F2143" s="1">
        <f>IF(OR(Table4[[#This Row],[INSTALLMENT]]=2,Table4[[#This Row],[INSTALLMENT]]=3),2,0)</f>
        <v>0</v>
      </c>
      <c r="G2143" s="1">
        <f>IF(OR(Table4[[#This Row],[INSTALLMENT]]=3),3,0)</f>
        <v>0</v>
      </c>
    </row>
    <row r="2144" spans="1:7">
      <c r="A2144" s="1">
        <v>2502</v>
      </c>
      <c r="B2144" s="1" t="s">
        <v>3523</v>
      </c>
      <c r="C2144" s="1" t="s">
        <v>340</v>
      </c>
      <c r="D2144" s="1">
        <f>COUNTIFS('Raw Entries'!B:B,Table4[[#This Row],[Name]],'Raw Entries'!I:I,Table4[[#This Row],[BOOK No.]])</f>
        <v>0</v>
      </c>
      <c r="E2144" s="1">
        <f t="array" ref="E2144">IF(OR(Table4[[#This Row],[INSTALLMENT]]=1,Table4[[#This Row],[INSTALLMENT]]=2,Table4[[#This Row],[INSTALLMENT]]=3),1,0)</f>
        <v>0</v>
      </c>
      <c r="F2144" s="1">
        <f>IF(OR(Table4[[#This Row],[INSTALLMENT]]=2,Table4[[#This Row],[INSTALLMENT]]=3),2,0)</f>
        <v>0</v>
      </c>
      <c r="G2144" s="1">
        <f>IF(OR(Table4[[#This Row],[INSTALLMENT]]=3),3,0)</f>
        <v>0</v>
      </c>
    </row>
    <row r="2145" spans="1:7">
      <c r="A2145" s="1">
        <v>2503</v>
      </c>
      <c r="B2145" s="1" t="s">
        <v>3524</v>
      </c>
      <c r="C2145" s="1" t="s">
        <v>340</v>
      </c>
      <c r="D2145" s="1">
        <f>COUNTIFS('Raw Entries'!B:B,Table4[[#This Row],[Name]],'Raw Entries'!I:I,Table4[[#This Row],[BOOK No.]])</f>
        <v>0</v>
      </c>
      <c r="E2145" s="1">
        <f t="array" ref="E2145">IF(OR(Table4[[#This Row],[INSTALLMENT]]=1,Table4[[#This Row],[INSTALLMENT]]=2,Table4[[#This Row],[INSTALLMENT]]=3),1,0)</f>
        <v>0</v>
      </c>
      <c r="F2145" s="1">
        <f>IF(OR(Table4[[#This Row],[INSTALLMENT]]=2,Table4[[#This Row],[INSTALLMENT]]=3),2,0)</f>
        <v>0</v>
      </c>
      <c r="G2145" s="1">
        <f>IF(OR(Table4[[#This Row],[INSTALLMENT]]=3),3,0)</f>
        <v>0</v>
      </c>
    </row>
    <row r="2146" spans="1:7">
      <c r="A2146" s="1">
        <v>2504</v>
      </c>
      <c r="B2146" s="1" t="s">
        <v>342</v>
      </c>
      <c r="C2146" s="1" t="s">
        <v>340</v>
      </c>
      <c r="D2146" s="1">
        <f>COUNTIFS('Raw Entries'!B:B,Table4[[#This Row],[Name]],'Raw Entries'!I:I,Table4[[#This Row],[BOOK No.]])</f>
        <v>3</v>
      </c>
      <c r="E2146" s="1">
        <f t="array" ref="E2146">IF(OR(Table4[[#This Row],[INSTALLMENT]]=1,Table4[[#This Row],[INSTALLMENT]]=2,Table4[[#This Row],[INSTALLMENT]]=3),1,0)</f>
        <v>1</v>
      </c>
      <c r="F2146" s="1">
        <f>IF(OR(Table4[[#This Row],[INSTALLMENT]]=2,Table4[[#This Row],[INSTALLMENT]]=3),2,0)</f>
        <v>2</v>
      </c>
      <c r="G2146" s="1">
        <f>IF(OR(Table4[[#This Row],[INSTALLMENT]]=3),3,0)</f>
        <v>3</v>
      </c>
    </row>
    <row r="2147" spans="1:7">
      <c r="A2147" s="1">
        <v>2505</v>
      </c>
      <c r="B2147" s="1" t="s">
        <v>3525</v>
      </c>
      <c r="C2147" s="1" t="s">
        <v>340</v>
      </c>
      <c r="D2147" s="1">
        <f>COUNTIFS('Raw Entries'!B:B,Table4[[#This Row],[Name]],'Raw Entries'!I:I,Table4[[#This Row],[BOOK No.]])</f>
        <v>0</v>
      </c>
      <c r="E2147" s="1">
        <f t="array" ref="E2147">IF(OR(Table4[[#This Row],[INSTALLMENT]]=1,Table4[[#This Row],[INSTALLMENT]]=2,Table4[[#This Row],[INSTALLMENT]]=3),1,0)</f>
        <v>0</v>
      </c>
      <c r="F2147" s="1">
        <f>IF(OR(Table4[[#This Row],[INSTALLMENT]]=2,Table4[[#This Row],[INSTALLMENT]]=3),2,0)</f>
        <v>0</v>
      </c>
      <c r="G2147" s="1">
        <f>IF(OR(Table4[[#This Row],[INSTALLMENT]]=3),3,0)</f>
        <v>0</v>
      </c>
    </row>
    <row r="2148" spans="1:7">
      <c r="A2148" s="1">
        <v>2506</v>
      </c>
      <c r="B2148" s="1" t="s">
        <v>344</v>
      </c>
      <c r="C2148" s="1" t="s">
        <v>340</v>
      </c>
      <c r="D2148" s="1">
        <f>COUNTIFS('Raw Entries'!B:B,Table4[[#This Row],[Name]],'Raw Entries'!I:I,Table4[[#This Row],[BOOK No.]])</f>
        <v>1</v>
      </c>
      <c r="E2148" s="1">
        <f t="array" ref="E2148">IF(OR(Table4[[#This Row],[INSTALLMENT]]=1,Table4[[#This Row],[INSTALLMENT]]=2,Table4[[#This Row],[INSTALLMENT]]=3),1,0)</f>
        <v>1</v>
      </c>
      <c r="F2148" s="1">
        <f>IF(OR(Table4[[#This Row],[INSTALLMENT]]=2,Table4[[#This Row],[INSTALLMENT]]=3),2,0)</f>
        <v>0</v>
      </c>
      <c r="G2148" s="1">
        <f>IF(OR(Table4[[#This Row],[INSTALLMENT]]=3),3,0)</f>
        <v>0</v>
      </c>
    </row>
    <row r="2149" spans="1:7">
      <c r="A2149" s="1">
        <v>2507</v>
      </c>
      <c r="B2149" s="1" t="s">
        <v>607</v>
      </c>
      <c r="C2149" s="1" t="s">
        <v>340</v>
      </c>
      <c r="D2149" s="1">
        <f>COUNTIFS('Raw Entries'!B:B,Table4[[#This Row],[Name]],'Raw Entries'!I:I,Table4[[#This Row],[BOOK No.]])</f>
        <v>1</v>
      </c>
      <c r="E2149" s="1">
        <f t="array" ref="E2149">IF(OR(Table4[[#This Row],[INSTALLMENT]]=1,Table4[[#This Row],[INSTALLMENT]]=2,Table4[[#This Row],[INSTALLMENT]]=3),1,0)</f>
        <v>1</v>
      </c>
      <c r="F2149" s="1">
        <f>IF(OR(Table4[[#This Row],[INSTALLMENT]]=2,Table4[[#This Row],[INSTALLMENT]]=3),2,0)</f>
        <v>0</v>
      </c>
      <c r="G2149" s="1">
        <f>IF(OR(Table4[[#This Row],[INSTALLMENT]]=3),3,0)</f>
        <v>0</v>
      </c>
    </row>
    <row r="2150" spans="1:7">
      <c r="A2150" s="1">
        <v>2508</v>
      </c>
      <c r="B2150" s="1" t="s">
        <v>346</v>
      </c>
      <c r="C2150" s="1" t="s">
        <v>340</v>
      </c>
      <c r="D2150" s="1">
        <f>COUNTIFS('Raw Entries'!B:B,Table4[[#This Row],[Name]],'Raw Entries'!I:I,Table4[[#This Row],[BOOK No.]])</f>
        <v>1</v>
      </c>
      <c r="E2150" s="1">
        <f t="array" ref="E2150">IF(OR(Table4[[#This Row],[INSTALLMENT]]=1,Table4[[#This Row],[INSTALLMENT]]=2,Table4[[#This Row],[INSTALLMENT]]=3),1,0)</f>
        <v>1</v>
      </c>
      <c r="F2150" s="1">
        <f>IF(OR(Table4[[#This Row],[INSTALLMENT]]=2,Table4[[#This Row],[INSTALLMENT]]=3),2,0)</f>
        <v>0</v>
      </c>
      <c r="G2150" s="1">
        <f>IF(OR(Table4[[#This Row],[INSTALLMENT]]=3),3,0)</f>
        <v>0</v>
      </c>
    </row>
    <row r="2151" spans="1:7">
      <c r="A2151" s="1">
        <v>2509</v>
      </c>
      <c r="B2151" s="1" t="s">
        <v>3526</v>
      </c>
      <c r="C2151" s="1" t="s">
        <v>340</v>
      </c>
      <c r="D2151" s="1">
        <f>COUNTIFS('Raw Entries'!B:B,Table4[[#This Row],[Name]],'Raw Entries'!I:I,Table4[[#This Row],[BOOK No.]])</f>
        <v>0</v>
      </c>
      <c r="E2151" s="1">
        <f t="array" ref="E2151">IF(OR(Table4[[#This Row],[INSTALLMENT]]=1,Table4[[#This Row],[INSTALLMENT]]=2,Table4[[#This Row],[INSTALLMENT]]=3),1,0)</f>
        <v>0</v>
      </c>
      <c r="F2151" s="1">
        <f>IF(OR(Table4[[#This Row],[INSTALLMENT]]=2,Table4[[#This Row],[INSTALLMENT]]=3),2,0)</f>
        <v>0</v>
      </c>
      <c r="G2151" s="1">
        <f>IF(OR(Table4[[#This Row],[INSTALLMENT]]=3),3,0)</f>
        <v>0</v>
      </c>
    </row>
    <row r="2152" spans="1:7">
      <c r="A2152" s="1">
        <v>2510</v>
      </c>
      <c r="B2152" s="1" t="s">
        <v>3527</v>
      </c>
      <c r="C2152" s="1" t="s">
        <v>340</v>
      </c>
      <c r="D2152" s="1">
        <f>COUNTIFS('Raw Entries'!B:B,Table4[[#This Row],[Name]],'Raw Entries'!I:I,Table4[[#This Row],[BOOK No.]])</f>
        <v>0</v>
      </c>
      <c r="E2152" s="1">
        <f t="array" ref="E2152">IF(OR(Table4[[#This Row],[INSTALLMENT]]=1,Table4[[#This Row],[INSTALLMENT]]=2,Table4[[#This Row],[INSTALLMENT]]=3),1,0)</f>
        <v>0</v>
      </c>
      <c r="F2152" s="1">
        <f>IF(OR(Table4[[#This Row],[INSTALLMENT]]=2,Table4[[#This Row],[INSTALLMENT]]=3),2,0)</f>
        <v>0</v>
      </c>
      <c r="G2152" s="1">
        <f>IF(OR(Table4[[#This Row],[INSTALLMENT]]=3),3,0)</f>
        <v>0</v>
      </c>
    </row>
    <row r="2153" spans="1:7">
      <c r="A2153" s="1">
        <v>2511</v>
      </c>
      <c r="B2153" s="1" t="s">
        <v>3528</v>
      </c>
      <c r="C2153" s="1" t="s">
        <v>340</v>
      </c>
      <c r="D2153" s="1">
        <f>COUNTIFS('Raw Entries'!B:B,Table4[[#This Row],[Name]],'Raw Entries'!I:I,Table4[[#This Row],[BOOK No.]])</f>
        <v>0</v>
      </c>
      <c r="E2153" s="1">
        <f t="array" ref="E2153">IF(OR(Table4[[#This Row],[INSTALLMENT]]=1,Table4[[#This Row],[INSTALLMENT]]=2,Table4[[#This Row],[INSTALLMENT]]=3),1,0)</f>
        <v>0</v>
      </c>
      <c r="F2153" s="1">
        <f>IF(OR(Table4[[#This Row],[INSTALLMENT]]=2,Table4[[#This Row],[INSTALLMENT]]=3),2,0)</f>
        <v>0</v>
      </c>
      <c r="G2153" s="1">
        <f>IF(OR(Table4[[#This Row],[INSTALLMENT]]=3),3,0)</f>
        <v>0</v>
      </c>
    </row>
    <row r="2154" spans="1:7">
      <c r="A2154" s="1">
        <v>2512</v>
      </c>
      <c r="B2154" s="1" t="s">
        <v>3529</v>
      </c>
      <c r="C2154" s="1" t="s">
        <v>340</v>
      </c>
      <c r="D2154" s="1">
        <f>COUNTIFS('Raw Entries'!B:B,Table4[[#This Row],[Name]],'Raw Entries'!I:I,Table4[[#This Row],[BOOK No.]])</f>
        <v>1</v>
      </c>
      <c r="E2154" s="1">
        <f t="array" ref="E2154">IF(OR(Table4[[#This Row],[INSTALLMENT]]=1,Table4[[#This Row],[INSTALLMENT]]=2,Table4[[#This Row],[INSTALLMENT]]=3),1,0)</f>
        <v>1</v>
      </c>
      <c r="F2154" s="1">
        <f>IF(OR(Table4[[#This Row],[INSTALLMENT]]=2,Table4[[#This Row],[INSTALLMENT]]=3),2,0)</f>
        <v>0</v>
      </c>
      <c r="G2154" s="1">
        <f>IF(OR(Table4[[#This Row],[INSTALLMENT]]=3),3,0)</f>
        <v>0</v>
      </c>
    </row>
    <row r="2155" spans="1:7">
      <c r="A2155" s="1">
        <v>2513</v>
      </c>
      <c r="B2155" s="1" t="s">
        <v>3530</v>
      </c>
      <c r="C2155" s="1" t="s">
        <v>340</v>
      </c>
      <c r="D2155" s="1">
        <f>COUNTIFS('Raw Entries'!B:B,Table4[[#This Row],[Name]],'Raw Entries'!I:I,Table4[[#This Row],[BOOK No.]])</f>
        <v>0</v>
      </c>
      <c r="E2155" s="1">
        <f t="array" ref="E2155">IF(OR(Table4[[#This Row],[INSTALLMENT]]=1,Table4[[#This Row],[INSTALLMENT]]=2,Table4[[#This Row],[INSTALLMENT]]=3),1,0)</f>
        <v>0</v>
      </c>
      <c r="F2155" s="1">
        <f>IF(OR(Table4[[#This Row],[INSTALLMENT]]=2,Table4[[#This Row],[INSTALLMENT]]=3),2,0)</f>
        <v>0</v>
      </c>
      <c r="G2155" s="1">
        <f>IF(OR(Table4[[#This Row],[INSTALLMENT]]=3),3,0)</f>
        <v>0</v>
      </c>
    </row>
    <row r="2156" spans="1:7">
      <c r="A2156" s="1">
        <v>2514</v>
      </c>
      <c r="B2156" s="1" t="s">
        <v>345</v>
      </c>
      <c r="C2156" s="1" t="s">
        <v>340</v>
      </c>
      <c r="D2156" s="1">
        <f>COUNTIFS('Raw Entries'!B:B,Table4[[#This Row],[Name]],'Raw Entries'!I:I,Table4[[#This Row],[BOOK No.]])</f>
        <v>1</v>
      </c>
      <c r="E2156" s="1">
        <f t="array" ref="E2156">IF(OR(Table4[[#This Row],[INSTALLMENT]]=1,Table4[[#This Row],[INSTALLMENT]]=2,Table4[[#This Row],[INSTALLMENT]]=3),1,0)</f>
        <v>1</v>
      </c>
      <c r="F2156" s="1">
        <f>IF(OR(Table4[[#This Row],[INSTALLMENT]]=2,Table4[[#This Row],[INSTALLMENT]]=3),2,0)</f>
        <v>0</v>
      </c>
      <c r="G2156" s="1">
        <f>IF(OR(Table4[[#This Row],[INSTALLMENT]]=3),3,0)</f>
        <v>0</v>
      </c>
    </row>
    <row r="2157" spans="1:7">
      <c r="A2157" s="1">
        <v>2515</v>
      </c>
      <c r="B2157" s="1" t="s">
        <v>341</v>
      </c>
      <c r="C2157" s="1" t="s">
        <v>340</v>
      </c>
      <c r="D2157" s="1">
        <f>COUNTIFS('Raw Entries'!B:B,Table4[[#This Row],[Name]],'Raw Entries'!I:I,Table4[[#This Row],[BOOK No.]])</f>
        <v>2</v>
      </c>
      <c r="E2157" s="1">
        <f t="array" ref="E2157">IF(OR(Table4[[#This Row],[INSTALLMENT]]=1,Table4[[#This Row],[INSTALLMENT]]=2,Table4[[#This Row],[INSTALLMENT]]=3),1,0)</f>
        <v>1</v>
      </c>
      <c r="F2157" s="1">
        <f>IF(OR(Table4[[#This Row],[INSTALLMENT]]=2,Table4[[#This Row],[INSTALLMENT]]=3),2,0)</f>
        <v>2</v>
      </c>
      <c r="G2157" s="1">
        <f>IF(OR(Table4[[#This Row],[INSTALLMENT]]=3),3,0)</f>
        <v>0</v>
      </c>
    </row>
    <row r="2158" spans="1:7">
      <c r="A2158" s="1">
        <v>2516</v>
      </c>
      <c r="B2158" s="1" t="s">
        <v>3531</v>
      </c>
      <c r="C2158" s="1" t="s">
        <v>340</v>
      </c>
      <c r="D2158" s="1">
        <f>COUNTIFS('Raw Entries'!B:B,Table4[[#This Row],[Name]],'Raw Entries'!I:I,Table4[[#This Row],[BOOK No.]])</f>
        <v>0</v>
      </c>
      <c r="E2158" s="1">
        <f t="array" ref="E2158">IF(OR(Table4[[#This Row],[INSTALLMENT]]=1,Table4[[#This Row],[INSTALLMENT]]=2,Table4[[#This Row],[INSTALLMENT]]=3),1,0)</f>
        <v>0</v>
      </c>
      <c r="F2158" s="1">
        <f>IF(OR(Table4[[#This Row],[INSTALLMENT]]=2,Table4[[#This Row],[INSTALLMENT]]=3),2,0)</f>
        <v>0</v>
      </c>
      <c r="G2158" s="1">
        <f>IF(OR(Table4[[#This Row],[INSTALLMENT]]=3),3,0)</f>
        <v>0</v>
      </c>
    </row>
    <row r="2159" spans="1:7">
      <c r="A2159" s="1">
        <v>2517</v>
      </c>
      <c r="B2159" s="1" t="s">
        <v>1910</v>
      </c>
      <c r="C2159" s="1" t="s">
        <v>340</v>
      </c>
      <c r="D2159" s="1">
        <f>COUNTIFS('Raw Entries'!B:B,Table4[[#This Row],[Name]],'Raw Entries'!I:I,Table4[[#This Row],[BOOK No.]])</f>
        <v>1</v>
      </c>
      <c r="E2159" s="1">
        <f t="array" ref="E2159">IF(OR(Table4[[#This Row],[INSTALLMENT]]=1,Table4[[#This Row],[INSTALLMENT]]=2,Table4[[#This Row],[INSTALLMENT]]=3),1,0)</f>
        <v>1</v>
      </c>
      <c r="F2159" s="1">
        <f>IF(OR(Table4[[#This Row],[INSTALLMENT]]=2,Table4[[#This Row],[INSTALLMENT]]=3),2,0)</f>
        <v>0</v>
      </c>
      <c r="G2159" s="1">
        <f>IF(OR(Table4[[#This Row],[INSTALLMENT]]=3),3,0)</f>
        <v>0</v>
      </c>
    </row>
    <row r="2160" spans="1:7">
      <c r="A2160" s="1">
        <v>2518</v>
      </c>
      <c r="B2160" s="1" t="s">
        <v>3532</v>
      </c>
      <c r="C2160" s="1" t="s">
        <v>340</v>
      </c>
      <c r="D2160" s="1">
        <f>COUNTIFS('Raw Entries'!B:B,Table4[[#This Row],[Name]],'Raw Entries'!I:I,Table4[[#This Row],[BOOK No.]])</f>
        <v>0</v>
      </c>
      <c r="E2160" s="1">
        <f t="array" ref="E2160">IF(OR(Table4[[#This Row],[INSTALLMENT]]=1,Table4[[#This Row],[INSTALLMENT]]=2,Table4[[#This Row],[INSTALLMENT]]=3),1,0)</f>
        <v>0</v>
      </c>
      <c r="F2160" s="1">
        <f>IF(OR(Table4[[#This Row],[INSTALLMENT]]=2,Table4[[#This Row],[INSTALLMENT]]=3),2,0)</f>
        <v>0</v>
      </c>
      <c r="G2160" s="1">
        <f>IF(OR(Table4[[#This Row],[INSTALLMENT]]=3),3,0)</f>
        <v>0</v>
      </c>
    </row>
    <row r="2161" spans="1:7">
      <c r="A2161" s="1">
        <v>2519</v>
      </c>
      <c r="B2161" s="1" t="s">
        <v>2657</v>
      </c>
      <c r="C2161" s="1" t="s">
        <v>340</v>
      </c>
      <c r="D2161" s="1">
        <f>COUNTIFS('Raw Entries'!B:B,Table4[[#This Row],[Name]],'Raw Entries'!I:I,Table4[[#This Row],[BOOK No.]])</f>
        <v>0</v>
      </c>
      <c r="E2161" s="1">
        <f t="array" ref="E2161">IF(OR(Table4[[#This Row],[INSTALLMENT]]=1,Table4[[#This Row],[INSTALLMENT]]=2,Table4[[#This Row],[INSTALLMENT]]=3),1,0)</f>
        <v>0</v>
      </c>
      <c r="F2161" s="1">
        <f>IF(OR(Table4[[#This Row],[INSTALLMENT]]=2,Table4[[#This Row],[INSTALLMENT]]=3),2,0)</f>
        <v>0</v>
      </c>
      <c r="G2161" s="1">
        <f>IF(OR(Table4[[#This Row],[INSTALLMENT]]=3),3,0)</f>
        <v>0</v>
      </c>
    </row>
    <row r="2162" spans="1:7">
      <c r="A2162" s="1">
        <v>2520</v>
      </c>
      <c r="B2162" s="1" t="s">
        <v>3533</v>
      </c>
      <c r="C2162" s="1" t="s">
        <v>340</v>
      </c>
      <c r="D2162" s="1">
        <f>COUNTIFS('Raw Entries'!B:B,Table4[[#This Row],[Name]],'Raw Entries'!I:I,Table4[[#This Row],[BOOK No.]])</f>
        <v>0</v>
      </c>
      <c r="E2162" s="1">
        <f t="array" ref="E2162">IF(OR(Table4[[#This Row],[INSTALLMENT]]=1,Table4[[#This Row],[INSTALLMENT]]=2,Table4[[#This Row],[INSTALLMENT]]=3),1,0)</f>
        <v>0</v>
      </c>
      <c r="F2162" s="1">
        <f>IF(OR(Table4[[#This Row],[INSTALLMENT]]=2,Table4[[#This Row],[INSTALLMENT]]=3),2,0)</f>
        <v>0</v>
      </c>
      <c r="G2162" s="1">
        <f>IF(OR(Table4[[#This Row],[INSTALLMENT]]=3),3,0)</f>
        <v>0</v>
      </c>
    </row>
    <row r="2163" spans="1:7">
      <c r="A2163" s="1">
        <v>2521</v>
      </c>
      <c r="B2163" s="1" t="s">
        <v>3534</v>
      </c>
      <c r="C2163" s="1" t="s">
        <v>340</v>
      </c>
      <c r="D2163" s="1">
        <f>COUNTIFS('Raw Entries'!B:B,Table4[[#This Row],[Name]],'Raw Entries'!I:I,Table4[[#This Row],[BOOK No.]])</f>
        <v>0</v>
      </c>
      <c r="E2163" s="1">
        <f t="array" ref="E2163">IF(OR(Table4[[#This Row],[INSTALLMENT]]=1,Table4[[#This Row],[INSTALLMENT]]=2,Table4[[#This Row],[INSTALLMENT]]=3),1,0)</f>
        <v>0</v>
      </c>
      <c r="F2163" s="1">
        <f>IF(OR(Table4[[#This Row],[INSTALLMENT]]=2,Table4[[#This Row],[INSTALLMENT]]=3),2,0)</f>
        <v>0</v>
      </c>
      <c r="G2163" s="1">
        <f>IF(OR(Table4[[#This Row],[INSTALLMENT]]=3),3,0)</f>
        <v>0</v>
      </c>
    </row>
    <row r="2164" spans="1:7">
      <c r="A2164" s="1">
        <v>2522</v>
      </c>
      <c r="B2164" s="1" t="s">
        <v>3535</v>
      </c>
      <c r="C2164" s="1" t="s">
        <v>340</v>
      </c>
      <c r="D2164" s="1">
        <f>COUNTIFS('Raw Entries'!B:B,Table4[[#This Row],[Name]],'Raw Entries'!I:I,Table4[[#This Row],[BOOK No.]])</f>
        <v>0</v>
      </c>
      <c r="E2164" s="1">
        <f t="array" ref="E2164">IF(OR(Table4[[#This Row],[INSTALLMENT]]=1,Table4[[#This Row],[INSTALLMENT]]=2,Table4[[#This Row],[INSTALLMENT]]=3),1,0)</f>
        <v>0</v>
      </c>
      <c r="F2164" s="1">
        <f>IF(OR(Table4[[#This Row],[INSTALLMENT]]=2,Table4[[#This Row],[INSTALLMENT]]=3),2,0)</f>
        <v>0</v>
      </c>
      <c r="G2164" s="1">
        <f>IF(OR(Table4[[#This Row],[INSTALLMENT]]=3),3,0)</f>
        <v>0</v>
      </c>
    </row>
    <row r="2165" spans="1:7">
      <c r="A2165" s="1">
        <v>2523</v>
      </c>
      <c r="B2165" s="1" t="s">
        <v>347</v>
      </c>
      <c r="C2165" s="1" t="s">
        <v>340</v>
      </c>
      <c r="D2165" s="1">
        <f>COUNTIFS('Raw Entries'!B:B,Table4[[#This Row],[Name]],'Raw Entries'!I:I,Table4[[#This Row],[BOOK No.]])</f>
        <v>3</v>
      </c>
      <c r="E2165" s="1">
        <f t="array" ref="E2165">IF(OR(Table4[[#This Row],[INSTALLMENT]]=1,Table4[[#This Row],[INSTALLMENT]]=2,Table4[[#This Row],[INSTALLMENT]]=3),1,0)</f>
        <v>1</v>
      </c>
      <c r="F2165" s="1">
        <f>IF(OR(Table4[[#This Row],[INSTALLMENT]]=2,Table4[[#This Row],[INSTALLMENT]]=3),2,0)</f>
        <v>2</v>
      </c>
      <c r="G2165" s="1">
        <f>IF(OR(Table4[[#This Row],[INSTALLMENT]]=3),3,0)</f>
        <v>3</v>
      </c>
    </row>
    <row r="2166" spans="1:7">
      <c r="A2166" s="1">
        <v>2524</v>
      </c>
      <c r="B2166" s="1" t="s">
        <v>3536</v>
      </c>
      <c r="C2166" s="1" t="s">
        <v>340</v>
      </c>
      <c r="D2166" s="1">
        <f>COUNTIFS('Raw Entries'!B:B,Table4[[#This Row],[Name]],'Raw Entries'!I:I,Table4[[#This Row],[BOOK No.]])</f>
        <v>0</v>
      </c>
      <c r="E2166" s="1">
        <f t="array" ref="E2166">IF(OR(Table4[[#This Row],[INSTALLMENT]]=1,Table4[[#This Row],[INSTALLMENT]]=2,Table4[[#This Row],[INSTALLMENT]]=3),1,0)</f>
        <v>0</v>
      </c>
      <c r="F2166" s="1">
        <f>IF(OR(Table4[[#This Row],[INSTALLMENT]]=2,Table4[[#This Row],[INSTALLMENT]]=3),2,0)</f>
        <v>0</v>
      </c>
      <c r="G2166" s="1">
        <f>IF(OR(Table4[[#This Row],[INSTALLMENT]]=3),3,0)</f>
        <v>0</v>
      </c>
    </row>
    <row r="2167" spans="1:7">
      <c r="A2167" s="1">
        <v>2525</v>
      </c>
      <c r="B2167" s="1" t="s">
        <v>349</v>
      </c>
      <c r="C2167" s="1" t="s">
        <v>340</v>
      </c>
      <c r="D2167" s="1">
        <f>COUNTIFS('Raw Entries'!B:B,Table4[[#This Row],[Name]],'Raw Entries'!I:I,Table4[[#This Row],[BOOK No.]])</f>
        <v>3</v>
      </c>
      <c r="E2167" s="1">
        <f t="array" ref="E2167">IF(OR(Table4[[#This Row],[INSTALLMENT]]=1,Table4[[#This Row],[INSTALLMENT]]=2,Table4[[#This Row],[INSTALLMENT]]=3),1,0)</f>
        <v>1</v>
      </c>
      <c r="F2167" s="1">
        <f>IF(OR(Table4[[#This Row],[INSTALLMENT]]=2,Table4[[#This Row],[INSTALLMENT]]=3),2,0)</f>
        <v>2</v>
      </c>
      <c r="G2167" s="1">
        <f>IF(OR(Table4[[#This Row],[INSTALLMENT]]=3),3,0)</f>
        <v>3</v>
      </c>
    </row>
    <row r="2168" spans="1:7">
      <c r="A2168" s="1">
        <v>2526</v>
      </c>
      <c r="B2168" s="1" t="s">
        <v>3537</v>
      </c>
      <c r="C2168" s="1" t="s">
        <v>340</v>
      </c>
      <c r="D2168" s="1">
        <f>COUNTIFS('Raw Entries'!B:B,Table4[[#This Row],[Name]],'Raw Entries'!I:I,Table4[[#This Row],[BOOK No.]])</f>
        <v>0</v>
      </c>
      <c r="E2168" s="1">
        <f t="array" ref="E2168">IF(OR(Table4[[#This Row],[INSTALLMENT]]=1,Table4[[#This Row],[INSTALLMENT]]=2,Table4[[#This Row],[INSTALLMENT]]=3),1,0)</f>
        <v>0</v>
      </c>
      <c r="F2168" s="1">
        <f>IF(OR(Table4[[#This Row],[INSTALLMENT]]=2,Table4[[#This Row],[INSTALLMENT]]=3),2,0)</f>
        <v>0</v>
      </c>
      <c r="G2168" s="1">
        <f>IF(OR(Table4[[#This Row],[INSTALLMENT]]=3),3,0)</f>
        <v>0</v>
      </c>
    </row>
    <row r="2169" spans="1:7">
      <c r="A2169" s="1">
        <v>2527</v>
      </c>
      <c r="B2169" s="1" t="s">
        <v>3538</v>
      </c>
      <c r="C2169" s="1" t="s">
        <v>340</v>
      </c>
      <c r="D2169" s="1">
        <f>COUNTIFS('Raw Entries'!B:B,Table4[[#This Row],[Name]],'Raw Entries'!I:I,Table4[[#This Row],[BOOK No.]])</f>
        <v>0</v>
      </c>
      <c r="E2169" s="1">
        <f t="array" ref="E2169">IF(OR(Table4[[#This Row],[INSTALLMENT]]=1,Table4[[#This Row],[INSTALLMENT]]=2,Table4[[#This Row],[INSTALLMENT]]=3),1,0)</f>
        <v>0</v>
      </c>
      <c r="F2169" s="1">
        <f>IF(OR(Table4[[#This Row],[INSTALLMENT]]=2,Table4[[#This Row],[INSTALLMENT]]=3),2,0)</f>
        <v>0</v>
      </c>
      <c r="G2169" s="1">
        <f>IF(OR(Table4[[#This Row],[INSTALLMENT]]=3),3,0)</f>
        <v>0</v>
      </c>
    </row>
    <row r="2170" spans="1:7">
      <c r="A2170" s="1">
        <v>2528</v>
      </c>
      <c r="B2170" s="1" t="s">
        <v>352</v>
      </c>
      <c r="C2170" s="1" t="s">
        <v>351</v>
      </c>
      <c r="D2170" s="1">
        <f>COUNTIFS('Raw Entries'!B:B,Table4[[#This Row],[Name]],'Raw Entries'!I:I,Table4[[#This Row],[BOOK No.]])</f>
        <v>1</v>
      </c>
      <c r="E2170" s="1">
        <f t="array" ref="E2170">IF(OR(Table4[[#This Row],[INSTALLMENT]]=1,Table4[[#This Row],[INSTALLMENT]]=2,Table4[[#This Row],[INSTALLMENT]]=3),1,0)</f>
        <v>1</v>
      </c>
      <c r="F2170" s="1">
        <f>IF(OR(Table4[[#This Row],[INSTALLMENT]]=2,Table4[[#This Row],[INSTALLMENT]]=3),2,0)</f>
        <v>0</v>
      </c>
      <c r="G2170" s="1">
        <f>IF(OR(Table4[[#This Row],[INSTALLMENT]]=3),3,0)</f>
        <v>0</v>
      </c>
    </row>
    <row r="2171" spans="1:7">
      <c r="A2171" s="1">
        <v>2529</v>
      </c>
      <c r="B2171" s="1" t="s">
        <v>3539</v>
      </c>
      <c r="C2171" s="1" t="s">
        <v>351</v>
      </c>
      <c r="D2171" s="1">
        <f>COUNTIFS('Raw Entries'!B:B,Table4[[#This Row],[Name]],'Raw Entries'!I:I,Table4[[#This Row],[BOOK No.]])</f>
        <v>0</v>
      </c>
      <c r="E2171" s="1">
        <f t="array" ref="E2171">IF(OR(Table4[[#This Row],[INSTALLMENT]]=1,Table4[[#This Row],[INSTALLMENT]]=2,Table4[[#This Row],[INSTALLMENT]]=3),1,0)</f>
        <v>0</v>
      </c>
      <c r="F2171" s="1">
        <f>IF(OR(Table4[[#This Row],[INSTALLMENT]]=2,Table4[[#This Row],[INSTALLMENT]]=3),2,0)</f>
        <v>0</v>
      </c>
      <c r="G2171" s="1">
        <f>IF(OR(Table4[[#This Row],[INSTALLMENT]]=3),3,0)</f>
        <v>0</v>
      </c>
    </row>
    <row r="2172" spans="1:7">
      <c r="A2172" s="1">
        <v>2530</v>
      </c>
      <c r="B2172" s="1" t="s">
        <v>3540</v>
      </c>
      <c r="C2172" s="1" t="s">
        <v>351</v>
      </c>
      <c r="D2172" s="1">
        <f>COUNTIFS('Raw Entries'!B:B,Table4[[#This Row],[Name]],'Raw Entries'!I:I,Table4[[#This Row],[BOOK No.]])</f>
        <v>0</v>
      </c>
      <c r="E2172" s="1">
        <f t="array" ref="E2172">IF(OR(Table4[[#This Row],[INSTALLMENT]]=1,Table4[[#This Row],[INSTALLMENT]]=2,Table4[[#This Row],[INSTALLMENT]]=3),1,0)</f>
        <v>0</v>
      </c>
      <c r="F2172" s="1">
        <f>IF(OR(Table4[[#This Row],[INSTALLMENT]]=2,Table4[[#This Row],[INSTALLMENT]]=3),2,0)</f>
        <v>0</v>
      </c>
      <c r="G2172" s="1">
        <f>IF(OR(Table4[[#This Row],[INSTALLMENT]]=3),3,0)</f>
        <v>0</v>
      </c>
    </row>
    <row r="2173" spans="1:7">
      <c r="A2173" s="1">
        <v>2531</v>
      </c>
      <c r="B2173" s="1" t="s">
        <v>3541</v>
      </c>
      <c r="C2173" s="1" t="s">
        <v>351</v>
      </c>
      <c r="D2173" s="1">
        <f>COUNTIFS('Raw Entries'!B:B,Table4[[#This Row],[Name]],'Raw Entries'!I:I,Table4[[#This Row],[BOOK No.]])</f>
        <v>0</v>
      </c>
      <c r="E2173" s="1">
        <f t="array" ref="E2173">IF(OR(Table4[[#This Row],[INSTALLMENT]]=1,Table4[[#This Row],[INSTALLMENT]]=2,Table4[[#This Row],[INSTALLMENT]]=3),1,0)</f>
        <v>0</v>
      </c>
      <c r="F2173" s="1">
        <f>IF(OR(Table4[[#This Row],[INSTALLMENT]]=2,Table4[[#This Row],[INSTALLMENT]]=3),2,0)</f>
        <v>0</v>
      </c>
      <c r="G2173" s="1">
        <f>IF(OR(Table4[[#This Row],[INSTALLMENT]]=3),3,0)</f>
        <v>0</v>
      </c>
    </row>
    <row r="2174" spans="1:7">
      <c r="A2174" s="1">
        <v>2532</v>
      </c>
      <c r="B2174" s="1" t="s">
        <v>355</v>
      </c>
      <c r="C2174" s="1" t="s">
        <v>351</v>
      </c>
      <c r="D2174" s="1">
        <f>COUNTIFS('Raw Entries'!B:B,Table4[[#This Row],[Name]],'Raw Entries'!I:I,Table4[[#This Row],[BOOK No.]])</f>
        <v>3</v>
      </c>
      <c r="E2174" s="1">
        <f t="array" ref="E2174">IF(OR(Table4[[#This Row],[INSTALLMENT]]=1,Table4[[#This Row],[INSTALLMENT]]=2,Table4[[#This Row],[INSTALLMENT]]=3),1,0)</f>
        <v>1</v>
      </c>
      <c r="F2174" s="1">
        <f>IF(OR(Table4[[#This Row],[INSTALLMENT]]=2,Table4[[#This Row],[INSTALLMENT]]=3),2,0)</f>
        <v>2</v>
      </c>
      <c r="G2174" s="1">
        <f>IF(OR(Table4[[#This Row],[INSTALLMENT]]=3),3,0)</f>
        <v>3</v>
      </c>
    </row>
    <row r="2175" spans="1:7">
      <c r="A2175" s="1">
        <v>2533</v>
      </c>
      <c r="B2175" s="1" t="s">
        <v>3542</v>
      </c>
      <c r="C2175" s="1" t="s">
        <v>351</v>
      </c>
      <c r="D2175" s="1">
        <f>COUNTIFS('Raw Entries'!B:B,Table4[[#This Row],[Name]],'Raw Entries'!I:I,Table4[[#This Row],[BOOK No.]])</f>
        <v>0</v>
      </c>
      <c r="E2175" s="1">
        <f t="array" ref="E2175">IF(OR(Table4[[#This Row],[INSTALLMENT]]=1,Table4[[#This Row],[INSTALLMENT]]=2,Table4[[#This Row],[INSTALLMENT]]=3),1,0)</f>
        <v>0</v>
      </c>
      <c r="F2175" s="1">
        <f>IF(OR(Table4[[#This Row],[INSTALLMENT]]=2,Table4[[#This Row],[INSTALLMENT]]=3),2,0)</f>
        <v>0</v>
      </c>
      <c r="G2175" s="1">
        <f>IF(OR(Table4[[#This Row],[INSTALLMENT]]=3),3,0)</f>
        <v>0</v>
      </c>
    </row>
    <row r="2176" spans="1:7">
      <c r="A2176" s="1">
        <v>2534</v>
      </c>
      <c r="B2176" s="1" t="s">
        <v>3543</v>
      </c>
      <c r="C2176" s="1" t="s">
        <v>351</v>
      </c>
      <c r="D2176" s="1">
        <f>COUNTIFS('Raw Entries'!B:B,Table4[[#This Row],[Name]],'Raw Entries'!I:I,Table4[[#This Row],[BOOK No.]])</f>
        <v>0</v>
      </c>
      <c r="E2176" s="1">
        <f t="array" ref="E2176">IF(OR(Table4[[#This Row],[INSTALLMENT]]=1,Table4[[#This Row],[INSTALLMENT]]=2,Table4[[#This Row],[INSTALLMENT]]=3),1,0)</f>
        <v>0</v>
      </c>
      <c r="F2176" s="1">
        <f>IF(OR(Table4[[#This Row],[INSTALLMENT]]=2,Table4[[#This Row],[INSTALLMENT]]=3),2,0)</f>
        <v>0</v>
      </c>
      <c r="G2176" s="1">
        <f>IF(OR(Table4[[#This Row],[INSTALLMENT]]=3),3,0)</f>
        <v>0</v>
      </c>
    </row>
    <row r="2177" spans="1:7">
      <c r="A2177" s="1">
        <v>2535</v>
      </c>
      <c r="B2177" s="1" t="s">
        <v>3544</v>
      </c>
      <c r="C2177" s="1" t="s">
        <v>351</v>
      </c>
      <c r="D2177" s="1">
        <f>COUNTIFS('Raw Entries'!B:B,Table4[[#This Row],[Name]],'Raw Entries'!I:I,Table4[[#This Row],[BOOK No.]])</f>
        <v>0</v>
      </c>
      <c r="E2177" s="1">
        <f t="array" ref="E2177">IF(OR(Table4[[#This Row],[INSTALLMENT]]=1,Table4[[#This Row],[INSTALLMENT]]=2,Table4[[#This Row],[INSTALLMENT]]=3),1,0)</f>
        <v>0</v>
      </c>
      <c r="F2177" s="1">
        <f>IF(OR(Table4[[#This Row],[INSTALLMENT]]=2,Table4[[#This Row],[INSTALLMENT]]=3),2,0)</f>
        <v>0</v>
      </c>
      <c r="G2177" s="1">
        <f>IF(OR(Table4[[#This Row],[INSTALLMENT]]=3),3,0)</f>
        <v>0</v>
      </c>
    </row>
    <row r="2178" spans="1:7">
      <c r="A2178" s="1">
        <v>2536</v>
      </c>
      <c r="B2178" s="1" t="s">
        <v>3545</v>
      </c>
      <c r="C2178" s="1" t="s">
        <v>351</v>
      </c>
      <c r="D2178" s="1">
        <f>COUNTIFS('Raw Entries'!B:B,Table4[[#This Row],[Name]],'Raw Entries'!I:I,Table4[[#This Row],[BOOK No.]])</f>
        <v>0</v>
      </c>
      <c r="E2178" s="1">
        <f t="array" ref="E2178">IF(OR(Table4[[#This Row],[INSTALLMENT]]=1,Table4[[#This Row],[INSTALLMENT]]=2,Table4[[#This Row],[INSTALLMENT]]=3),1,0)</f>
        <v>0</v>
      </c>
      <c r="F2178" s="1">
        <f>IF(OR(Table4[[#This Row],[INSTALLMENT]]=2,Table4[[#This Row],[INSTALLMENT]]=3),2,0)</f>
        <v>0</v>
      </c>
      <c r="G2178" s="1">
        <f>IF(OR(Table4[[#This Row],[INSTALLMENT]]=3),3,0)</f>
        <v>0</v>
      </c>
    </row>
    <row r="2179" spans="1:7">
      <c r="A2179" s="1">
        <v>2537</v>
      </c>
      <c r="B2179" s="1" t="s">
        <v>3546</v>
      </c>
      <c r="C2179" s="1" t="s">
        <v>351</v>
      </c>
      <c r="D2179" s="1">
        <f>COUNTIFS('Raw Entries'!B:B,Table4[[#This Row],[Name]],'Raw Entries'!I:I,Table4[[#This Row],[BOOK No.]])</f>
        <v>0</v>
      </c>
      <c r="E2179" s="1">
        <f t="array" ref="E2179">IF(OR(Table4[[#This Row],[INSTALLMENT]]=1,Table4[[#This Row],[INSTALLMENT]]=2,Table4[[#This Row],[INSTALLMENT]]=3),1,0)</f>
        <v>0</v>
      </c>
      <c r="F2179" s="1">
        <f>IF(OR(Table4[[#This Row],[INSTALLMENT]]=2,Table4[[#This Row],[INSTALLMENT]]=3),2,0)</f>
        <v>0</v>
      </c>
      <c r="G2179" s="1">
        <f>IF(OR(Table4[[#This Row],[INSTALLMENT]]=3),3,0)</f>
        <v>0</v>
      </c>
    </row>
    <row r="2180" spans="1:7">
      <c r="A2180" s="1">
        <v>2538</v>
      </c>
      <c r="B2180" s="1" t="s">
        <v>3547</v>
      </c>
      <c r="C2180" s="1" t="s">
        <v>351</v>
      </c>
      <c r="D2180" s="1">
        <f>COUNTIFS('Raw Entries'!B:B,Table4[[#This Row],[Name]],'Raw Entries'!I:I,Table4[[#This Row],[BOOK No.]])</f>
        <v>0</v>
      </c>
      <c r="E2180" s="1">
        <f t="array" ref="E2180">IF(OR(Table4[[#This Row],[INSTALLMENT]]=1,Table4[[#This Row],[INSTALLMENT]]=2,Table4[[#This Row],[INSTALLMENT]]=3),1,0)</f>
        <v>0</v>
      </c>
      <c r="F2180" s="1">
        <f>IF(OR(Table4[[#This Row],[INSTALLMENT]]=2,Table4[[#This Row],[INSTALLMENT]]=3),2,0)</f>
        <v>0</v>
      </c>
      <c r="G2180" s="1">
        <f>IF(OR(Table4[[#This Row],[INSTALLMENT]]=3),3,0)</f>
        <v>0</v>
      </c>
    </row>
    <row r="2181" spans="1:7">
      <c r="A2181" s="1">
        <v>2539</v>
      </c>
      <c r="B2181" s="1" t="s">
        <v>3548</v>
      </c>
      <c r="C2181" s="1" t="s">
        <v>351</v>
      </c>
      <c r="D2181" s="1">
        <f>COUNTIFS('Raw Entries'!B:B,Table4[[#This Row],[Name]],'Raw Entries'!I:I,Table4[[#This Row],[BOOK No.]])</f>
        <v>0</v>
      </c>
      <c r="E2181" s="1">
        <f t="array" ref="E2181">IF(OR(Table4[[#This Row],[INSTALLMENT]]=1,Table4[[#This Row],[INSTALLMENT]]=2,Table4[[#This Row],[INSTALLMENT]]=3),1,0)</f>
        <v>0</v>
      </c>
      <c r="F2181" s="1">
        <f>IF(OR(Table4[[#This Row],[INSTALLMENT]]=2,Table4[[#This Row],[INSTALLMENT]]=3),2,0)</f>
        <v>0</v>
      </c>
      <c r="G2181" s="1">
        <f>IF(OR(Table4[[#This Row],[INSTALLMENT]]=3),3,0)</f>
        <v>0</v>
      </c>
    </row>
    <row r="2182" spans="1:7">
      <c r="A2182" s="1">
        <v>2540</v>
      </c>
      <c r="B2182" s="1" t="s">
        <v>3549</v>
      </c>
      <c r="C2182" s="1" t="s">
        <v>351</v>
      </c>
      <c r="D2182" s="1">
        <f>COUNTIFS('Raw Entries'!B:B,Table4[[#This Row],[Name]],'Raw Entries'!I:I,Table4[[#This Row],[BOOK No.]])</f>
        <v>0</v>
      </c>
      <c r="E2182" s="1">
        <f t="array" ref="E2182">IF(OR(Table4[[#This Row],[INSTALLMENT]]=1,Table4[[#This Row],[INSTALLMENT]]=2,Table4[[#This Row],[INSTALLMENT]]=3),1,0)</f>
        <v>0</v>
      </c>
      <c r="F2182" s="1">
        <f>IF(OR(Table4[[#This Row],[INSTALLMENT]]=2,Table4[[#This Row],[INSTALLMENT]]=3),2,0)</f>
        <v>0</v>
      </c>
      <c r="G2182" s="1">
        <f>IF(OR(Table4[[#This Row],[INSTALLMENT]]=3),3,0)</f>
        <v>0</v>
      </c>
    </row>
    <row r="2183" spans="1:7">
      <c r="A2183" s="1">
        <v>2541</v>
      </c>
      <c r="B2183" s="1" t="s">
        <v>3550</v>
      </c>
      <c r="C2183" s="1" t="s">
        <v>351</v>
      </c>
      <c r="D2183" s="1">
        <f>COUNTIFS('Raw Entries'!B:B,Table4[[#This Row],[Name]],'Raw Entries'!I:I,Table4[[#This Row],[BOOK No.]])</f>
        <v>0</v>
      </c>
      <c r="E2183" s="1">
        <f t="array" ref="E2183">IF(OR(Table4[[#This Row],[INSTALLMENT]]=1,Table4[[#This Row],[INSTALLMENT]]=2,Table4[[#This Row],[INSTALLMENT]]=3),1,0)</f>
        <v>0</v>
      </c>
      <c r="F2183" s="1">
        <f>IF(OR(Table4[[#This Row],[INSTALLMENT]]=2,Table4[[#This Row],[INSTALLMENT]]=3),2,0)</f>
        <v>0</v>
      </c>
      <c r="G2183" s="1">
        <f>IF(OR(Table4[[#This Row],[INSTALLMENT]]=3),3,0)</f>
        <v>0</v>
      </c>
    </row>
    <row r="2184" spans="1:7">
      <c r="A2184" s="1">
        <v>2542</v>
      </c>
      <c r="B2184" s="1" t="s">
        <v>3551</v>
      </c>
      <c r="C2184" s="1" t="s">
        <v>351</v>
      </c>
      <c r="D2184" s="1">
        <f>COUNTIFS('Raw Entries'!B:B,Table4[[#This Row],[Name]],'Raw Entries'!I:I,Table4[[#This Row],[BOOK No.]])</f>
        <v>0</v>
      </c>
      <c r="E2184" s="1">
        <f t="array" ref="E2184">IF(OR(Table4[[#This Row],[INSTALLMENT]]=1,Table4[[#This Row],[INSTALLMENT]]=2,Table4[[#This Row],[INSTALLMENT]]=3),1,0)</f>
        <v>0</v>
      </c>
      <c r="F2184" s="1">
        <f>IF(OR(Table4[[#This Row],[INSTALLMENT]]=2,Table4[[#This Row],[INSTALLMENT]]=3),2,0)</f>
        <v>0</v>
      </c>
      <c r="G2184" s="1">
        <f>IF(OR(Table4[[#This Row],[INSTALLMENT]]=3),3,0)</f>
        <v>0</v>
      </c>
    </row>
    <row r="2185" spans="1:7">
      <c r="A2185" s="1">
        <v>2543</v>
      </c>
      <c r="B2185" s="1" t="s">
        <v>3552</v>
      </c>
      <c r="C2185" s="1" t="s">
        <v>351</v>
      </c>
      <c r="D2185" s="1">
        <f>COUNTIFS('Raw Entries'!B:B,Table4[[#This Row],[Name]],'Raw Entries'!I:I,Table4[[#This Row],[BOOK No.]])</f>
        <v>0</v>
      </c>
      <c r="E2185" s="1">
        <f t="array" ref="E2185">IF(OR(Table4[[#This Row],[INSTALLMENT]]=1,Table4[[#This Row],[INSTALLMENT]]=2,Table4[[#This Row],[INSTALLMENT]]=3),1,0)</f>
        <v>0</v>
      </c>
      <c r="F2185" s="1">
        <f>IF(OR(Table4[[#This Row],[INSTALLMENT]]=2,Table4[[#This Row],[INSTALLMENT]]=3),2,0)</f>
        <v>0</v>
      </c>
      <c r="G2185" s="1">
        <f>IF(OR(Table4[[#This Row],[INSTALLMENT]]=3),3,0)</f>
        <v>0</v>
      </c>
    </row>
    <row r="2186" spans="1:7">
      <c r="A2186" s="1">
        <v>2544</v>
      </c>
      <c r="B2186" s="1" t="s">
        <v>3553</v>
      </c>
      <c r="C2186" s="1" t="s">
        <v>351</v>
      </c>
      <c r="D2186" s="1">
        <f>COUNTIFS('Raw Entries'!B:B,Table4[[#This Row],[Name]],'Raw Entries'!I:I,Table4[[#This Row],[BOOK No.]])</f>
        <v>0</v>
      </c>
      <c r="E2186" s="1">
        <f t="array" ref="E2186">IF(OR(Table4[[#This Row],[INSTALLMENT]]=1,Table4[[#This Row],[INSTALLMENT]]=2,Table4[[#This Row],[INSTALLMENT]]=3),1,0)</f>
        <v>0</v>
      </c>
      <c r="F2186" s="1">
        <f>IF(OR(Table4[[#This Row],[INSTALLMENT]]=2,Table4[[#This Row],[INSTALLMENT]]=3),2,0)</f>
        <v>0</v>
      </c>
      <c r="G2186" s="1">
        <f>IF(OR(Table4[[#This Row],[INSTALLMENT]]=3),3,0)</f>
        <v>0</v>
      </c>
    </row>
    <row r="2187" spans="1:7">
      <c r="A2187" s="1">
        <v>2545</v>
      </c>
      <c r="B2187" s="1" t="s">
        <v>3554</v>
      </c>
      <c r="C2187" s="1" t="s">
        <v>351</v>
      </c>
      <c r="D2187" s="1">
        <f>COUNTIFS('Raw Entries'!B:B,Table4[[#This Row],[Name]],'Raw Entries'!I:I,Table4[[#This Row],[BOOK No.]])</f>
        <v>0</v>
      </c>
      <c r="E2187" s="1">
        <f t="array" ref="E2187">IF(OR(Table4[[#This Row],[INSTALLMENT]]=1,Table4[[#This Row],[INSTALLMENT]]=2,Table4[[#This Row],[INSTALLMENT]]=3),1,0)</f>
        <v>0</v>
      </c>
      <c r="F2187" s="1">
        <f>IF(OR(Table4[[#This Row],[INSTALLMENT]]=2,Table4[[#This Row],[INSTALLMENT]]=3),2,0)</f>
        <v>0</v>
      </c>
      <c r="G2187" s="1">
        <f>IF(OR(Table4[[#This Row],[INSTALLMENT]]=3),3,0)</f>
        <v>0</v>
      </c>
    </row>
    <row r="2188" spans="1:7">
      <c r="A2188" s="1">
        <v>2546</v>
      </c>
      <c r="B2188" s="1" t="s">
        <v>3555</v>
      </c>
      <c r="C2188" s="1" t="s">
        <v>351</v>
      </c>
      <c r="D2188" s="1">
        <f>COUNTIFS('Raw Entries'!B:B,Table4[[#This Row],[Name]],'Raw Entries'!I:I,Table4[[#This Row],[BOOK No.]])</f>
        <v>0</v>
      </c>
      <c r="E2188" s="1">
        <f t="array" ref="E2188">IF(OR(Table4[[#This Row],[INSTALLMENT]]=1,Table4[[#This Row],[INSTALLMENT]]=2,Table4[[#This Row],[INSTALLMENT]]=3),1,0)</f>
        <v>0</v>
      </c>
      <c r="F2188" s="1">
        <f>IF(OR(Table4[[#This Row],[INSTALLMENT]]=2,Table4[[#This Row],[INSTALLMENT]]=3),2,0)</f>
        <v>0</v>
      </c>
      <c r="G2188" s="1">
        <f>IF(OR(Table4[[#This Row],[INSTALLMENT]]=3),3,0)</f>
        <v>0</v>
      </c>
    </row>
    <row r="2189" spans="1:7">
      <c r="A2189" s="1">
        <v>2547</v>
      </c>
      <c r="B2189" s="1" t="s">
        <v>3556</v>
      </c>
      <c r="C2189" s="1" t="s">
        <v>351</v>
      </c>
      <c r="D2189" s="1">
        <f>COUNTIFS('Raw Entries'!B:B,Table4[[#This Row],[Name]],'Raw Entries'!I:I,Table4[[#This Row],[BOOK No.]])</f>
        <v>0</v>
      </c>
      <c r="E2189" s="1">
        <f t="array" ref="E2189">IF(OR(Table4[[#This Row],[INSTALLMENT]]=1,Table4[[#This Row],[INSTALLMENT]]=2,Table4[[#This Row],[INSTALLMENT]]=3),1,0)</f>
        <v>0</v>
      </c>
      <c r="F2189" s="1">
        <f>IF(OR(Table4[[#This Row],[INSTALLMENT]]=2,Table4[[#This Row],[INSTALLMENT]]=3),2,0)</f>
        <v>0</v>
      </c>
      <c r="G2189" s="1">
        <f>IF(OR(Table4[[#This Row],[INSTALLMENT]]=3),3,0)</f>
        <v>0</v>
      </c>
    </row>
    <row r="2190" spans="1:7">
      <c r="A2190" s="1">
        <v>2548</v>
      </c>
      <c r="B2190" s="1" t="s">
        <v>3557</v>
      </c>
      <c r="C2190" s="1" t="s">
        <v>351</v>
      </c>
      <c r="D2190" s="1">
        <f>COUNTIFS('Raw Entries'!B:B,Table4[[#This Row],[Name]],'Raw Entries'!I:I,Table4[[#This Row],[BOOK No.]])</f>
        <v>0</v>
      </c>
      <c r="E2190" s="1">
        <f t="array" ref="E2190">IF(OR(Table4[[#This Row],[INSTALLMENT]]=1,Table4[[#This Row],[INSTALLMENT]]=2,Table4[[#This Row],[INSTALLMENT]]=3),1,0)</f>
        <v>0</v>
      </c>
      <c r="F2190" s="1">
        <f>IF(OR(Table4[[#This Row],[INSTALLMENT]]=2,Table4[[#This Row],[INSTALLMENT]]=3),2,0)</f>
        <v>0</v>
      </c>
      <c r="G2190" s="1">
        <f>IF(OR(Table4[[#This Row],[INSTALLMENT]]=3),3,0)</f>
        <v>0</v>
      </c>
    </row>
    <row r="2191" spans="1:7">
      <c r="A2191" s="1">
        <v>2549</v>
      </c>
      <c r="B2191" s="1" t="s">
        <v>3558</v>
      </c>
      <c r="C2191" s="1" t="s">
        <v>351</v>
      </c>
      <c r="D2191" s="1">
        <f>COUNTIFS('Raw Entries'!B:B,Table4[[#This Row],[Name]],'Raw Entries'!I:I,Table4[[#This Row],[BOOK No.]])</f>
        <v>0</v>
      </c>
      <c r="E2191" s="1">
        <f t="array" ref="E2191">IF(OR(Table4[[#This Row],[INSTALLMENT]]=1,Table4[[#This Row],[INSTALLMENT]]=2,Table4[[#This Row],[INSTALLMENT]]=3),1,0)</f>
        <v>0</v>
      </c>
      <c r="F2191" s="1">
        <f>IF(OR(Table4[[#This Row],[INSTALLMENT]]=2,Table4[[#This Row],[INSTALLMENT]]=3),2,0)</f>
        <v>0</v>
      </c>
      <c r="G2191" s="1">
        <f>IF(OR(Table4[[#This Row],[INSTALLMENT]]=3),3,0)</f>
        <v>0</v>
      </c>
    </row>
    <row r="2192" spans="1:7">
      <c r="A2192" s="1">
        <v>2550</v>
      </c>
      <c r="B2192" s="1" t="s">
        <v>354</v>
      </c>
      <c r="C2192" s="1" t="s">
        <v>351</v>
      </c>
      <c r="D2192" s="1">
        <f>COUNTIFS('Raw Entries'!B:B,Table4[[#This Row],[Name]],'Raw Entries'!I:I,Table4[[#This Row],[BOOK No.]])</f>
        <v>1</v>
      </c>
      <c r="E2192" s="1">
        <f t="array" ref="E2192">IF(OR(Table4[[#This Row],[INSTALLMENT]]=1,Table4[[#This Row],[INSTALLMENT]]=2,Table4[[#This Row],[INSTALLMENT]]=3),1,0)</f>
        <v>1</v>
      </c>
      <c r="F2192" s="1">
        <f>IF(OR(Table4[[#This Row],[INSTALLMENT]]=2,Table4[[#This Row],[INSTALLMENT]]=3),2,0)</f>
        <v>0</v>
      </c>
      <c r="G2192" s="1">
        <f>IF(OR(Table4[[#This Row],[INSTALLMENT]]=3),3,0)</f>
        <v>0</v>
      </c>
    </row>
    <row r="2193" spans="1:7">
      <c r="A2193" s="1">
        <v>2551</v>
      </c>
      <c r="B2193" s="1" t="s">
        <v>3559</v>
      </c>
      <c r="C2193" s="1" t="s">
        <v>351</v>
      </c>
      <c r="D2193" s="1">
        <f>COUNTIFS('Raw Entries'!B:B,Table4[[#This Row],[Name]],'Raw Entries'!I:I,Table4[[#This Row],[BOOK No.]])</f>
        <v>0</v>
      </c>
      <c r="E2193" s="1">
        <f t="array" ref="E2193">IF(OR(Table4[[#This Row],[INSTALLMENT]]=1,Table4[[#This Row],[INSTALLMENT]]=2,Table4[[#This Row],[INSTALLMENT]]=3),1,0)</f>
        <v>0</v>
      </c>
      <c r="F2193" s="1">
        <f>IF(OR(Table4[[#This Row],[INSTALLMENT]]=2,Table4[[#This Row],[INSTALLMENT]]=3),2,0)</f>
        <v>0</v>
      </c>
      <c r="G2193" s="1">
        <f>IF(OR(Table4[[#This Row],[INSTALLMENT]]=3),3,0)</f>
        <v>0</v>
      </c>
    </row>
    <row r="2194" spans="1:7">
      <c r="A2194" s="1">
        <v>2552</v>
      </c>
      <c r="B2194" s="1" t="s">
        <v>3560</v>
      </c>
      <c r="C2194" s="1" t="s">
        <v>351</v>
      </c>
      <c r="D2194" s="1">
        <f>COUNTIFS('Raw Entries'!B:B,Table4[[#This Row],[Name]],'Raw Entries'!I:I,Table4[[#This Row],[BOOK No.]])</f>
        <v>0</v>
      </c>
      <c r="E2194" s="1">
        <f t="array" ref="E2194">IF(OR(Table4[[#This Row],[INSTALLMENT]]=1,Table4[[#This Row],[INSTALLMENT]]=2,Table4[[#This Row],[INSTALLMENT]]=3),1,0)</f>
        <v>0</v>
      </c>
      <c r="F2194" s="1">
        <f>IF(OR(Table4[[#This Row],[INSTALLMENT]]=2,Table4[[#This Row],[INSTALLMENT]]=3),2,0)</f>
        <v>0</v>
      </c>
      <c r="G2194" s="1">
        <f>IF(OR(Table4[[#This Row],[INSTALLMENT]]=3),3,0)</f>
        <v>0</v>
      </c>
    </row>
    <row r="2195" spans="1:7">
      <c r="A2195" s="1">
        <v>2553</v>
      </c>
      <c r="B2195" s="1" t="s">
        <v>353</v>
      </c>
      <c r="C2195" s="1" t="s">
        <v>351</v>
      </c>
      <c r="D2195" s="1">
        <f>COUNTIFS('Raw Entries'!B:B,Table4[[#This Row],[Name]],'Raw Entries'!I:I,Table4[[#This Row],[BOOK No.]])</f>
        <v>1</v>
      </c>
      <c r="E2195" s="1">
        <f t="array" ref="E2195">IF(OR(Table4[[#This Row],[INSTALLMENT]]=1,Table4[[#This Row],[INSTALLMENT]]=2,Table4[[#This Row],[INSTALLMENT]]=3),1,0)</f>
        <v>1</v>
      </c>
      <c r="F2195" s="1">
        <f>IF(OR(Table4[[#This Row],[INSTALLMENT]]=2,Table4[[#This Row],[INSTALLMENT]]=3),2,0)</f>
        <v>0</v>
      </c>
      <c r="G2195" s="1">
        <f>IF(OR(Table4[[#This Row],[INSTALLMENT]]=3),3,0)</f>
        <v>0</v>
      </c>
    </row>
    <row r="2196" spans="1:7">
      <c r="A2196" s="1">
        <v>2554</v>
      </c>
      <c r="B2196" s="1" t="s">
        <v>3561</v>
      </c>
      <c r="C2196" s="1" t="s">
        <v>351</v>
      </c>
      <c r="D2196" s="1">
        <f>COUNTIFS('Raw Entries'!B:B,Table4[[#This Row],[Name]],'Raw Entries'!I:I,Table4[[#This Row],[BOOK No.]])</f>
        <v>0</v>
      </c>
      <c r="E2196" s="1">
        <f t="array" ref="E2196">IF(OR(Table4[[#This Row],[INSTALLMENT]]=1,Table4[[#This Row],[INSTALLMENT]]=2,Table4[[#This Row],[INSTALLMENT]]=3),1,0)</f>
        <v>0</v>
      </c>
      <c r="F2196" s="1">
        <f>IF(OR(Table4[[#This Row],[INSTALLMENT]]=2,Table4[[#This Row],[INSTALLMENT]]=3),2,0)</f>
        <v>0</v>
      </c>
      <c r="G2196" s="1">
        <f>IF(OR(Table4[[#This Row],[INSTALLMENT]]=3),3,0)</f>
        <v>0</v>
      </c>
    </row>
    <row r="2197" spans="1:7">
      <c r="A2197" s="1">
        <v>2555</v>
      </c>
      <c r="B2197" s="1" t="s">
        <v>3562</v>
      </c>
      <c r="C2197" s="1" t="s">
        <v>351</v>
      </c>
      <c r="D2197" s="1">
        <f>COUNTIFS('Raw Entries'!B:B,Table4[[#This Row],[Name]],'Raw Entries'!I:I,Table4[[#This Row],[BOOK No.]])</f>
        <v>0</v>
      </c>
      <c r="E2197" s="1">
        <f t="array" ref="E2197">IF(OR(Table4[[#This Row],[INSTALLMENT]]=1,Table4[[#This Row],[INSTALLMENT]]=2,Table4[[#This Row],[INSTALLMENT]]=3),1,0)</f>
        <v>0</v>
      </c>
      <c r="F2197" s="1">
        <f>IF(OR(Table4[[#This Row],[INSTALLMENT]]=2,Table4[[#This Row],[INSTALLMENT]]=3),2,0)</f>
        <v>0</v>
      </c>
      <c r="G2197" s="1">
        <f>IF(OR(Table4[[#This Row],[INSTALLMENT]]=3),3,0)</f>
        <v>0</v>
      </c>
    </row>
    <row r="2198" spans="1:7">
      <c r="A2198" s="1">
        <v>2556</v>
      </c>
      <c r="B2198" s="1" t="s">
        <v>3563</v>
      </c>
      <c r="C2198" s="1" t="s">
        <v>351</v>
      </c>
      <c r="D2198" s="1">
        <f>COUNTIFS('Raw Entries'!B:B,Table4[[#This Row],[Name]],'Raw Entries'!I:I,Table4[[#This Row],[BOOK No.]])</f>
        <v>0</v>
      </c>
      <c r="E2198" s="1">
        <f t="array" ref="E2198">IF(OR(Table4[[#This Row],[INSTALLMENT]]=1,Table4[[#This Row],[INSTALLMENT]]=2,Table4[[#This Row],[INSTALLMENT]]=3),1,0)</f>
        <v>0</v>
      </c>
      <c r="F2198" s="1">
        <f>IF(OR(Table4[[#This Row],[INSTALLMENT]]=2,Table4[[#This Row],[INSTALLMENT]]=3),2,0)</f>
        <v>0</v>
      </c>
      <c r="G2198" s="1">
        <f>IF(OR(Table4[[#This Row],[INSTALLMENT]]=3),3,0)</f>
        <v>0</v>
      </c>
    </row>
    <row r="2199" spans="1:7">
      <c r="A2199" s="1">
        <v>2557</v>
      </c>
      <c r="B2199" s="1" t="s">
        <v>3564</v>
      </c>
      <c r="C2199" s="1" t="s">
        <v>351</v>
      </c>
      <c r="D2199" s="1">
        <f>COUNTIFS('Raw Entries'!B:B,Table4[[#This Row],[Name]],'Raw Entries'!I:I,Table4[[#This Row],[BOOK No.]])</f>
        <v>0</v>
      </c>
      <c r="E2199" s="1">
        <f t="array" ref="E2199">IF(OR(Table4[[#This Row],[INSTALLMENT]]=1,Table4[[#This Row],[INSTALLMENT]]=2,Table4[[#This Row],[INSTALLMENT]]=3),1,0)</f>
        <v>0</v>
      </c>
      <c r="F2199" s="1">
        <f>IF(OR(Table4[[#This Row],[INSTALLMENT]]=2,Table4[[#This Row],[INSTALLMENT]]=3),2,0)</f>
        <v>0</v>
      </c>
      <c r="G2199" s="1">
        <f>IF(OR(Table4[[#This Row],[INSTALLMENT]]=3),3,0)</f>
        <v>0</v>
      </c>
    </row>
    <row r="2200" spans="1:7">
      <c r="A2200" s="1">
        <v>2558</v>
      </c>
      <c r="B2200" s="1" t="s">
        <v>2799</v>
      </c>
      <c r="C2200" s="1" t="s">
        <v>351</v>
      </c>
      <c r="D2200" s="1">
        <f>COUNTIFS('Raw Entries'!B:B,Table4[[#This Row],[Name]],'Raw Entries'!I:I,Table4[[#This Row],[BOOK No.]])</f>
        <v>0</v>
      </c>
      <c r="E2200" s="1">
        <f t="array" ref="E2200">IF(OR(Table4[[#This Row],[INSTALLMENT]]=1,Table4[[#This Row],[INSTALLMENT]]=2,Table4[[#This Row],[INSTALLMENT]]=3),1,0)</f>
        <v>0</v>
      </c>
      <c r="F2200" s="1">
        <f>IF(OR(Table4[[#This Row],[INSTALLMENT]]=2,Table4[[#This Row],[INSTALLMENT]]=3),2,0)</f>
        <v>0</v>
      </c>
      <c r="G2200" s="1">
        <f>IF(OR(Table4[[#This Row],[INSTALLMENT]]=3),3,0)</f>
        <v>0</v>
      </c>
    </row>
    <row r="2201" spans="1:7">
      <c r="A2201" s="1">
        <v>2559</v>
      </c>
      <c r="B2201" s="1" t="s">
        <v>3565</v>
      </c>
      <c r="C2201" s="1" t="s">
        <v>351</v>
      </c>
      <c r="D2201" s="1">
        <f>COUNTIFS('Raw Entries'!B:B,Table4[[#This Row],[Name]],'Raw Entries'!I:I,Table4[[#This Row],[BOOK No.]])</f>
        <v>0</v>
      </c>
      <c r="E2201" s="1">
        <f t="array" ref="E2201">IF(OR(Table4[[#This Row],[INSTALLMENT]]=1,Table4[[#This Row],[INSTALLMENT]]=2,Table4[[#This Row],[INSTALLMENT]]=3),1,0)</f>
        <v>0</v>
      </c>
      <c r="F2201" s="1">
        <f>IF(OR(Table4[[#This Row],[INSTALLMENT]]=2,Table4[[#This Row],[INSTALLMENT]]=3),2,0)</f>
        <v>0</v>
      </c>
      <c r="G2201" s="1">
        <f>IF(OR(Table4[[#This Row],[INSTALLMENT]]=3),3,0)</f>
        <v>0</v>
      </c>
    </row>
    <row r="2202" spans="1:7">
      <c r="A2202" s="1">
        <v>2560</v>
      </c>
      <c r="B2202" s="1" t="s">
        <v>3566</v>
      </c>
      <c r="C2202" s="1" t="s">
        <v>351</v>
      </c>
      <c r="D2202" s="1">
        <f>COUNTIFS('Raw Entries'!B:B,Table4[[#This Row],[Name]],'Raw Entries'!I:I,Table4[[#This Row],[BOOK No.]])</f>
        <v>0</v>
      </c>
      <c r="E2202" s="1">
        <f t="array" ref="E2202">IF(OR(Table4[[#This Row],[INSTALLMENT]]=1,Table4[[#This Row],[INSTALLMENT]]=2,Table4[[#This Row],[INSTALLMENT]]=3),1,0)</f>
        <v>0</v>
      </c>
      <c r="F2202" s="1">
        <f>IF(OR(Table4[[#This Row],[INSTALLMENT]]=2,Table4[[#This Row],[INSTALLMENT]]=3),2,0)</f>
        <v>0</v>
      </c>
      <c r="G2202" s="1">
        <f>IF(OR(Table4[[#This Row],[INSTALLMENT]]=3),3,0)</f>
        <v>0</v>
      </c>
    </row>
    <row r="2203" spans="1:7">
      <c r="A2203" s="1">
        <v>2561</v>
      </c>
      <c r="B2203" s="1" t="s">
        <v>1946</v>
      </c>
      <c r="C2203" s="1" t="s">
        <v>351</v>
      </c>
      <c r="D2203" s="1">
        <f>COUNTIFS('Raw Entries'!B:B,Table4[[#This Row],[Name]],'Raw Entries'!I:I,Table4[[#This Row],[BOOK No.]])</f>
        <v>3</v>
      </c>
      <c r="E2203" s="1">
        <f t="array" ref="E2203">IF(OR(Table4[[#This Row],[INSTALLMENT]]=1,Table4[[#This Row],[INSTALLMENT]]=2,Table4[[#This Row],[INSTALLMENT]]=3),1,0)</f>
        <v>1</v>
      </c>
      <c r="F2203" s="1">
        <f>IF(OR(Table4[[#This Row],[INSTALLMENT]]=2,Table4[[#This Row],[INSTALLMENT]]=3),2,0)</f>
        <v>2</v>
      </c>
      <c r="G2203" s="1">
        <f>IF(OR(Table4[[#This Row],[INSTALLMENT]]=3),3,0)</f>
        <v>3</v>
      </c>
    </row>
    <row r="2204" spans="1:7">
      <c r="A2204" s="1">
        <v>2562</v>
      </c>
      <c r="B2204" s="1" t="s">
        <v>3567</v>
      </c>
      <c r="C2204" s="1" t="s">
        <v>351</v>
      </c>
      <c r="D2204" s="1">
        <f>COUNTIFS('Raw Entries'!B:B,Table4[[#This Row],[Name]],'Raw Entries'!I:I,Table4[[#This Row],[BOOK No.]])</f>
        <v>0</v>
      </c>
      <c r="E2204" s="1">
        <f t="array" ref="E2204">IF(OR(Table4[[#This Row],[INSTALLMENT]]=1,Table4[[#This Row],[INSTALLMENT]]=2,Table4[[#This Row],[INSTALLMENT]]=3),1,0)</f>
        <v>0</v>
      </c>
      <c r="F2204" s="1">
        <f>IF(OR(Table4[[#This Row],[INSTALLMENT]]=2,Table4[[#This Row],[INSTALLMENT]]=3),2,0)</f>
        <v>0</v>
      </c>
      <c r="G2204" s="1">
        <f>IF(OR(Table4[[#This Row],[INSTALLMENT]]=3),3,0)</f>
        <v>0</v>
      </c>
    </row>
    <row r="2205" spans="1:7">
      <c r="A2205" s="1">
        <v>2563</v>
      </c>
      <c r="B2205" s="1" t="s">
        <v>3568</v>
      </c>
      <c r="C2205" s="1" t="s">
        <v>351</v>
      </c>
      <c r="D2205" s="1">
        <f>COUNTIFS('Raw Entries'!B:B,Table4[[#This Row],[Name]],'Raw Entries'!I:I,Table4[[#This Row],[BOOK No.]])</f>
        <v>0</v>
      </c>
      <c r="E2205" s="1">
        <f t="array" ref="E2205">IF(OR(Table4[[#This Row],[INSTALLMENT]]=1,Table4[[#This Row],[INSTALLMENT]]=2,Table4[[#This Row],[INSTALLMENT]]=3),1,0)</f>
        <v>0</v>
      </c>
      <c r="F2205" s="1">
        <f>IF(OR(Table4[[#This Row],[INSTALLMENT]]=2,Table4[[#This Row],[INSTALLMENT]]=3),2,0)</f>
        <v>0</v>
      </c>
      <c r="G2205" s="1">
        <f>IF(OR(Table4[[#This Row],[INSTALLMENT]]=3),3,0)</f>
        <v>0</v>
      </c>
    </row>
    <row r="2206" spans="1:7">
      <c r="A2206" s="1">
        <v>2564</v>
      </c>
      <c r="B2206" s="1" t="s">
        <v>3569</v>
      </c>
      <c r="C2206" s="1" t="s">
        <v>351</v>
      </c>
      <c r="D2206" s="1">
        <f>COUNTIFS('Raw Entries'!B:B,Table4[[#This Row],[Name]],'Raw Entries'!I:I,Table4[[#This Row],[BOOK No.]])</f>
        <v>0</v>
      </c>
      <c r="E2206" s="1">
        <f t="array" ref="E2206">IF(OR(Table4[[#This Row],[INSTALLMENT]]=1,Table4[[#This Row],[INSTALLMENT]]=2,Table4[[#This Row],[INSTALLMENT]]=3),1,0)</f>
        <v>0</v>
      </c>
      <c r="F2206" s="1">
        <f>IF(OR(Table4[[#This Row],[INSTALLMENT]]=2,Table4[[#This Row],[INSTALLMENT]]=3),2,0)</f>
        <v>0</v>
      </c>
      <c r="G2206" s="1">
        <f>IF(OR(Table4[[#This Row],[INSTALLMENT]]=3),3,0)</f>
        <v>0</v>
      </c>
    </row>
    <row r="2207" spans="1:7">
      <c r="A2207" s="1">
        <v>2565</v>
      </c>
      <c r="B2207" s="1" t="s">
        <v>3570</v>
      </c>
      <c r="C2207" s="1" t="s">
        <v>351</v>
      </c>
      <c r="D2207" s="1">
        <f>COUNTIFS('Raw Entries'!B:B,Table4[[#This Row],[Name]],'Raw Entries'!I:I,Table4[[#This Row],[BOOK No.]])</f>
        <v>0</v>
      </c>
      <c r="E2207" s="1">
        <f t="array" ref="E2207">IF(OR(Table4[[#This Row],[INSTALLMENT]]=1,Table4[[#This Row],[INSTALLMENT]]=2,Table4[[#This Row],[INSTALLMENT]]=3),1,0)</f>
        <v>0</v>
      </c>
      <c r="F2207" s="1">
        <f>IF(OR(Table4[[#This Row],[INSTALLMENT]]=2,Table4[[#This Row],[INSTALLMENT]]=3),2,0)</f>
        <v>0</v>
      </c>
      <c r="G2207" s="1">
        <f>IF(OR(Table4[[#This Row],[INSTALLMENT]]=3),3,0)</f>
        <v>0</v>
      </c>
    </row>
    <row r="2208" spans="1:7">
      <c r="A2208" s="1">
        <v>2566</v>
      </c>
      <c r="B2208" s="1" t="s">
        <v>3571</v>
      </c>
      <c r="C2208" s="1" t="s">
        <v>351</v>
      </c>
      <c r="D2208" s="1">
        <f>COUNTIFS('Raw Entries'!B:B,Table4[[#This Row],[Name]],'Raw Entries'!I:I,Table4[[#This Row],[BOOK No.]])</f>
        <v>0</v>
      </c>
      <c r="E2208" s="1">
        <f t="array" ref="E2208">IF(OR(Table4[[#This Row],[INSTALLMENT]]=1,Table4[[#This Row],[INSTALLMENT]]=2,Table4[[#This Row],[INSTALLMENT]]=3),1,0)</f>
        <v>0</v>
      </c>
      <c r="F2208" s="1">
        <f>IF(OR(Table4[[#This Row],[INSTALLMENT]]=2,Table4[[#This Row],[INSTALLMENT]]=3),2,0)</f>
        <v>0</v>
      </c>
      <c r="G2208" s="1">
        <f>IF(OR(Table4[[#This Row],[INSTALLMENT]]=3),3,0)</f>
        <v>0</v>
      </c>
    </row>
    <row r="2209" spans="1:7">
      <c r="A2209" s="1">
        <v>2567</v>
      </c>
      <c r="B2209" s="1" t="s">
        <v>3572</v>
      </c>
      <c r="C2209" s="1" t="s">
        <v>351</v>
      </c>
      <c r="D2209" s="1">
        <f>COUNTIFS('Raw Entries'!B:B,Table4[[#This Row],[Name]],'Raw Entries'!I:I,Table4[[#This Row],[BOOK No.]])</f>
        <v>0</v>
      </c>
      <c r="E2209" s="1">
        <f t="array" ref="E2209">IF(OR(Table4[[#This Row],[INSTALLMENT]]=1,Table4[[#This Row],[INSTALLMENT]]=2,Table4[[#This Row],[INSTALLMENT]]=3),1,0)</f>
        <v>0</v>
      </c>
      <c r="F2209" s="1">
        <f>IF(OR(Table4[[#This Row],[INSTALLMENT]]=2,Table4[[#This Row],[INSTALLMENT]]=3),2,0)</f>
        <v>0</v>
      </c>
      <c r="G2209" s="1">
        <f>IF(OR(Table4[[#This Row],[INSTALLMENT]]=3),3,0)</f>
        <v>0</v>
      </c>
    </row>
    <row r="2210" spans="1:7">
      <c r="A2210" s="1">
        <v>2568</v>
      </c>
      <c r="B2210" s="1" t="s">
        <v>3573</v>
      </c>
      <c r="C2210" s="1" t="s">
        <v>351</v>
      </c>
      <c r="D2210" s="1">
        <f>COUNTIFS('Raw Entries'!B:B,Table4[[#This Row],[Name]],'Raw Entries'!I:I,Table4[[#This Row],[BOOK No.]])</f>
        <v>0</v>
      </c>
      <c r="E2210" s="1">
        <f t="array" ref="E2210">IF(OR(Table4[[#This Row],[INSTALLMENT]]=1,Table4[[#This Row],[INSTALLMENT]]=2,Table4[[#This Row],[INSTALLMENT]]=3),1,0)</f>
        <v>0</v>
      </c>
      <c r="F2210" s="1">
        <f>IF(OR(Table4[[#This Row],[INSTALLMENT]]=2,Table4[[#This Row],[INSTALLMENT]]=3),2,0)</f>
        <v>0</v>
      </c>
      <c r="G2210" s="1">
        <f>IF(OR(Table4[[#This Row],[INSTALLMENT]]=3),3,0)</f>
        <v>0</v>
      </c>
    </row>
    <row r="2211" spans="1:7">
      <c r="A2211" s="1">
        <v>2569</v>
      </c>
      <c r="B2211" s="1" t="s">
        <v>3574</v>
      </c>
      <c r="C2211" s="1" t="s">
        <v>581</v>
      </c>
      <c r="D2211" s="1">
        <f>COUNTIFS('Raw Entries'!B:B,Table4[[#This Row],[Name]],'Raw Entries'!I:I,Table4[[#This Row],[BOOK No.]])</f>
        <v>0</v>
      </c>
      <c r="E2211" s="1">
        <f t="array" ref="E2211">IF(OR(Table4[[#This Row],[INSTALLMENT]]=1,Table4[[#This Row],[INSTALLMENT]]=2,Table4[[#This Row],[INSTALLMENT]]=3),1,0)</f>
        <v>0</v>
      </c>
      <c r="F2211" s="1">
        <f>IF(OR(Table4[[#This Row],[INSTALLMENT]]=2,Table4[[#This Row],[INSTALLMENT]]=3),2,0)</f>
        <v>0</v>
      </c>
      <c r="G2211" s="1">
        <f>IF(OR(Table4[[#This Row],[INSTALLMENT]]=3),3,0)</f>
        <v>0</v>
      </c>
    </row>
    <row r="2212" spans="1:7">
      <c r="A2212" s="1">
        <v>2570</v>
      </c>
      <c r="B2212" s="1" t="s">
        <v>3575</v>
      </c>
      <c r="C2212" s="1" t="s">
        <v>581</v>
      </c>
      <c r="D2212" s="1">
        <f>COUNTIFS('Raw Entries'!B:B,Table4[[#This Row],[Name]],'Raw Entries'!I:I,Table4[[#This Row],[BOOK No.]])</f>
        <v>0</v>
      </c>
      <c r="E2212" s="1">
        <f t="array" ref="E2212">IF(OR(Table4[[#This Row],[INSTALLMENT]]=1,Table4[[#This Row],[INSTALLMENT]]=2,Table4[[#This Row],[INSTALLMENT]]=3),1,0)</f>
        <v>0</v>
      </c>
      <c r="F2212" s="1">
        <f>IF(OR(Table4[[#This Row],[INSTALLMENT]]=2,Table4[[#This Row],[INSTALLMENT]]=3),2,0)</f>
        <v>0</v>
      </c>
      <c r="G2212" s="1">
        <f>IF(OR(Table4[[#This Row],[INSTALLMENT]]=3),3,0)</f>
        <v>0</v>
      </c>
    </row>
    <row r="2213" spans="1:7">
      <c r="A2213" s="1">
        <v>2571</v>
      </c>
      <c r="B2213" s="1" t="s">
        <v>3576</v>
      </c>
      <c r="C2213" s="1" t="s">
        <v>581</v>
      </c>
      <c r="D2213" s="1">
        <f>COUNTIFS('Raw Entries'!B:B,Table4[[#This Row],[Name]],'Raw Entries'!I:I,Table4[[#This Row],[BOOK No.]])</f>
        <v>0</v>
      </c>
      <c r="E2213" s="1">
        <f t="array" ref="E2213">IF(OR(Table4[[#This Row],[INSTALLMENT]]=1,Table4[[#This Row],[INSTALLMENT]]=2,Table4[[#This Row],[INSTALLMENT]]=3),1,0)</f>
        <v>0</v>
      </c>
      <c r="F2213" s="1">
        <f>IF(OR(Table4[[#This Row],[INSTALLMENT]]=2,Table4[[#This Row],[INSTALLMENT]]=3),2,0)</f>
        <v>0</v>
      </c>
      <c r="G2213" s="1">
        <f>IF(OR(Table4[[#This Row],[INSTALLMENT]]=3),3,0)</f>
        <v>0</v>
      </c>
    </row>
    <row r="2214" spans="1:7">
      <c r="A2214" s="1">
        <v>2572</v>
      </c>
      <c r="B2214" s="1" t="s">
        <v>3577</v>
      </c>
      <c r="C2214" s="1" t="s">
        <v>581</v>
      </c>
      <c r="D2214" s="1">
        <f>COUNTIFS('Raw Entries'!B:B,Table4[[#This Row],[Name]],'Raw Entries'!I:I,Table4[[#This Row],[BOOK No.]])</f>
        <v>0</v>
      </c>
      <c r="E2214" s="1">
        <f t="array" ref="E2214">IF(OR(Table4[[#This Row],[INSTALLMENT]]=1,Table4[[#This Row],[INSTALLMENT]]=2,Table4[[#This Row],[INSTALLMENT]]=3),1,0)</f>
        <v>0</v>
      </c>
      <c r="F2214" s="1">
        <f>IF(OR(Table4[[#This Row],[INSTALLMENT]]=2,Table4[[#This Row],[INSTALLMENT]]=3),2,0)</f>
        <v>0</v>
      </c>
      <c r="G2214" s="1">
        <f>IF(OR(Table4[[#This Row],[INSTALLMENT]]=3),3,0)</f>
        <v>0</v>
      </c>
    </row>
    <row r="2215" spans="1:7">
      <c r="A2215" s="1">
        <v>2573</v>
      </c>
      <c r="B2215" s="1" t="s">
        <v>3578</v>
      </c>
      <c r="C2215" s="1" t="s">
        <v>581</v>
      </c>
      <c r="D2215" s="1">
        <f>COUNTIFS('Raw Entries'!B:B,Table4[[#This Row],[Name]],'Raw Entries'!I:I,Table4[[#This Row],[BOOK No.]])</f>
        <v>0</v>
      </c>
      <c r="E2215" s="1">
        <f t="array" ref="E2215">IF(OR(Table4[[#This Row],[INSTALLMENT]]=1,Table4[[#This Row],[INSTALLMENT]]=2,Table4[[#This Row],[INSTALLMENT]]=3),1,0)</f>
        <v>0</v>
      </c>
      <c r="F2215" s="1">
        <f>IF(OR(Table4[[#This Row],[INSTALLMENT]]=2,Table4[[#This Row],[INSTALLMENT]]=3),2,0)</f>
        <v>0</v>
      </c>
      <c r="G2215" s="1">
        <f>IF(OR(Table4[[#This Row],[INSTALLMENT]]=3),3,0)</f>
        <v>0</v>
      </c>
    </row>
    <row r="2216" spans="1:7">
      <c r="A2216" s="1">
        <v>2574</v>
      </c>
      <c r="B2216" s="1" t="s">
        <v>3579</v>
      </c>
      <c r="C2216" s="1" t="s">
        <v>581</v>
      </c>
      <c r="D2216" s="1">
        <f>COUNTIFS('Raw Entries'!B:B,Table4[[#This Row],[Name]],'Raw Entries'!I:I,Table4[[#This Row],[BOOK No.]])</f>
        <v>0</v>
      </c>
      <c r="E2216" s="1">
        <f t="array" ref="E2216">IF(OR(Table4[[#This Row],[INSTALLMENT]]=1,Table4[[#This Row],[INSTALLMENT]]=2,Table4[[#This Row],[INSTALLMENT]]=3),1,0)</f>
        <v>0</v>
      </c>
      <c r="F2216" s="1">
        <f>IF(OR(Table4[[#This Row],[INSTALLMENT]]=2,Table4[[#This Row],[INSTALLMENT]]=3),2,0)</f>
        <v>0</v>
      </c>
      <c r="G2216" s="1">
        <f>IF(OR(Table4[[#This Row],[INSTALLMENT]]=3),3,0)</f>
        <v>0</v>
      </c>
    </row>
    <row r="2217" spans="1:7">
      <c r="A2217" s="1">
        <v>2575</v>
      </c>
      <c r="B2217" s="1" t="s">
        <v>3580</v>
      </c>
      <c r="C2217" s="1" t="s">
        <v>581</v>
      </c>
      <c r="D2217" s="1">
        <f>COUNTIFS('Raw Entries'!B:B,Table4[[#This Row],[Name]],'Raw Entries'!I:I,Table4[[#This Row],[BOOK No.]])</f>
        <v>0</v>
      </c>
      <c r="E2217" s="1">
        <f t="array" ref="E2217">IF(OR(Table4[[#This Row],[INSTALLMENT]]=1,Table4[[#This Row],[INSTALLMENT]]=2,Table4[[#This Row],[INSTALLMENT]]=3),1,0)</f>
        <v>0</v>
      </c>
      <c r="F2217" s="1">
        <f>IF(OR(Table4[[#This Row],[INSTALLMENT]]=2,Table4[[#This Row],[INSTALLMENT]]=3),2,0)</f>
        <v>0</v>
      </c>
      <c r="G2217" s="1">
        <f>IF(OR(Table4[[#This Row],[INSTALLMENT]]=3),3,0)</f>
        <v>0</v>
      </c>
    </row>
    <row r="2218" spans="1:7">
      <c r="A2218" s="1">
        <v>2576</v>
      </c>
      <c r="B2218" s="1" t="s">
        <v>3581</v>
      </c>
      <c r="C2218" s="1" t="s">
        <v>581</v>
      </c>
      <c r="D2218" s="1">
        <f>COUNTIFS('Raw Entries'!B:B,Table4[[#This Row],[Name]],'Raw Entries'!I:I,Table4[[#This Row],[BOOK No.]])</f>
        <v>0</v>
      </c>
      <c r="E2218" s="1">
        <f t="array" ref="E2218">IF(OR(Table4[[#This Row],[INSTALLMENT]]=1,Table4[[#This Row],[INSTALLMENT]]=2,Table4[[#This Row],[INSTALLMENT]]=3),1,0)</f>
        <v>0</v>
      </c>
      <c r="F2218" s="1">
        <f>IF(OR(Table4[[#This Row],[INSTALLMENT]]=2,Table4[[#This Row],[INSTALLMENT]]=3),2,0)</f>
        <v>0</v>
      </c>
      <c r="G2218" s="1">
        <f>IF(OR(Table4[[#This Row],[INSTALLMENT]]=3),3,0)</f>
        <v>0</v>
      </c>
    </row>
    <row r="2219" spans="1:7">
      <c r="A2219" s="1">
        <v>2577</v>
      </c>
      <c r="B2219" s="1" t="s">
        <v>3582</v>
      </c>
      <c r="C2219" s="1" t="s">
        <v>581</v>
      </c>
      <c r="D2219" s="1">
        <f>COUNTIFS('Raw Entries'!B:B,Table4[[#This Row],[Name]],'Raw Entries'!I:I,Table4[[#This Row],[BOOK No.]])</f>
        <v>0</v>
      </c>
      <c r="E2219" s="1">
        <f t="array" ref="E2219">IF(OR(Table4[[#This Row],[INSTALLMENT]]=1,Table4[[#This Row],[INSTALLMENT]]=2,Table4[[#This Row],[INSTALLMENT]]=3),1,0)</f>
        <v>0</v>
      </c>
      <c r="F2219" s="1">
        <f>IF(OR(Table4[[#This Row],[INSTALLMENT]]=2,Table4[[#This Row],[INSTALLMENT]]=3),2,0)</f>
        <v>0</v>
      </c>
      <c r="G2219" s="1">
        <f>IF(OR(Table4[[#This Row],[INSTALLMENT]]=3),3,0)</f>
        <v>0</v>
      </c>
    </row>
    <row r="2220" spans="1:7">
      <c r="A2220" s="1">
        <v>2578</v>
      </c>
      <c r="B2220" s="1" t="s">
        <v>3583</v>
      </c>
      <c r="C2220" s="1" t="s">
        <v>581</v>
      </c>
      <c r="D2220" s="1">
        <f>COUNTIFS('Raw Entries'!B:B,Table4[[#This Row],[Name]],'Raw Entries'!I:I,Table4[[#This Row],[BOOK No.]])</f>
        <v>0</v>
      </c>
      <c r="E2220" s="1">
        <f t="array" ref="E2220">IF(OR(Table4[[#This Row],[INSTALLMENT]]=1,Table4[[#This Row],[INSTALLMENT]]=2,Table4[[#This Row],[INSTALLMENT]]=3),1,0)</f>
        <v>0</v>
      </c>
      <c r="F2220" s="1">
        <f>IF(OR(Table4[[#This Row],[INSTALLMENT]]=2,Table4[[#This Row],[INSTALLMENT]]=3),2,0)</f>
        <v>0</v>
      </c>
      <c r="G2220" s="1">
        <f>IF(OR(Table4[[#This Row],[INSTALLMENT]]=3),3,0)</f>
        <v>0</v>
      </c>
    </row>
    <row r="2221" spans="1:7">
      <c r="A2221" s="1">
        <v>2579</v>
      </c>
      <c r="B2221" s="1" t="s">
        <v>3584</v>
      </c>
      <c r="C2221" s="1" t="s">
        <v>581</v>
      </c>
      <c r="D2221" s="1">
        <f>COUNTIFS('Raw Entries'!B:B,Table4[[#This Row],[Name]],'Raw Entries'!I:I,Table4[[#This Row],[BOOK No.]])</f>
        <v>0</v>
      </c>
      <c r="E2221" s="1">
        <f t="array" ref="E2221">IF(OR(Table4[[#This Row],[INSTALLMENT]]=1,Table4[[#This Row],[INSTALLMENT]]=2,Table4[[#This Row],[INSTALLMENT]]=3),1,0)</f>
        <v>0</v>
      </c>
      <c r="F2221" s="1">
        <f>IF(OR(Table4[[#This Row],[INSTALLMENT]]=2,Table4[[#This Row],[INSTALLMENT]]=3),2,0)</f>
        <v>0</v>
      </c>
      <c r="G2221" s="1">
        <f>IF(OR(Table4[[#This Row],[INSTALLMENT]]=3),3,0)</f>
        <v>0</v>
      </c>
    </row>
    <row r="2222" spans="1:7">
      <c r="A2222" s="1">
        <v>2580</v>
      </c>
      <c r="B2222" s="1" t="s">
        <v>3585</v>
      </c>
      <c r="C2222" s="1" t="s">
        <v>581</v>
      </c>
      <c r="D2222" s="1">
        <f>COUNTIFS('Raw Entries'!B:B,Table4[[#This Row],[Name]],'Raw Entries'!I:I,Table4[[#This Row],[BOOK No.]])</f>
        <v>0</v>
      </c>
      <c r="E2222" s="1">
        <f t="array" ref="E2222">IF(OR(Table4[[#This Row],[INSTALLMENT]]=1,Table4[[#This Row],[INSTALLMENT]]=2,Table4[[#This Row],[INSTALLMENT]]=3),1,0)</f>
        <v>0</v>
      </c>
      <c r="F2222" s="1">
        <f>IF(OR(Table4[[#This Row],[INSTALLMENT]]=2,Table4[[#This Row],[INSTALLMENT]]=3),2,0)</f>
        <v>0</v>
      </c>
      <c r="G2222" s="1">
        <f>IF(OR(Table4[[#This Row],[INSTALLMENT]]=3),3,0)</f>
        <v>0</v>
      </c>
    </row>
    <row r="2223" spans="1:7">
      <c r="A2223" s="1">
        <v>2581</v>
      </c>
      <c r="B2223" s="1" t="s">
        <v>594</v>
      </c>
      <c r="C2223" s="1" t="s">
        <v>581</v>
      </c>
      <c r="D2223" s="1">
        <f>COUNTIFS('Raw Entries'!B:B,Table4[[#This Row],[Name]],'Raw Entries'!I:I,Table4[[#This Row],[BOOK No.]])</f>
        <v>3</v>
      </c>
      <c r="E2223" s="1">
        <f t="array" ref="E2223">IF(OR(Table4[[#This Row],[INSTALLMENT]]=1,Table4[[#This Row],[INSTALLMENT]]=2,Table4[[#This Row],[INSTALLMENT]]=3),1,0)</f>
        <v>1</v>
      </c>
      <c r="F2223" s="1">
        <f>IF(OR(Table4[[#This Row],[INSTALLMENT]]=2,Table4[[#This Row],[INSTALLMENT]]=3),2,0)</f>
        <v>2</v>
      </c>
      <c r="G2223" s="1">
        <f>IF(OR(Table4[[#This Row],[INSTALLMENT]]=3),3,0)</f>
        <v>3</v>
      </c>
    </row>
    <row r="2224" spans="1:7">
      <c r="A2224" s="1">
        <v>2582</v>
      </c>
      <c r="B2224" s="1" t="s">
        <v>3586</v>
      </c>
      <c r="C2224" s="1" t="s">
        <v>581</v>
      </c>
      <c r="D2224" s="1">
        <f>COUNTIFS('Raw Entries'!B:B,Table4[[#This Row],[Name]],'Raw Entries'!I:I,Table4[[#This Row],[BOOK No.]])</f>
        <v>0</v>
      </c>
      <c r="E2224" s="1">
        <f t="array" ref="E2224">IF(OR(Table4[[#This Row],[INSTALLMENT]]=1,Table4[[#This Row],[INSTALLMENT]]=2,Table4[[#This Row],[INSTALLMENT]]=3),1,0)</f>
        <v>0</v>
      </c>
      <c r="F2224" s="1">
        <f>IF(OR(Table4[[#This Row],[INSTALLMENT]]=2,Table4[[#This Row],[INSTALLMENT]]=3),2,0)</f>
        <v>0</v>
      </c>
      <c r="G2224" s="1">
        <f>IF(OR(Table4[[#This Row],[INSTALLMENT]]=3),3,0)</f>
        <v>0</v>
      </c>
    </row>
    <row r="2225" spans="1:7">
      <c r="A2225" s="1">
        <v>2583</v>
      </c>
      <c r="B2225" s="1" t="s">
        <v>3587</v>
      </c>
      <c r="C2225" s="1" t="s">
        <v>581</v>
      </c>
      <c r="D2225" s="1">
        <f>COUNTIFS('Raw Entries'!B:B,Table4[[#This Row],[Name]],'Raw Entries'!I:I,Table4[[#This Row],[BOOK No.]])</f>
        <v>0</v>
      </c>
      <c r="E2225" s="1">
        <f t="array" ref="E2225">IF(OR(Table4[[#This Row],[INSTALLMENT]]=1,Table4[[#This Row],[INSTALLMENT]]=2,Table4[[#This Row],[INSTALLMENT]]=3),1,0)</f>
        <v>0</v>
      </c>
      <c r="F2225" s="1">
        <f>IF(OR(Table4[[#This Row],[INSTALLMENT]]=2,Table4[[#This Row],[INSTALLMENT]]=3),2,0)</f>
        <v>0</v>
      </c>
      <c r="G2225" s="1">
        <f>IF(OR(Table4[[#This Row],[INSTALLMENT]]=3),3,0)</f>
        <v>0</v>
      </c>
    </row>
    <row r="2226" spans="1:7">
      <c r="A2226" s="1">
        <v>2584</v>
      </c>
      <c r="B2226" s="1" t="s">
        <v>3588</v>
      </c>
      <c r="C2226" s="1" t="s">
        <v>581</v>
      </c>
      <c r="D2226" s="1">
        <f>COUNTIFS('Raw Entries'!B:B,Table4[[#This Row],[Name]],'Raw Entries'!I:I,Table4[[#This Row],[BOOK No.]])</f>
        <v>0</v>
      </c>
      <c r="E2226" s="1">
        <f t="array" ref="E2226">IF(OR(Table4[[#This Row],[INSTALLMENT]]=1,Table4[[#This Row],[INSTALLMENT]]=2,Table4[[#This Row],[INSTALLMENT]]=3),1,0)</f>
        <v>0</v>
      </c>
      <c r="F2226" s="1">
        <f>IF(OR(Table4[[#This Row],[INSTALLMENT]]=2,Table4[[#This Row],[INSTALLMENT]]=3),2,0)</f>
        <v>0</v>
      </c>
      <c r="G2226" s="1">
        <f>IF(OR(Table4[[#This Row],[INSTALLMENT]]=3),3,0)</f>
        <v>0</v>
      </c>
    </row>
    <row r="2227" spans="1:7">
      <c r="A2227" s="1">
        <v>2585</v>
      </c>
      <c r="B2227" s="1" t="s">
        <v>3589</v>
      </c>
      <c r="C2227" s="1" t="s">
        <v>581</v>
      </c>
      <c r="D2227" s="1">
        <f>COUNTIFS('Raw Entries'!B:B,Table4[[#This Row],[Name]],'Raw Entries'!I:I,Table4[[#This Row],[BOOK No.]])</f>
        <v>0</v>
      </c>
      <c r="E2227" s="1">
        <f t="array" ref="E2227">IF(OR(Table4[[#This Row],[INSTALLMENT]]=1,Table4[[#This Row],[INSTALLMENT]]=2,Table4[[#This Row],[INSTALLMENT]]=3),1,0)</f>
        <v>0</v>
      </c>
      <c r="F2227" s="1">
        <f>IF(OR(Table4[[#This Row],[INSTALLMENT]]=2,Table4[[#This Row],[INSTALLMENT]]=3),2,0)</f>
        <v>0</v>
      </c>
      <c r="G2227" s="1">
        <f>IF(OR(Table4[[#This Row],[INSTALLMENT]]=3),3,0)</f>
        <v>0</v>
      </c>
    </row>
    <row r="2228" spans="1:7">
      <c r="A2228" s="1">
        <v>2586</v>
      </c>
      <c r="B2228" s="1" t="s">
        <v>3590</v>
      </c>
      <c r="C2228" s="1" t="s">
        <v>581</v>
      </c>
      <c r="D2228" s="1">
        <f>COUNTIFS('Raw Entries'!B:B,Table4[[#This Row],[Name]],'Raw Entries'!I:I,Table4[[#This Row],[BOOK No.]])</f>
        <v>0</v>
      </c>
      <c r="E2228" s="1">
        <f t="array" ref="E2228">IF(OR(Table4[[#This Row],[INSTALLMENT]]=1,Table4[[#This Row],[INSTALLMENT]]=2,Table4[[#This Row],[INSTALLMENT]]=3),1,0)</f>
        <v>0</v>
      </c>
      <c r="F2228" s="1">
        <f>IF(OR(Table4[[#This Row],[INSTALLMENT]]=2,Table4[[#This Row],[INSTALLMENT]]=3),2,0)</f>
        <v>0</v>
      </c>
      <c r="G2228" s="1">
        <f>IF(OR(Table4[[#This Row],[INSTALLMENT]]=3),3,0)</f>
        <v>0</v>
      </c>
    </row>
    <row r="2229" spans="1:7">
      <c r="A2229" s="1">
        <v>2587</v>
      </c>
      <c r="B2229" s="1" t="s">
        <v>3591</v>
      </c>
      <c r="C2229" s="1" t="s">
        <v>581</v>
      </c>
      <c r="D2229" s="1">
        <f>COUNTIFS('Raw Entries'!B:B,Table4[[#This Row],[Name]],'Raw Entries'!I:I,Table4[[#This Row],[BOOK No.]])</f>
        <v>0</v>
      </c>
      <c r="E2229" s="1">
        <f t="array" ref="E2229">IF(OR(Table4[[#This Row],[INSTALLMENT]]=1,Table4[[#This Row],[INSTALLMENT]]=2,Table4[[#This Row],[INSTALLMENT]]=3),1,0)</f>
        <v>0</v>
      </c>
      <c r="F2229" s="1">
        <f>IF(OR(Table4[[#This Row],[INSTALLMENT]]=2,Table4[[#This Row],[INSTALLMENT]]=3),2,0)</f>
        <v>0</v>
      </c>
      <c r="G2229" s="1">
        <f>IF(OR(Table4[[#This Row],[INSTALLMENT]]=3),3,0)</f>
        <v>0</v>
      </c>
    </row>
    <row r="2230" spans="1:7">
      <c r="A2230" s="1">
        <v>2588</v>
      </c>
      <c r="B2230" s="1" t="s">
        <v>3592</v>
      </c>
      <c r="C2230" s="1" t="s">
        <v>581</v>
      </c>
      <c r="D2230" s="1">
        <f>COUNTIFS('Raw Entries'!B:B,Table4[[#This Row],[Name]],'Raw Entries'!I:I,Table4[[#This Row],[BOOK No.]])</f>
        <v>0</v>
      </c>
      <c r="E2230" s="1">
        <f t="array" ref="E2230">IF(OR(Table4[[#This Row],[INSTALLMENT]]=1,Table4[[#This Row],[INSTALLMENT]]=2,Table4[[#This Row],[INSTALLMENT]]=3),1,0)</f>
        <v>0</v>
      </c>
      <c r="F2230" s="1">
        <f>IF(OR(Table4[[#This Row],[INSTALLMENT]]=2,Table4[[#This Row],[INSTALLMENT]]=3),2,0)</f>
        <v>0</v>
      </c>
      <c r="G2230" s="1">
        <f>IF(OR(Table4[[#This Row],[INSTALLMENT]]=3),3,0)</f>
        <v>0</v>
      </c>
    </row>
    <row r="2231" spans="1:7">
      <c r="A2231" s="1">
        <v>2589</v>
      </c>
      <c r="B2231" s="1" t="s">
        <v>311</v>
      </c>
      <c r="C2231" s="1" t="s">
        <v>581</v>
      </c>
      <c r="D2231" s="1">
        <f>COUNTIFS('Raw Entries'!B:B,Table4[[#This Row],[Name]],'Raw Entries'!I:I,Table4[[#This Row],[BOOK No.]])</f>
        <v>0</v>
      </c>
      <c r="E2231" s="1">
        <f t="array" ref="E2231">IF(OR(Table4[[#This Row],[INSTALLMENT]]=1,Table4[[#This Row],[INSTALLMENT]]=2,Table4[[#This Row],[INSTALLMENT]]=3),1,0)</f>
        <v>0</v>
      </c>
      <c r="F2231" s="1">
        <f>IF(OR(Table4[[#This Row],[INSTALLMENT]]=2,Table4[[#This Row],[INSTALLMENT]]=3),2,0)</f>
        <v>0</v>
      </c>
      <c r="G2231" s="1">
        <f>IF(OR(Table4[[#This Row],[INSTALLMENT]]=3),3,0)</f>
        <v>0</v>
      </c>
    </row>
    <row r="2232" spans="1:7">
      <c r="A2232" s="1">
        <v>2590</v>
      </c>
      <c r="B2232" s="1" t="s">
        <v>314</v>
      </c>
      <c r="C2232" s="1" t="s">
        <v>581</v>
      </c>
      <c r="D2232" s="1">
        <f>COUNTIFS('Raw Entries'!B:B,Table4[[#This Row],[Name]],'Raw Entries'!I:I,Table4[[#This Row],[BOOK No.]])</f>
        <v>0</v>
      </c>
      <c r="E2232" s="1">
        <f t="array" ref="E2232">IF(OR(Table4[[#This Row],[INSTALLMENT]]=1,Table4[[#This Row],[INSTALLMENT]]=2,Table4[[#This Row],[INSTALLMENT]]=3),1,0)</f>
        <v>0</v>
      </c>
      <c r="F2232" s="1">
        <f>IF(OR(Table4[[#This Row],[INSTALLMENT]]=2,Table4[[#This Row],[INSTALLMENT]]=3),2,0)</f>
        <v>0</v>
      </c>
      <c r="G2232" s="1">
        <f>IF(OR(Table4[[#This Row],[INSTALLMENT]]=3),3,0)</f>
        <v>0</v>
      </c>
    </row>
    <row r="2233" spans="1:7">
      <c r="A2233" s="1">
        <v>2591</v>
      </c>
      <c r="B2233" s="1" t="s">
        <v>3593</v>
      </c>
      <c r="C2233" s="1" t="s">
        <v>581</v>
      </c>
      <c r="D2233" s="1">
        <f>COUNTIFS('Raw Entries'!B:B,Table4[[#This Row],[Name]],'Raw Entries'!I:I,Table4[[#This Row],[BOOK No.]])</f>
        <v>0</v>
      </c>
      <c r="E2233" s="1">
        <f t="array" ref="E2233">IF(OR(Table4[[#This Row],[INSTALLMENT]]=1,Table4[[#This Row],[INSTALLMENT]]=2,Table4[[#This Row],[INSTALLMENT]]=3),1,0)</f>
        <v>0</v>
      </c>
      <c r="F2233" s="1">
        <f>IF(OR(Table4[[#This Row],[INSTALLMENT]]=2,Table4[[#This Row],[INSTALLMENT]]=3),2,0)</f>
        <v>0</v>
      </c>
      <c r="G2233" s="1">
        <f>IF(OR(Table4[[#This Row],[INSTALLMENT]]=3),3,0)</f>
        <v>0</v>
      </c>
    </row>
    <row r="2234" spans="1:7">
      <c r="A2234" s="1">
        <v>2592</v>
      </c>
      <c r="B2234" s="1" t="s">
        <v>305</v>
      </c>
      <c r="C2234" s="1" t="s">
        <v>581</v>
      </c>
      <c r="D2234" s="1">
        <f>COUNTIFS('Raw Entries'!B:B,Table4[[#This Row],[Name]],'Raw Entries'!I:I,Table4[[#This Row],[BOOK No.]])</f>
        <v>0</v>
      </c>
      <c r="E2234" s="1">
        <f t="array" ref="E2234">IF(OR(Table4[[#This Row],[INSTALLMENT]]=1,Table4[[#This Row],[INSTALLMENT]]=2,Table4[[#This Row],[INSTALLMENT]]=3),1,0)</f>
        <v>0</v>
      </c>
      <c r="F2234" s="1">
        <f>IF(OR(Table4[[#This Row],[INSTALLMENT]]=2,Table4[[#This Row],[INSTALLMENT]]=3),2,0)</f>
        <v>0</v>
      </c>
      <c r="G2234" s="1">
        <f>IF(OR(Table4[[#This Row],[INSTALLMENT]]=3),3,0)</f>
        <v>0</v>
      </c>
    </row>
    <row r="2235" spans="1:7">
      <c r="A2235" s="1">
        <v>2593</v>
      </c>
      <c r="B2235" s="1" t="s">
        <v>3594</v>
      </c>
      <c r="C2235" s="1" t="s">
        <v>581</v>
      </c>
      <c r="D2235" s="1">
        <f>COUNTIFS('Raw Entries'!B:B,Table4[[#This Row],[Name]],'Raw Entries'!I:I,Table4[[#This Row],[BOOK No.]])</f>
        <v>0</v>
      </c>
      <c r="E2235" s="1">
        <f t="array" ref="E2235">IF(OR(Table4[[#This Row],[INSTALLMENT]]=1,Table4[[#This Row],[INSTALLMENT]]=2,Table4[[#This Row],[INSTALLMENT]]=3),1,0)</f>
        <v>0</v>
      </c>
      <c r="F2235" s="1">
        <f>IF(OR(Table4[[#This Row],[INSTALLMENT]]=2,Table4[[#This Row],[INSTALLMENT]]=3),2,0)</f>
        <v>0</v>
      </c>
      <c r="G2235" s="1">
        <f>IF(OR(Table4[[#This Row],[INSTALLMENT]]=3),3,0)</f>
        <v>0</v>
      </c>
    </row>
    <row r="2236" spans="1:7">
      <c r="A2236" s="1">
        <v>2594</v>
      </c>
      <c r="B2236" s="1" t="s">
        <v>3595</v>
      </c>
      <c r="C2236" s="1" t="s">
        <v>581</v>
      </c>
      <c r="D2236" s="1">
        <f>COUNTIFS('Raw Entries'!B:B,Table4[[#This Row],[Name]],'Raw Entries'!I:I,Table4[[#This Row],[BOOK No.]])</f>
        <v>0</v>
      </c>
      <c r="E2236" s="1">
        <f t="array" ref="E2236">IF(OR(Table4[[#This Row],[INSTALLMENT]]=1,Table4[[#This Row],[INSTALLMENT]]=2,Table4[[#This Row],[INSTALLMENT]]=3),1,0)</f>
        <v>0</v>
      </c>
      <c r="F2236" s="1">
        <f>IF(OR(Table4[[#This Row],[INSTALLMENT]]=2,Table4[[#This Row],[INSTALLMENT]]=3),2,0)</f>
        <v>0</v>
      </c>
      <c r="G2236" s="1">
        <f>IF(OR(Table4[[#This Row],[INSTALLMENT]]=3),3,0)</f>
        <v>0</v>
      </c>
    </row>
    <row r="2237" spans="1:7">
      <c r="A2237" s="1">
        <v>2595</v>
      </c>
      <c r="B2237" s="1" t="s">
        <v>3596</v>
      </c>
      <c r="C2237" s="1" t="s">
        <v>581</v>
      </c>
      <c r="D2237" s="1">
        <f>COUNTIFS('Raw Entries'!B:B,Table4[[#This Row],[Name]],'Raw Entries'!I:I,Table4[[#This Row],[BOOK No.]])</f>
        <v>0</v>
      </c>
      <c r="E2237" s="1">
        <f t="array" ref="E2237">IF(OR(Table4[[#This Row],[INSTALLMENT]]=1,Table4[[#This Row],[INSTALLMENT]]=2,Table4[[#This Row],[INSTALLMENT]]=3),1,0)</f>
        <v>0</v>
      </c>
      <c r="F2237" s="1">
        <f>IF(OR(Table4[[#This Row],[INSTALLMENT]]=2,Table4[[#This Row],[INSTALLMENT]]=3),2,0)</f>
        <v>0</v>
      </c>
      <c r="G2237" s="1">
        <f>IF(OR(Table4[[#This Row],[INSTALLMENT]]=3),3,0)</f>
        <v>0</v>
      </c>
    </row>
    <row r="2238" spans="1:7">
      <c r="A2238" s="1">
        <v>2596</v>
      </c>
      <c r="B2238" s="1" t="s">
        <v>647</v>
      </c>
      <c r="C2238" s="1" t="s">
        <v>581</v>
      </c>
      <c r="D2238" s="1">
        <f>COUNTIFS('Raw Entries'!B:B,Table4[[#This Row],[Name]],'Raw Entries'!I:I,Table4[[#This Row],[BOOK No.]])</f>
        <v>1</v>
      </c>
      <c r="E2238" s="1">
        <f t="array" ref="E2238">IF(OR(Table4[[#This Row],[INSTALLMENT]]=1,Table4[[#This Row],[INSTALLMENT]]=2,Table4[[#This Row],[INSTALLMENT]]=3),1,0)</f>
        <v>1</v>
      </c>
      <c r="F2238" s="1">
        <f>IF(OR(Table4[[#This Row],[INSTALLMENT]]=2,Table4[[#This Row],[INSTALLMENT]]=3),2,0)</f>
        <v>0</v>
      </c>
      <c r="G2238" s="1">
        <f>IF(OR(Table4[[#This Row],[INSTALLMENT]]=3),3,0)</f>
        <v>0</v>
      </c>
    </row>
    <row r="2239" spans="1:7">
      <c r="A2239" s="1">
        <v>2597</v>
      </c>
      <c r="B2239" s="1" t="s">
        <v>3597</v>
      </c>
      <c r="C2239" s="1" t="s">
        <v>581</v>
      </c>
      <c r="D2239" s="1">
        <f>COUNTIFS('Raw Entries'!B:B,Table4[[#This Row],[Name]],'Raw Entries'!I:I,Table4[[#This Row],[BOOK No.]])</f>
        <v>0</v>
      </c>
      <c r="E2239" s="1">
        <f t="array" ref="E2239">IF(OR(Table4[[#This Row],[INSTALLMENT]]=1,Table4[[#This Row],[INSTALLMENT]]=2,Table4[[#This Row],[INSTALLMENT]]=3),1,0)</f>
        <v>0</v>
      </c>
      <c r="F2239" s="1">
        <f>IF(OR(Table4[[#This Row],[INSTALLMENT]]=2,Table4[[#This Row],[INSTALLMENT]]=3),2,0)</f>
        <v>0</v>
      </c>
      <c r="G2239" s="1">
        <f>IF(OR(Table4[[#This Row],[INSTALLMENT]]=3),3,0)</f>
        <v>0</v>
      </c>
    </row>
    <row r="2240" spans="1:7">
      <c r="A2240" s="1">
        <v>2598</v>
      </c>
      <c r="B2240" s="1" t="s">
        <v>3598</v>
      </c>
      <c r="C2240" s="1" t="s">
        <v>581</v>
      </c>
      <c r="D2240" s="1">
        <f>COUNTIFS('Raw Entries'!B:B,Table4[[#This Row],[Name]],'Raw Entries'!I:I,Table4[[#This Row],[BOOK No.]])</f>
        <v>0</v>
      </c>
      <c r="E2240" s="1">
        <f t="array" ref="E2240">IF(OR(Table4[[#This Row],[INSTALLMENT]]=1,Table4[[#This Row],[INSTALLMENT]]=2,Table4[[#This Row],[INSTALLMENT]]=3),1,0)</f>
        <v>0</v>
      </c>
      <c r="F2240" s="1">
        <f>IF(OR(Table4[[#This Row],[INSTALLMENT]]=2,Table4[[#This Row],[INSTALLMENT]]=3),2,0)</f>
        <v>0</v>
      </c>
      <c r="G2240" s="1">
        <f>IF(OR(Table4[[#This Row],[INSTALLMENT]]=3),3,0)</f>
        <v>0</v>
      </c>
    </row>
    <row r="2241" spans="1:7">
      <c r="A2241" s="1">
        <v>2599</v>
      </c>
      <c r="B2241" s="1" t="s">
        <v>3599</v>
      </c>
      <c r="C2241" s="1" t="s">
        <v>581</v>
      </c>
      <c r="D2241" s="1">
        <f>COUNTIFS('Raw Entries'!B:B,Table4[[#This Row],[Name]],'Raw Entries'!I:I,Table4[[#This Row],[BOOK No.]])</f>
        <v>0</v>
      </c>
      <c r="E2241" s="1">
        <f t="array" ref="E2241">IF(OR(Table4[[#This Row],[INSTALLMENT]]=1,Table4[[#This Row],[INSTALLMENT]]=2,Table4[[#This Row],[INSTALLMENT]]=3),1,0)</f>
        <v>0</v>
      </c>
      <c r="F2241" s="1">
        <f>IF(OR(Table4[[#This Row],[INSTALLMENT]]=2,Table4[[#This Row],[INSTALLMENT]]=3),2,0)</f>
        <v>0</v>
      </c>
      <c r="G2241" s="1">
        <f>IF(OR(Table4[[#This Row],[INSTALLMENT]]=3),3,0)</f>
        <v>0</v>
      </c>
    </row>
    <row r="2242" spans="1:7">
      <c r="A2242" s="1">
        <v>2600</v>
      </c>
      <c r="B2242" s="1" t="s">
        <v>306</v>
      </c>
      <c r="C2242" s="1" t="s">
        <v>581</v>
      </c>
      <c r="D2242" s="1">
        <f>COUNTIFS('Raw Entries'!B:B,Table4[[#This Row],[Name]],'Raw Entries'!I:I,Table4[[#This Row],[BOOK No.]])</f>
        <v>0</v>
      </c>
      <c r="E2242" s="1">
        <f t="array" ref="E2242">IF(OR(Table4[[#This Row],[INSTALLMENT]]=1,Table4[[#This Row],[INSTALLMENT]]=2,Table4[[#This Row],[INSTALLMENT]]=3),1,0)</f>
        <v>0</v>
      </c>
      <c r="F2242" s="1">
        <f>IF(OR(Table4[[#This Row],[INSTALLMENT]]=2,Table4[[#This Row],[INSTALLMENT]]=3),2,0)</f>
        <v>0</v>
      </c>
      <c r="G2242" s="1">
        <f>IF(OR(Table4[[#This Row],[INSTALLMENT]]=3),3,0)</f>
        <v>0</v>
      </c>
    </row>
    <row r="2243" spans="1:7">
      <c r="A2243" s="1">
        <v>2601</v>
      </c>
      <c r="B2243" s="1" t="s">
        <v>3600</v>
      </c>
      <c r="C2243" s="1" t="s">
        <v>581</v>
      </c>
      <c r="D2243" s="1">
        <f>COUNTIFS('Raw Entries'!B:B,Table4[[#This Row],[Name]],'Raw Entries'!I:I,Table4[[#This Row],[BOOK No.]])</f>
        <v>0</v>
      </c>
      <c r="E2243" s="1">
        <f t="array" ref="E2243">IF(OR(Table4[[#This Row],[INSTALLMENT]]=1,Table4[[#This Row],[INSTALLMENT]]=2,Table4[[#This Row],[INSTALLMENT]]=3),1,0)</f>
        <v>0</v>
      </c>
      <c r="F2243" s="1">
        <f>IF(OR(Table4[[#This Row],[INSTALLMENT]]=2,Table4[[#This Row],[INSTALLMENT]]=3),2,0)</f>
        <v>0</v>
      </c>
      <c r="G2243" s="1">
        <f>IF(OR(Table4[[#This Row],[INSTALLMENT]]=3),3,0)</f>
        <v>0</v>
      </c>
    </row>
    <row r="2244" spans="1:7">
      <c r="A2244" s="1">
        <v>2602</v>
      </c>
      <c r="B2244" s="1" t="s">
        <v>3601</v>
      </c>
      <c r="C2244" s="1" t="s">
        <v>581</v>
      </c>
      <c r="D2244" s="1">
        <f>COUNTIFS('Raw Entries'!B:B,Table4[[#This Row],[Name]],'Raw Entries'!I:I,Table4[[#This Row],[BOOK No.]])</f>
        <v>0</v>
      </c>
      <c r="E2244" s="1">
        <f t="array" ref="E2244">IF(OR(Table4[[#This Row],[INSTALLMENT]]=1,Table4[[#This Row],[INSTALLMENT]]=2,Table4[[#This Row],[INSTALLMENT]]=3),1,0)</f>
        <v>0</v>
      </c>
      <c r="F2244" s="1">
        <f>IF(OR(Table4[[#This Row],[INSTALLMENT]]=2,Table4[[#This Row],[INSTALLMENT]]=3),2,0)</f>
        <v>0</v>
      </c>
      <c r="G2244" s="1">
        <f>IF(OR(Table4[[#This Row],[INSTALLMENT]]=3),3,0)</f>
        <v>0</v>
      </c>
    </row>
    <row r="2245" spans="1:7">
      <c r="A2245" s="1">
        <v>2603</v>
      </c>
      <c r="B2245" s="1" t="s">
        <v>598</v>
      </c>
      <c r="C2245" s="1" t="s">
        <v>581</v>
      </c>
      <c r="D2245" s="1">
        <f>COUNTIFS('Raw Entries'!B:B,Table4[[#This Row],[Name]],'Raw Entries'!I:I,Table4[[#This Row],[BOOK No.]])</f>
        <v>0</v>
      </c>
      <c r="E2245" s="1">
        <f t="array" ref="E2245">IF(OR(Table4[[#This Row],[INSTALLMENT]]=1,Table4[[#This Row],[INSTALLMENT]]=2,Table4[[#This Row],[INSTALLMENT]]=3),1,0)</f>
        <v>0</v>
      </c>
      <c r="F2245" s="1">
        <f>IF(OR(Table4[[#This Row],[INSTALLMENT]]=2,Table4[[#This Row],[INSTALLMENT]]=3),2,0)</f>
        <v>0</v>
      </c>
      <c r="G2245" s="1">
        <f>IF(OR(Table4[[#This Row],[INSTALLMENT]]=3),3,0)</f>
        <v>0</v>
      </c>
    </row>
    <row r="2246" spans="1:7">
      <c r="A2246" s="1">
        <v>2604</v>
      </c>
      <c r="B2246" s="1" t="s">
        <v>3602</v>
      </c>
      <c r="C2246" s="1" t="s">
        <v>581</v>
      </c>
      <c r="D2246" s="1">
        <f>COUNTIFS('Raw Entries'!B:B,Table4[[#This Row],[Name]],'Raw Entries'!I:I,Table4[[#This Row],[BOOK No.]])</f>
        <v>0</v>
      </c>
      <c r="E2246" s="1">
        <f t="array" ref="E2246">IF(OR(Table4[[#This Row],[INSTALLMENT]]=1,Table4[[#This Row],[INSTALLMENT]]=2,Table4[[#This Row],[INSTALLMENT]]=3),1,0)</f>
        <v>0</v>
      </c>
      <c r="F2246" s="1">
        <f>IF(OR(Table4[[#This Row],[INSTALLMENT]]=2,Table4[[#This Row],[INSTALLMENT]]=3),2,0)</f>
        <v>0</v>
      </c>
      <c r="G2246" s="1">
        <f>IF(OR(Table4[[#This Row],[INSTALLMENT]]=3),3,0)</f>
        <v>0</v>
      </c>
    </row>
    <row r="2247" spans="1:7">
      <c r="A2247" s="1">
        <v>2605</v>
      </c>
      <c r="B2247" s="1" t="s">
        <v>3603</v>
      </c>
      <c r="C2247" s="1" t="s">
        <v>581</v>
      </c>
      <c r="D2247" s="1">
        <f>COUNTIFS('Raw Entries'!B:B,Table4[[#This Row],[Name]],'Raw Entries'!I:I,Table4[[#This Row],[BOOK No.]])</f>
        <v>0</v>
      </c>
      <c r="E2247" s="1">
        <f t="array" ref="E2247">IF(OR(Table4[[#This Row],[INSTALLMENT]]=1,Table4[[#This Row],[INSTALLMENT]]=2,Table4[[#This Row],[INSTALLMENT]]=3),1,0)</f>
        <v>0</v>
      </c>
      <c r="F2247" s="1">
        <f>IF(OR(Table4[[#This Row],[INSTALLMENT]]=2,Table4[[#This Row],[INSTALLMENT]]=3),2,0)</f>
        <v>0</v>
      </c>
      <c r="G2247" s="1">
        <f>IF(OR(Table4[[#This Row],[INSTALLMENT]]=3),3,0)</f>
        <v>0</v>
      </c>
    </row>
    <row r="2248" spans="1:7">
      <c r="A2248" s="1">
        <v>2606</v>
      </c>
      <c r="B2248" s="1" t="s">
        <v>3604</v>
      </c>
      <c r="C2248" s="1" t="s">
        <v>3846</v>
      </c>
      <c r="D2248" s="1">
        <f>COUNTIFS('Raw Entries'!B:B,Table4[[#This Row],[Name]],'Raw Entries'!I:I,Table4[[#This Row],[BOOK No.]])</f>
        <v>0</v>
      </c>
      <c r="E2248" s="1">
        <f t="array" ref="E2248">IF(OR(Table4[[#This Row],[INSTALLMENT]]=1,Table4[[#This Row],[INSTALLMENT]]=2,Table4[[#This Row],[INSTALLMENT]]=3),1,0)</f>
        <v>0</v>
      </c>
      <c r="F2248" s="1">
        <f>IF(OR(Table4[[#This Row],[INSTALLMENT]]=2,Table4[[#This Row],[INSTALLMENT]]=3),2,0)</f>
        <v>0</v>
      </c>
      <c r="G2248" s="1">
        <f>IF(OR(Table4[[#This Row],[INSTALLMENT]]=3),3,0)</f>
        <v>0</v>
      </c>
    </row>
    <row r="2249" spans="1:7">
      <c r="A2249" s="1">
        <v>2607</v>
      </c>
      <c r="B2249" s="1" t="s">
        <v>3605</v>
      </c>
      <c r="C2249" s="1" t="s">
        <v>3846</v>
      </c>
      <c r="D2249" s="1">
        <f>COUNTIFS('Raw Entries'!B:B,Table4[[#This Row],[Name]],'Raw Entries'!I:I,Table4[[#This Row],[BOOK No.]])</f>
        <v>0</v>
      </c>
      <c r="E2249" s="1">
        <f t="array" ref="E2249">IF(OR(Table4[[#This Row],[INSTALLMENT]]=1,Table4[[#This Row],[INSTALLMENT]]=2,Table4[[#This Row],[INSTALLMENT]]=3),1,0)</f>
        <v>0</v>
      </c>
      <c r="F2249" s="1">
        <f>IF(OR(Table4[[#This Row],[INSTALLMENT]]=2,Table4[[#This Row],[INSTALLMENT]]=3),2,0)</f>
        <v>0</v>
      </c>
      <c r="G2249" s="1">
        <f>IF(OR(Table4[[#This Row],[INSTALLMENT]]=3),3,0)</f>
        <v>0</v>
      </c>
    </row>
    <row r="2250" spans="1:7">
      <c r="A2250" s="1">
        <v>2608</v>
      </c>
      <c r="B2250" s="1" t="s">
        <v>3606</v>
      </c>
      <c r="C2250" s="1" t="s">
        <v>3846</v>
      </c>
      <c r="D2250" s="1">
        <f>COUNTIFS('Raw Entries'!B:B,Table4[[#This Row],[Name]],'Raw Entries'!I:I,Table4[[#This Row],[BOOK No.]])</f>
        <v>0</v>
      </c>
      <c r="E2250" s="1">
        <f t="array" ref="E2250">IF(OR(Table4[[#This Row],[INSTALLMENT]]=1,Table4[[#This Row],[INSTALLMENT]]=2,Table4[[#This Row],[INSTALLMENT]]=3),1,0)</f>
        <v>0</v>
      </c>
      <c r="F2250" s="1">
        <f>IF(OR(Table4[[#This Row],[INSTALLMENT]]=2,Table4[[#This Row],[INSTALLMENT]]=3),2,0)</f>
        <v>0</v>
      </c>
      <c r="G2250" s="1">
        <f>IF(OR(Table4[[#This Row],[INSTALLMENT]]=3),3,0)</f>
        <v>0</v>
      </c>
    </row>
    <row r="2251" spans="1:7">
      <c r="A2251" s="1">
        <v>2609</v>
      </c>
      <c r="B2251" s="1" t="s">
        <v>3607</v>
      </c>
      <c r="C2251" s="1" t="s">
        <v>3846</v>
      </c>
      <c r="D2251" s="1">
        <f>COUNTIFS('Raw Entries'!B:B,Table4[[#This Row],[Name]],'Raw Entries'!I:I,Table4[[#This Row],[BOOK No.]])</f>
        <v>0</v>
      </c>
      <c r="E2251" s="1">
        <f t="array" ref="E2251">IF(OR(Table4[[#This Row],[INSTALLMENT]]=1,Table4[[#This Row],[INSTALLMENT]]=2,Table4[[#This Row],[INSTALLMENT]]=3),1,0)</f>
        <v>0</v>
      </c>
      <c r="F2251" s="1">
        <f>IF(OR(Table4[[#This Row],[INSTALLMENT]]=2,Table4[[#This Row],[INSTALLMENT]]=3),2,0)</f>
        <v>0</v>
      </c>
      <c r="G2251" s="1">
        <f>IF(OR(Table4[[#This Row],[INSTALLMENT]]=3),3,0)</f>
        <v>0</v>
      </c>
    </row>
    <row r="2252" spans="1:7">
      <c r="A2252" s="1">
        <v>2610</v>
      </c>
      <c r="B2252" s="1" t="s">
        <v>3608</v>
      </c>
      <c r="C2252" s="1" t="s">
        <v>3846</v>
      </c>
      <c r="D2252" s="1">
        <f>COUNTIFS('Raw Entries'!B:B,Table4[[#This Row],[Name]],'Raw Entries'!I:I,Table4[[#This Row],[BOOK No.]])</f>
        <v>0</v>
      </c>
      <c r="E2252" s="1">
        <f t="array" ref="E2252">IF(OR(Table4[[#This Row],[INSTALLMENT]]=1,Table4[[#This Row],[INSTALLMENT]]=2,Table4[[#This Row],[INSTALLMENT]]=3),1,0)</f>
        <v>0</v>
      </c>
      <c r="F2252" s="1">
        <f>IF(OR(Table4[[#This Row],[INSTALLMENT]]=2,Table4[[#This Row],[INSTALLMENT]]=3),2,0)</f>
        <v>0</v>
      </c>
      <c r="G2252" s="1">
        <f>IF(OR(Table4[[#This Row],[INSTALLMENT]]=3),3,0)</f>
        <v>0</v>
      </c>
    </row>
    <row r="2253" spans="1:7">
      <c r="A2253" s="1">
        <v>2611</v>
      </c>
      <c r="B2253" s="1" t="s">
        <v>3609</v>
      </c>
      <c r="C2253" s="1" t="s">
        <v>3846</v>
      </c>
      <c r="D2253" s="1">
        <f>COUNTIFS('Raw Entries'!B:B,Table4[[#This Row],[Name]],'Raw Entries'!I:I,Table4[[#This Row],[BOOK No.]])</f>
        <v>0</v>
      </c>
      <c r="E2253" s="1">
        <f t="array" ref="E2253">IF(OR(Table4[[#This Row],[INSTALLMENT]]=1,Table4[[#This Row],[INSTALLMENT]]=2,Table4[[#This Row],[INSTALLMENT]]=3),1,0)</f>
        <v>0</v>
      </c>
      <c r="F2253" s="1">
        <f>IF(OR(Table4[[#This Row],[INSTALLMENT]]=2,Table4[[#This Row],[INSTALLMENT]]=3),2,0)</f>
        <v>0</v>
      </c>
      <c r="G2253" s="1">
        <f>IF(OR(Table4[[#This Row],[INSTALLMENT]]=3),3,0)</f>
        <v>0</v>
      </c>
    </row>
    <row r="2254" spans="1:7">
      <c r="A2254" s="1">
        <v>2612</v>
      </c>
      <c r="B2254" s="1" t="s">
        <v>3610</v>
      </c>
      <c r="C2254" s="1" t="s">
        <v>3846</v>
      </c>
      <c r="D2254" s="1">
        <f>COUNTIFS('Raw Entries'!B:B,Table4[[#This Row],[Name]],'Raw Entries'!I:I,Table4[[#This Row],[BOOK No.]])</f>
        <v>0</v>
      </c>
      <c r="E2254" s="1">
        <f t="array" ref="E2254">IF(OR(Table4[[#This Row],[INSTALLMENT]]=1,Table4[[#This Row],[INSTALLMENT]]=2,Table4[[#This Row],[INSTALLMENT]]=3),1,0)</f>
        <v>0</v>
      </c>
      <c r="F2254" s="1">
        <f>IF(OR(Table4[[#This Row],[INSTALLMENT]]=2,Table4[[#This Row],[INSTALLMENT]]=3),2,0)</f>
        <v>0</v>
      </c>
      <c r="G2254" s="1">
        <f>IF(OR(Table4[[#This Row],[INSTALLMENT]]=3),3,0)</f>
        <v>0</v>
      </c>
    </row>
    <row r="2255" spans="1:7">
      <c r="A2255" s="1">
        <v>2613</v>
      </c>
      <c r="B2255" s="1" t="s">
        <v>3611</v>
      </c>
      <c r="C2255" s="1" t="s">
        <v>3846</v>
      </c>
      <c r="D2255" s="1">
        <f>COUNTIFS('Raw Entries'!B:B,Table4[[#This Row],[Name]],'Raw Entries'!I:I,Table4[[#This Row],[BOOK No.]])</f>
        <v>0</v>
      </c>
      <c r="E2255" s="1">
        <f t="array" ref="E2255">IF(OR(Table4[[#This Row],[INSTALLMENT]]=1,Table4[[#This Row],[INSTALLMENT]]=2,Table4[[#This Row],[INSTALLMENT]]=3),1,0)</f>
        <v>0</v>
      </c>
      <c r="F2255" s="1">
        <f>IF(OR(Table4[[#This Row],[INSTALLMENT]]=2,Table4[[#This Row],[INSTALLMENT]]=3),2,0)</f>
        <v>0</v>
      </c>
      <c r="G2255" s="1">
        <f>IF(OR(Table4[[#This Row],[INSTALLMENT]]=3),3,0)</f>
        <v>0</v>
      </c>
    </row>
    <row r="2256" spans="1:7">
      <c r="A2256" s="1">
        <v>2614</v>
      </c>
      <c r="B2256" s="1" t="s">
        <v>3612</v>
      </c>
      <c r="C2256" s="1" t="s">
        <v>3846</v>
      </c>
      <c r="D2256" s="1">
        <f>COUNTIFS('Raw Entries'!B:B,Table4[[#This Row],[Name]],'Raw Entries'!I:I,Table4[[#This Row],[BOOK No.]])</f>
        <v>0</v>
      </c>
      <c r="E2256" s="1">
        <f t="array" ref="E2256">IF(OR(Table4[[#This Row],[INSTALLMENT]]=1,Table4[[#This Row],[INSTALLMENT]]=2,Table4[[#This Row],[INSTALLMENT]]=3),1,0)</f>
        <v>0</v>
      </c>
      <c r="F2256" s="1">
        <f>IF(OR(Table4[[#This Row],[INSTALLMENT]]=2,Table4[[#This Row],[INSTALLMENT]]=3),2,0)</f>
        <v>0</v>
      </c>
      <c r="G2256" s="1">
        <f>IF(OR(Table4[[#This Row],[INSTALLMENT]]=3),3,0)</f>
        <v>0</v>
      </c>
    </row>
    <row r="2257" spans="1:7">
      <c r="A2257" s="1">
        <v>2615</v>
      </c>
      <c r="B2257" s="1" t="s">
        <v>3613</v>
      </c>
      <c r="C2257" s="1" t="s">
        <v>3846</v>
      </c>
      <c r="D2257" s="1">
        <f>COUNTIFS('Raw Entries'!B:B,Table4[[#This Row],[Name]],'Raw Entries'!I:I,Table4[[#This Row],[BOOK No.]])</f>
        <v>0</v>
      </c>
      <c r="E2257" s="1">
        <f t="array" ref="E2257">IF(OR(Table4[[#This Row],[INSTALLMENT]]=1,Table4[[#This Row],[INSTALLMENT]]=2,Table4[[#This Row],[INSTALLMENT]]=3),1,0)</f>
        <v>0</v>
      </c>
      <c r="F2257" s="1">
        <f>IF(OR(Table4[[#This Row],[INSTALLMENT]]=2,Table4[[#This Row],[INSTALLMENT]]=3),2,0)</f>
        <v>0</v>
      </c>
      <c r="G2257" s="1">
        <f>IF(OR(Table4[[#This Row],[INSTALLMENT]]=3),3,0)</f>
        <v>0</v>
      </c>
    </row>
    <row r="2258" spans="1:7">
      <c r="A2258" s="1">
        <v>2616</v>
      </c>
      <c r="B2258" s="1" t="s">
        <v>307</v>
      </c>
      <c r="C2258" s="1" t="s">
        <v>3846</v>
      </c>
      <c r="D2258" s="1">
        <f>COUNTIFS('Raw Entries'!B:B,Table4[[#This Row],[Name]],'Raw Entries'!I:I,Table4[[#This Row],[BOOK No.]])</f>
        <v>0</v>
      </c>
      <c r="E2258" s="1">
        <f t="array" ref="E2258">IF(OR(Table4[[#This Row],[INSTALLMENT]]=1,Table4[[#This Row],[INSTALLMENT]]=2,Table4[[#This Row],[INSTALLMENT]]=3),1,0)</f>
        <v>0</v>
      </c>
      <c r="F2258" s="1">
        <f>IF(OR(Table4[[#This Row],[INSTALLMENT]]=2,Table4[[#This Row],[INSTALLMENT]]=3),2,0)</f>
        <v>0</v>
      </c>
      <c r="G2258" s="1">
        <f>IF(OR(Table4[[#This Row],[INSTALLMENT]]=3),3,0)</f>
        <v>0</v>
      </c>
    </row>
    <row r="2259" spans="1:7">
      <c r="A2259" s="1">
        <v>2617</v>
      </c>
      <c r="B2259" s="1" t="s">
        <v>3614</v>
      </c>
      <c r="C2259" s="1" t="s">
        <v>3846</v>
      </c>
      <c r="D2259" s="1">
        <f>COUNTIFS('Raw Entries'!B:B,Table4[[#This Row],[Name]],'Raw Entries'!I:I,Table4[[#This Row],[BOOK No.]])</f>
        <v>0</v>
      </c>
      <c r="E2259" s="1">
        <f t="array" ref="E2259">IF(OR(Table4[[#This Row],[INSTALLMENT]]=1,Table4[[#This Row],[INSTALLMENT]]=2,Table4[[#This Row],[INSTALLMENT]]=3),1,0)</f>
        <v>0</v>
      </c>
      <c r="F2259" s="1">
        <f>IF(OR(Table4[[#This Row],[INSTALLMENT]]=2,Table4[[#This Row],[INSTALLMENT]]=3),2,0)</f>
        <v>0</v>
      </c>
      <c r="G2259" s="1">
        <f>IF(OR(Table4[[#This Row],[INSTALLMENT]]=3),3,0)</f>
        <v>0</v>
      </c>
    </row>
    <row r="2260" spans="1:7">
      <c r="A2260" s="1">
        <v>2618</v>
      </c>
      <c r="B2260" s="1" t="s">
        <v>309</v>
      </c>
      <c r="C2260" s="1" t="s">
        <v>3846</v>
      </c>
      <c r="D2260" s="1">
        <f>COUNTIFS('Raw Entries'!B:B,Table4[[#This Row],[Name]],'Raw Entries'!I:I,Table4[[#This Row],[BOOK No.]])</f>
        <v>0</v>
      </c>
      <c r="E2260" s="1">
        <f t="array" ref="E2260">IF(OR(Table4[[#This Row],[INSTALLMENT]]=1,Table4[[#This Row],[INSTALLMENT]]=2,Table4[[#This Row],[INSTALLMENT]]=3),1,0)</f>
        <v>0</v>
      </c>
      <c r="F2260" s="1">
        <f>IF(OR(Table4[[#This Row],[INSTALLMENT]]=2,Table4[[#This Row],[INSTALLMENT]]=3),2,0)</f>
        <v>0</v>
      </c>
      <c r="G2260" s="1">
        <f>IF(OR(Table4[[#This Row],[INSTALLMENT]]=3),3,0)</f>
        <v>0</v>
      </c>
    </row>
    <row r="2261" spans="1:7">
      <c r="A2261" s="1">
        <v>2619</v>
      </c>
      <c r="B2261" s="1" t="s">
        <v>3615</v>
      </c>
      <c r="C2261" s="1" t="s">
        <v>159</v>
      </c>
      <c r="D2261" s="1">
        <f>COUNTIFS('Raw Entries'!B:B,Table4[[#This Row],[Name]],'Raw Entries'!I:I,Table4[[#This Row],[BOOK No.]])</f>
        <v>0</v>
      </c>
      <c r="E2261" s="1">
        <f t="array" ref="E2261">IF(OR(Table4[[#This Row],[INSTALLMENT]]=1,Table4[[#This Row],[INSTALLMENT]]=2,Table4[[#This Row],[INSTALLMENT]]=3),1,0)</f>
        <v>0</v>
      </c>
      <c r="F2261" s="1">
        <f>IF(OR(Table4[[#This Row],[INSTALLMENT]]=2,Table4[[#This Row],[INSTALLMENT]]=3),2,0)</f>
        <v>0</v>
      </c>
      <c r="G2261" s="1">
        <f>IF(OR(Table4[[#This Row],[INSTALLMENT]]=3),3,0)</f>
        <v>0</v>
      </c>
    </row>
    <row r="2262" spans="1:7">
      <c r="A2262" s="1">
        <v>2620</v>
      </c>
      <c r="B2262" s="1" t="s">
        <v>164</v>
      </c>
      <c r="C2262" s="1" t="s">
        <v>159</v>
      </c>
      <c r="D2262" s="1">
        <f>COUNTIFS('Raw Entries'!B:B,Table4[[#This Row],[Name]],'Raw Entries'!I:I,Table4[[#This Row],[BOOK No.]])</f>
        <v>2</v>
      </c>
      <c r="E2262" s="1">
        <f t="array" ref="E2262">IF(OR(Table4[[#This Row],[INSTALLMENT]]=1,Table4[[#This Row],[INSTALLMENT]]=2,Table4[[#This Row],[INSTALLMENT]]=3),1,0)</f>
        <v>1</v>
      </c>
      <c r="F2262" s="1">
        <f>IF(OR(Table4[[#This Row],[INSTALLMENT]]=2,Table4[[#This Row],[INSTALLMENT]]=3),2,0)</f>
        <v>2</v>
      </c>
      <c r="G2262" s="1">
        <f>IF(OR(Table4[[#This Row],[INSTALLMENT]]=3),3,0)</f>
        <v>0</v>
      </c>
    </row>
    <row r="2263" spans="1:7">
      <c r="A2263" s="1">
        <v>2621</v>
      </c>
      <c r="B2263" s="1" t="s">
        <v>3616</v>
      </c>
      <c r="C2263" s="1" t="s">
        <v>159</v>
      </c>
      <c r="D2263" s="1">
        <f>COUNTIFS('Raw Entries'!B:B,Table4[[#This Row],[Name]],'Raw Entries'!I:I,Table4[[#This Row],[BOOK No.]])</f>
        <v>0</v>
      </c>
      <c r="E2263" s="1">
        <f t="array" ref="E2263">IF(OR(Table4[[#This Row],[INSTALLMENT]]=1,Table4[[#This Row],[INSTALLMENT]]=2,Table4[[#This Row],[INSTALLMENT]]=3),1,0)</f>
        <v>0</v>
      </c>
      <c r="F2263" s="1">
        <f>IF(OR(Table4[[#This Row],[INSTALLMENT]]=2,Table4[[#This Row],[INSTALLMENT]]=3),2,0)</f>
        <v>0</v>
      </c>
      <c r="G2263" s="1">
        <f>IF(OR(Table4[[#This Row],[INSTALLMENT]]=3),3,0)</f>
        <v>0</v>
      </c>
    </row>
    <row r="2264" spans="1:7">
      <c r="A2264" s="1">
        <v>2622</v>
      </c>
      <c r="B2264" s="1" t="s">
        <v>161</v>
      </c>
      <c r="C2264" s="1" t="s">
        <v>159</v>
      </c>
      <c r="D2264" s="1">
        <f>COUNTIFS('Raw Entries'!B:B,Table4[[#This Row],[Name]],'Raw Entries'!I:I,Table4[[#This Row],[BOOK No.]])</f>
        <v>1</v>
      </c>
      <c r="E2264" s="1">
        <f t="array" ref="E2264">IF(OR(Table4[[#This Row],[INSTALLMENT]]=1,Table4[[#This Row],[INSTALLMENT]]=2,Table4[[#This Row],[INSTALLMENT]]=3),1,0)</f>
        <v>1</v>
      </c>
      <c r="F2264" s="1">
        <f>IF(OR(Table4[[#This Row],[INSTALLMENT]]=2,Table4[[#This Row],[INSTALLMENT]]=3),2,0)</f>
        <v>0</v>
      </c>
      <c r="G2264" s="1">
        <f>IF(OR(Table4[[#This Row],[INSTALLMENT]]=3),3,0)</f>
        <v>0</v>
      </c>
    </row>
    <row r="2265" spans="1:7">
      <c r="A2265" s="1">
        <v>2623</v>
      </c>
      <c r="B2265" s="1" t="s">
        <v>162</v>
      </c>
      <c r="C2265" s="1" t="s">
        <v>159</v>
      </c>
      <c r="D2265" s="1">
        <f>COUNTIFS('Raw Entries'!B:B,Table4[[#This Row],[Name]],'Raw Entries'!I:I,Table4[[#This Row],[BOOK No.]])</f>
        <v>3</v>
      </c>
      <c r="E2265" s="1">
        <f t="array" ref="E2265">IF(OR(Table4[[#This Row],[INSTALLMENT]]=1,Table4[[#This Row],[INSTALLMENT]]=2,Table4[[#This Row],[INSTALLMENT]]=3),1,0)</f>
        <v>1</v>
      </c>
      <c r="F2265" s="1">
        <f>IF(OR(Table4[[#This Row],[INSTALLMENT]]=2,Table4[[#This Row],[INSTALLMENT]]=3),2,0)</f>
        <v>2</v>
      </c>
      <c r="G2265" s="1">
        <f>IF(OR(Table4[[#This Row],[INSTALLMENT]]=3),3,0)</f>
        <v>3</v>
      </c>
    </row>
    <row r="2266" spans="1:7">
      <c r="A2266" s="1">
        <v>2624</v>
      </c>
      <c r="B2266" s="1" t="s">
        <v>3617</v>
      </c>
      <c r="C2266" s="1" t="s">
        <v>159</v>
      </c>
      <c r="D2266" s="1">
        <f>COUNTIFS('Raw Entries'!B:B,Table4[[#This Row],[Name]],'Raw Entries'!I:I,Table4[[#This Row],[BOOK No.]])</f>
        <v>0</v>
      </c>
      <c r="E2266" s="1">
        <f t="array" ref="E2266">IF(OR(Table4[[#This Row],[INSTALLMENT]]=1,Table4[[#This Row],[INSTALLMENT]]=2,Table4[[#This Row],[INSTALLMENT]]=3),1,0)</f>
        <v>0</v>
      </c>
      <c r="F2266" s="1">
        <f>IF(OR(Table4[[#This Row],[INSTALLMENT]]=2,Table4[[#This Row],[INSTALLMENT]]=3),2,0)</f>
        <v>0</v>
      </c>
      <c r="G2266" s="1">
        <f>IF(OR(Table4[[#This Row],[INSTALLMENT]]=3),3,0)</f>
        <v>0</v>
      </c>
    </row>
    <row r="2267" spans="1:7">
      <c r="A2267" s="1">
        <v>2625</v>
      </c>
      <c r="B2267" s="1" t="s">
        <v>3618</v>
      </c>
      <c r="C2267" s="1" t="s">
        <v>159</v>
      </c>
      <c r="D2267" s="1">
        <f>COUNTIFS('Raw Entries'!B:B,Table4[[#This Row],[Name]],'Raw Entries'!I:I,Table4[[#This Row],[BOOK No.]])</f>
        <v>0</v>
      </c>
      <c r="E2267" s="1">
        <f t="array" ref="E2267">IF(OR(Table4[[#This Row],[INSTALLMENT]]=1,Table4[[#This Row],[INSTALLMENT]]=2,Table4[[#This Row],[INSTALLMENT]]=3),1,0)</f>
        <v>0</v>
      </c>
      <c r="F2267" s="1">
        <f>IF(OR(Table4[[#This Row],[INSTALLMENT]]=2,Table4[[#This Row],[INSTALLMENT]]=3),2,0)</f>
        <v>0</v>
      </c>
      <c r="G2267" s="1">
        <f>IF(OR(Table4[[#This Row],[INSTALLMENT]]=3),3,0)</f>
        <v>0</v>
      </c>
    </row>
    <row r="2268" spans="1:7">
      <c r="A2268" s="1">
        <v>2626</v>
      </c>
      <c r="B2268" s="1" t="s">
        <v>3619</v>
      </c>
      <c r="C2268" s="1" t="s">
        <v>159</v>
      </c>
      <c r="D2268" s="1">
        <f>COUNTIFS('Raw Entries'!B:B,Table4[[#This Row],[Name]],'Raw Entries'!I:I,Table4[[#This Row],[BOOK No.]])</f>
        <v>0</v>
      </c>
      <c r="E2268" s="1">
        <f t="array" ref="E2268">IF(OR(Table4[[#This Row],[INSTALLMENT]]=1,Table4[[#This Row],[INSTALLMENT]]=2,Table4[[#This Row],[INSTALLMENT]]=3),1,0)</f>
        <v>0</v>
      </c>
      <c r="F2268" s="1">
        <f>IF(OR(Table4[[#This Row],[INSTALLMENT]]=2,Table4[[#This Row],[INSTALLMENT]]=3),2,0)</f>
        <v>0</v>
      </c>
      <c r="G2268" s="1">
        <f>IF(OR(Table4[[#This Row],[INSTALLMENT]]=3),3,0)</f>
        <v>0</v>
      </c>
    </row>
    <row r="2269" spans="1:7">
      <c r="A2269" s="1">
        <v>2627</v>
      </c>
      <c r="B2269" s="1" t="s">
        <v>3620</v>
      </c>
      <c r="C2269" s="1" t="s">
        <v>159</v>
      </c>
      <c r="D2269" s="1">
        <f>COUNTIFS('Raw Entries'!B:B,Table4[[#This Row],[Name]],'Raw Entries'!I:I,Table4[[#This Row],[BOOK No.]])</f>
        <v>0</v>
      </c>
      <c r="E2269" s="1">
        <f t="array" ref="E2269">IF(OR(Table4[[#This Row],[INSTALLMENT]]=1,Table4[[#This Row],[INSTALLMENT]]=2,Table4[[#This Row],[INSTALLMENT]]=3),1,0)</f>
        <v>0</v>
      </c>
      <c r="F2269" s="1">
        <f>IF(OR(Table4[[#This Row],[INSTALLMENT]]=2,Table4[[#This Row],[INSTALLMENT]]=3),2,0)</f>
        <v>0</v>
      </c>
      <c r="G2269" s="1">
        <f>IF(OR(Table4[[#This Row],[INSTALLMENT]]=3),3,0)</f>
        <v>0</v>
      </c>
    </row>
    <row r="2270" spans="1:7">
      <c r="A2270" s="1">
        <v>2628</v>
      </c>
      <c r="B2270" s="1" t="s">
        <v>3621</v>
      </c>
      <c r="C2270" s="1" t="s">
        <v>159</v>
      </c>
      <c r="D2270" s="1">
        <f>COUNTIFS('Raw Entries'!B:B,Table4[[#This Row],[Name]],'Raw Entries'!I:I,Table4[[#This Row],[BOOK No.]])</f>
        <v>0</v>
      </c>
      <c r="E2270" s="1">
        <f t="array" ref="E2270">IF(OR(Table4[[#This Row],[INSTALLMENT]]=1,Table4[[#This Row],[INSTALLMENT]]=2,Table4[[#This Row],[INSTALLMENT]]=3),1,0)</f>
        <v>0</v>
      </c>
      <c r="F2270" s="1">
        <f>IF(OR(Table4[[#This Row],[INSTALLMENT]]=2,Table4[[#This Row],[INSTALLMENT]]=3),2,0)</f>
        <v>0</v>
      </c>
      <c r="G2270" s="1">
        <f>IF(OR(Table4[[#This Row],[INSTALLMENT]]=3),3,0)</f>
        <v>0</v>
      </c>
    </row>
    <row r="2271" spans="1:7">
      <c r="A2271" s="1">
        <v>2629</v>
      </c>
      <c r="B2271" s="1" t="s">
        <v>3622</v>
      </c>
      <c r="C2271" s="1" t="s">
        <v>159</v>
      </c>
      <c r="D2271" s="1">
        <f>COUNTIFS('Raw Entries'!B:B,Table4[[#This Row],[Name]],'Raw Entries'!I:I,Table4[[#This Row],[BOOK No.]])</f>
        <v>0</v>
      </c>
      <c r="E2271" s="1">
        <f t="array" ref="E2271">IF(OR(Table4[[#This Row],[INSTALLMENT]]=1,Table4[[#This Row],[INSTALLMENT]]=2,Table4[[#This Row],[INSTALLMENT]]=3),1,0)</f>
        <v>0</v>
      </c>
      <c r="F2271" s="1">
        <f>IF(OR(Table4[[#This Row],[INSTALLMENT]]=2,Table4[[#This Row],[INSTALLMENT]]=3),2,0)</f>
        <v>0</v>
      </c>
      <c r="G2271" s="1">
        <f>IF(OR(Table4[[#This Row],[INSTALLMENT]]=3),3,0)</f>
        <v>0</v>
      </c>
    </row>
    <row r="2272" spans="1:7">
      <c r="A2272" s="1">
        <v>2630</v>
      </c>
      <c r="B2272" s="1" t="s">
        <v>3623</v>
      </c>
      <c r="C2272" s="1" t="s">
        <v>159</v>
      </c>
      <c r="D2272" s="1">
        <f>COUNTIFS('Raw Entries'!B:B,Table4[[#This Row],[Name]],'Raw Entries'!I:I,Table4[[#This Row],[BOOK No.]])</f>
        <v>0</v>
      </c>
      <c r="E2272" s="1">
        <f t="array" ref="E2272">IF(OR(Table4[[#This Row],[INSTALLMENT]]=1,Table4[[#This Row],[INSTALLMENT]]=2,Table4[[#This Row],[INSTALLMENT]]=3),1,0)</f>
        <v>0</v>
      </c>
      <c r="F2272" s="1">
        <f>IF(OR(Table4[[#This Row],[INSTALLMENT]]=2,Table4[[#This Row],[INSTALLMENT]]=3),2,0)</f>
        <v>0</v>
      </c>
      <c r="G2272" s="1">
        <f>IF(OR(Table4[[#This Row],[INSTALLMENT]]=3),3,0)</f>
        <v>0</v>
      </c>
    </row>
    <row r="2273" spans="1:7">
      <c r="A2273" s="1">
        <v>2631</v>
      </c>
      <c r="B2273" s="1" t="s">
        <v>3624</v>
      </c>
      <c r="C2273" s="1" t="s">
        <v>159</v>
      </c>
      <c r="D2273" s="1">
        <f>COUNTIFS('Raw Entries'!B:B,Table4[[#This Row],[Name]],'Raw Entries'!I:I,Table4[[#This Row],[BOOK No.]])</f>
        <v>0</v>
      </c>
      <c r="E2273" s="1">
        <f t="array" ref="E2273">IF(OR(Table4[[#This Row],[INSTALLMENT]]=1,Table4[[#This Row],[INSTALLMENT]]=2,Table4[[#This Row],[INSTALLMENT]]=3),1,0)</f>
        <v>0</v>
      </c>
      <c r="F2273" s="1">
        <f>IF(OR(Table4[[#This Row],[INSTALLMENT]]=2,Table4[[#This Row],[INSTALLMENT]]=3),2,0)</f>
        <v>0</v>
      </c>
      <c r="G2273" s="1">
        <f>IF(OR(Table4[[#This Row],[INSTALLMENT]]=3),3,0)</f>
        <v>0</v>
      </c>
    </row>
    <row r="2274" spans="1:7">
      <c r="A2274" s="1">
        <v>2632</v>
      </c>
      <c r="B2274" s="1" t="s">
        <v>3625</v>
      </c>
      <c r="C2274" s="1" t="s">
        <v>159</v>
      </c>
      <c r="D2274" s="1">
        <f>COUNTIFS('Raw Entries'!B:B,Table4[[#This Row],[Name]],'Raw Entries'!I:I,Table4[[#This Row],[BOOK No.]])</f>
        <v>1</v>
      </c>
      <c r="E2274" s="1">
        <f t="array" ref="E2274">IF(OR(Table4[[#This Row],[INSTALLMENT]]=1,Table4[[#This Row],[INSTALLMENT]]=2,Table4[[#This Row],[INSTALLMENT]]=3),1,0)</f>
        <v>1</v>
      </c>
      <c r="F2274" s="1">
        <f>IF(OR(Table4[[#This Row],[INSTALLMENT]]=2,Table4[[#This Row],[INSTALLMENT]]=3),2,0)</f>
        <v>0</v>
      </c>
      <c r="G2274" s="1">
        <f>IF(OR(Table4[[#This Row],[INSTALLMENT]]=3),3,0)</f>
        <v>0</v>
      </c>
    </row>
    <row r="2275" spans="1:7">
      <c r="A2275" s="1">
        <v>2633</v>
      </c>
      <c r="B2275" s="1" t="s">
        <v>3626</v>
      </c>
      <c r="C2275" s="1" t="s">
        <v>159</v>
      </c>
      <c r="D2275" s="1">
        <f>COUNTIFS('Raw Entries'!B:B,Table4[[#This Row],[Name]],'Raw Entries'!I:I,Table4[[#This Row],[BOOK No.]])</f>
        <v>0</v>
      </c>
      <c r="E2275" s="1">
        <f t="array" ref="E2275">IF(OR(Table4[[#This Row],[INSTALLMENT]]=1,Table4[[#This Row],[INSTALLMENT]]=2,Table4[[#This Row],[INSTALLMENT]]=3),1,0)</f>
        <v>0</v>
      </c>
      <c r="F2275" s="1">
        <f>IF(OR(Table4[[#This Row],[INSTALLMENT]]=2,Table4[[#This Row],[INSTALLMENT]]=3),2,0)</f>
        <v>0</v>
      </c>
      <c r="G2275" s="1">
        <f>IF(OR(Table4[[#This Row],[INSTALLMENT]]=3),3,0)</f>
        <v>0</v>
      </c>
    </row>
    <row r="2276" spans="1:7">
      <c r="A2276" s="1">
        <v>2634</v>
      </c>
      <c r="B2276" s="1" t="s">
        <v>166</v>
      </c>
      <c r="C2276" s="1" t="s">
        <v>159</v>
      </c>
      <c r="D2276" s="1">
        <f>COUNTIFS('Raw Entries'!B:B,Table4[[#This Row],[Name]],'Raw Entries'!I:I,Table4[[#This Row],[BOOK No.]])</f>
        <v>1</v>
      </c>
      <c r="E2276" s="1">
        <f t="array" ref="E2276">IF(OR(Table4[[#This Row],[INSTALLMENT]]=1,Table4[[#This Row],[INSTALLMENT]]=2,Table4[[#This Row],[INSTALLMENT]]=3),1,0)</f>
        <v>1</v>
      </c>
      <c r="F2276" s="1">
        <f>IF(OR(Table4[[#This Row],[INSTALLMENT]]=2,Table4[[#This Row],[INSTALLMENT]]=3),2,0)</f>
        <v>0</v>
      </c>
      <c r="G2276" s="1">
        <f>IF(OR(Table4[[#This Row],[INSTALLMENT]]=3),3,0)</f>
        <v>0</v>
      </c>
    </row>
    <row r="2277" spans="1:7">
      <c r="A2277" s="1">
        <v>2635</v>
      </c>
      <c r="B2277" s="1" t="s">
        <v>163</v>
      </c>
      <c r="C2277" s="1" t="s">
        <v>159</v>
      </c>
      <c r="D2277" s="1">
        <f>COUNTIFS('Raw Entries'!B:B,Table4[[#This Row],[Name]],'Raw Entries'!I:I,Table4[[#This Row],[BOOK No.]])</f>
        <v>3</v>
      </c>
      <c r="E2277" s="1">
        <f t="array" ref="E2277">IF(OR(Table4[[#This Row],[INSTALLMENT]]=1,Table4[[#This Row],[INSTALLMENT]]=2,Table4[[#This Row],[INSTALLMENT]]=3),1,0)</f>
        <v>1</v>
      </c>
      <c r="F2277" s="1">
        <f>IF(OR(Table4[[#This Row],[INSTALLMENT]]=2,Table4[[#This Row],[INSTALLMENT]]=3),2,0)</f>
        <v>2</v>
      </c>
      <c r="G2277" s="1">
        <f>IF(OR(Table4[[#This Row],[INSTALLMENT]]=3),3,0)</f>
        <v>3</v>
      </c>
    </row>
    <row r="2278" spans="1:7">
      <c r="A2278" s="1">
        <v>2636</v>
      </c>
      <c r="B2278" s="1" t="s">
        <v>169</v>
      </c>
      <c r="C2278" s="1" t="s">
        <v>159</v>
      </c>
      <c r="D2278" s="1">
        <f>COUNTIFS('Raw Entries'!B:B,Table4[[#This Row],[Name]],'Raw Entries'!I:I,Table4[[#This Row],[BOOK No.]])</f>
        <v>1</v>
      </c>
      <c r="E2278" s="1">
        <f t="array" ref="E2278">IF(OR(Table4[[#This Row],[INSTALLMENT]]=1,Table4[[#This Row],[INSTALLMENT]]=2,Table4[[#This Row],[INSTALLMENT]]=3),1,0)</f>
        <v>1</v>
      </c>
      <c r="F2278" s="1">
        <f>IF(OR(Table4[[#This Row],[INSTALLMENT]]=2,Table4[[#This Row],[INSTALLMENT]]=3),2,0)</f>
        <v>0</v>
      </c>
      <c r="G2278" s="1">
        <f>IF(OR(Table4[[#This Row],[INSTALLMENT]]=3),3,0)</f>
        <v>0</v>
      </c>
    </row>
    <row r="2279" spans="1:7">
      <c r="A2279" s="1">
        <v>2637</v>
      </c>
      <c r="B2279" s="1" t="s">
        <v>3627</v>
      </c>
      <c r="C2279" s="1" t="s">
        <v>159</v>
      </c>
      <c r="D2279" s="1">
        <f>COUNTIFS('Raw Entries'!B:B,Table4[[#This Row],[Name]],'Raw Entries'!I:I,Table4[[#This Row],[BOOK No.]])</f>
        <v>2</v>
      </c>
      <c r="E2279" s="1">
        <f t="array" ref="E2279">IF(OR(Table4[[#This Row],[INSTALLMENT]]=1,Table4[[#This Row],[INSTALLMENT]]=2,Table4[[#This Row],[INSTALLMENT]]=3),1,0)</f>
        <v>1</v>
      </c>
      <c r="F2279" s="1">
        <f>IF(OR(Table4[[#This Row],[INSTALLMENT]]=2,Table4[[#This Row],[INSTALLMENT]]=3),2,0)</f>
        <v>2</v>
      </c>
      <c r="G2279" s="1">
        <f>IF(OR(Table4[[#This Row],[INSTALLMENT]]=3),3,0)</f>
        <v>0</v>
      </c>
    </row>
    <row r="2280" spans="1:7">
      <c r="A2280" s="1">
        <v>2638</v>
      </c>
      <c r="B2280" s="1" t="s">
        <v>170</v>
      </c>
      <c r="C2280" s="1" t="s">
        <v>159</v>
      </c>
      <c r="D2280" s="1">
        <f>COUNTIFS('Raw Entries'!B:B,Table4[[#This Row],[Name]],'Raw Entries'!I:I,Table4[[#This Row],[BOOK No.]])</f>
        <v>1</v>
      </c>
      <c r="E2280" s="1">
        <f t="array" ref="E2280">IF(OR(Table4[[#This Row],[INSTALLMENT]]=1,Table4[[#This Row],[INSTALLMENT]]=2,Table4[[#This Row],[INSTALLMENT]]=3),1,0)</f>
        <v>1</v>
      </c>
      <c r="F2280" s="1">
        <f>IF(OR(Table4[[#This Row],[INSTALLMENT]]=2,Table4[[#This Row],[INSTALLMENT]]=3),2,0)</f>
        <v>0</v>
      </c>
      <c r="G2280" s="1">
        <f>IF(OR(Table4[[#This Row],[INSTALLMENT]]=3),3,0)</f>
        <v>0</v>
      </c>
    </row>
    <row r="2281" spans="1:7">
      <c r="A2281" s="1">
        <v>2639</v>
      </c>
      <c r="B2281" s="1" t="s">
        <v>3628</v>
      </c>
      <c r="C2281" s="1" t="s">
        <v>159</v>
      </c>
      <c r="D2281" s="1">
        <f>COUNTIFS('Raw Entries'!B:B,Table4[[#This Row],[Name]],'Raw Entries'!I:I,Table4[[#This Row],[BOOK No.]])</f>
        <v>0</v>
      </c>
      <c r="E2281" s="1">
        <f t="array" ref="E2281">IF(OR(Table4[[#This Row],[INSTALLMENT]]=1,Table4[[#This Row],[INSTALLMENT]]=2,Table4[[#This Row],[INSTALLMENT]]=3),1,0)</f>
        <v>0</v>
      </c>
      <c r="F2281" s="1">
        <f>IF(OR(Table4[[#This Row],[INSTALLMENT]]=2,Table4[[#This Row],[INSTALLMENT]]=3),2,0)</f>
        <v>0</v>
      </c>
      <c r="G2281" s="1">
        <f>IF(OR(Table4[[#This Row],[INSTALLMENT]]=3),3,0)</f>
        <v>0</v>
      </c>
    </row>
    <row r="2282" spans="1:7">
      <c r="A2282" s="1">
        <v>2640</v>
      </c>
      <c r="B2282" s="1" t="s">
        <v>3629</v>
      </c>
      <c r="C2282" s="1" t="s">
        <v>159</v>
      </c>
      <c r="D2282" s="1">
        <f>COUNTIFS('Raw Entries'!B:B,Table4[[#This Row],[Name]],'Raw Entries'!I:I,Table4[[#This Row],[BOOK No.]])</f>
        <v>0</v>
      </c>
      <c r="E2282" s="1">
        <f t="array" ref="E2282">IF(OR(Table4[[#This Row],[INSTALLMENT]]=1,Table4[[#This Row],[INSTALLMENT]]=2,Table4[[#This Row],[INSTALLMENT]]=3),1,0)</f>
        <v>0</v>
      </c>
      <c r="F2282" s="1">
        <f>IF(OR(Table4[[#This Row],[INSTALLMENT]]=2,Table4[[#This Row],[INSTALLMENT]]=3),2,0)</f>
        <v>0</v>
      </c>
      <c r="G2282" s="1">
        <f>IF(OR(Table4[[#This Row],[INSTALLMENT]]=3),3,0)</f>
        <v>0</v>
      </c>
    </row>
    <row r="2283" spans="1:7">
      <c r="A2283" s="1">
        <v>2641</v>
      </c>
      <c r="B2283" s="1" t="s">
        <v>3630</v>
      </c>
      <c r="C2283" s="1" t="s">
        <v>159</v>
      </c>
      <c r="D2283" s="1">
        <f>COUNTIFS('Raw Entries'!B:B,Table4[[#This Row],[Name]],'Raw Entries'!I:I,Table4[[#This Row],[BOOK No.]])</f>
        <v>0</v>
      </c>
      <c r="E2283" s="1">
        <f t="array" ref="E2283">IF(OR(Table4[[#This Row],[INSTALLMENT]]=1,Table4[[#This Row],[INSTALLMENT]]=2,Table4[[#This Row],[INSTALLMENT]]=3),1,0)</f>
        <v>0</v>
      </c>
      <c r="F2283" s="1">
        <f>IF(OR(Table4[[#This Row],[INSTALLMENT]]=2,Table4[[#This Row],[INSTALLMENT]]=3),2,0)</f>
        <v>0</v>
      </c>
      <c r="G2283" s="1">
        <f>IF(OR(Table4[[#This Row],[INSTALLMENT]]=3),3,0)</f>
        <v>0</v>
      </c>
    </row>
    <row r="2284" spans="1:7">
      <c r="A2284" s="1">
        <v>2642</v>
      </c>
      <c r="B2284" s="1" t="s">
        <v>3631</v>
      </c>
      <c r="C2284" s="1" t="s">
        <v>159</v>
      </c>
      <c r="D2284" s="1">
        <f>COUNTIFS('Raw Entries'!B:B,Table4[[#This Row],[Name]],'Raw Entries'!I:I,Table4[[#This Row],[BOOK No.]])</f>
        <v>0</v>
      </c>
      <c r="E2284" s="1">
        <f t="array" ref="E2284">IF(OR(Table4[[#This Row],[INSTALLMENT]]=1,Table4[[#This Row],[INSTALLMENT]]=2,Table4[[#This Row],[INSTALLMENT]]=3),1,0)</f>
        <v>0</v>
      </c>
      <c r="F2284" s="1">
        <f>IF(OR(Table4[[#This Row],[INSTALLMENT]]=2,Table4[[#This Row],[INSTALLMENT]]=3),2,0)</f>
        <v>0</v>
      </c>
      <c r="G2284" s="1">
        <f>IF(OR(Table4[[#This Row],[INSTALLMENT]]=3),3,0)</f>
        <v>0</v>
      </c>
    </row>
    <row r="2285" spans="1:7">
      <c r="A2285" s="1">
        <v>2643</v>
      </c>
      <c r="B2285" s="1" t="s">
        <v>3632</v>
      </c>
      <c r="C2285" s="1" t="s">
        <v>159</v>
      </c>
      <c r="D2285" s="1">
        <f>COUNTIFS('Raw Entries'!B:B,Table4[[#This Row],[Name]],'Raw Entries'!I:I,Table4[[#This Row],[BOOK No.]])</f>
        <v>0</v>
      </c>
      <c r="E2285" s="1">
        <f t="array" ref="E2285">IF(OR(Table4[[#This Row],[INSTALLMENT]]=1,Table4[[#This Row],[INSTALLMENT]]=2,Table4[[#This Row],[INSTALLMENT]]=3),1,0)</f>
        <v>0</v>
      </c>
      <c r="F2285" s="1">
        <f>IF(OR(Table4[[#This Row],[INSTALLMENT]]=2,Table4[[#This Row],[INSTALLMENT]]=3),2,0)</f>
        <v>0</v>
      </c>
      <c r="G2285" s="1">
        <f>IF(OR(Table4[[#This Row],[INSTALLMENT]]=3),3,0)</f>
        <v>0</v>
      </c>
    </row>
    <row r="2286" spans="1:7">
      <c r="A2286" s="1">
        <v>2644</v>
      </c>
      <c r="B2286" s="1" t="s">
        <v>609</v>
      </c>
      <c r="C2286" s="1" t="s">
        <v>159</v>
      </c>
      <c r="D2286" s="1">
        <f>COUNTIFS('Raw Entries'!B:B,Table4[[#This Row],[Name]],'Raw Entries'!I:I,Table4[[#This Row],[BOOK No.]])</f>
        <v>3</v>
      </c>
      <c r="E2286" s="1">
        <f t="array" ref="E2286">IF(OR(Table4[[#This Row],[INSTALLMENT]]=1,Table4[[#This Row],[INSTALLMENT]]=2,Table4[[#This Row],[INSTALLMENT]]=3),1,0)</f>
        <v>1</v>
      </c>
      <c r="F2286" s="1">
        <f>IF(OR(Table4[[#This Row],[INSTALLMENT]]=2,Table4[[#This Row],[INSTALLMENT]]=3),2,0)</f>
        <v>2</v>
      </c>
      <c r="G2286" s="1">
        <f>IF(OR(Table4[[#This Row],[INSTALLMENT]]=3),3,0)</f>
        <v>3</v>
      </c>
    </row>
    <row r="2287" spans="1:7">
      <c r="A2287" s="1">
        <v>2645</v>
      </c>
      <c r="B2287" s="1" t="s">
        <v>616</v>
      </c>
      <c r="C2287" s="1" t="s">
        <v>159</v>
      </c>
      <c r="D2287" s="1">
        <f>COUNTIFS('Raw Entries'!B:B,Table4[[#This Row],[Name]],'Raw Entries'!I:I,Table4[[#This Row],[BOOK No.]])</f>
        <v>1</v>
      </c>
      <c r="E2287" s="1">
        <f t="array" ref="E2287">IF(OR(Table4[[#This Row],[INSTALLMENT]]=1,Table4[[#This Row],[INSTALLMENT]]=2,Table4[[#This Row],[INSTALLMENT]]=3),1,0)</f>
        <v>1</v>
      </c>
      <c r="F2287" s="1">
        <f>IF(OR(Table4[[#This Row],[INSTALLMENT]]=2,Table4[[#This Row],[INSTALLMENT]]=3),2,0)</f>
        <v>0</v>
      </c>
      <c r="G2287" s="1">
        <f>IF(OR(Table4[[#This Row],[INSTALLMENT]]=3),3,0)</f>
        <v>0</v>
      </c>
    </row>
    <row r="2288" spans="1:7">
      <c r="A2288" s="1">
        <v>2646</v>
      </c>
      <c r="B2288" s="1" t="s">
        <v>3633</v>
      </c>
      <c r="C2288" s="1" t="s">
        <v>159</v>
      </c>
      <c r="D2288" s="1">
        <f>COUNTIFS('Raw Entries'!B:B,Table4[[#This Row],[Name]],'Raw Entries'!I:I,Table4[[#This Row],[BOOK No.]])</f>
        <v>0</v>
      </c>
      <c r="E2288" s="1">
        <f t="array" ref="E2288">IF(OR(Table4[[#This Row],[INSTALLMENT]]=1,Table4[[#This Row],[INSTALLMENT]]=2,Table4[[#This Row],[INSTALLMENT]]=3),1,0)</f>
        <v>0</v>
      </c>
      <c r="F2288" s="1">
        <f>IF(OR(Table4[[#This Row],[INSTALLMENT]]=2,Table4[[#This Row],[INSTALLMENT]]=3),2,0)</f>
        <v>0</v>
      </c>
      <c r="G2288" s="1">
        <f>IF(OR(Table4[[#This Row],[INSTALLMENT]]=3),3,0)</f>
        <v>0</v>
      </c>
    </row>
    <row r="2289" spans="1:7">
      <c r="A2289" s="1">
        <v>2647</v>
      </c>
      <c r="B2289" s="1" t="s">
        <v>3634</v>
      </c>
      <c r="C2289" s="1" t="s">
        <v>159</v>
      </c>
      <c r="D2289" s="1">
        <f>COUNTIFS('Raw Entries'!B:B,Table4[[#This Row],[Name]],'Raw Entries'!I:I,Table4[[#This Row],[BOOK No.]])</f>
        <v>0</v>
      </c>
      <c r="E2289" s="1">
        <f t="array" ref="E2289">IF(OR(Table4[[#This Row],[INSTALLMENT]]=1,Table4[[#This Row],[INSTALLMENT]]=2,Table4[[#This Row],[INSTALLMENT]]=3),1,0)</f>
        <v>0</v>
      </c>
      <c r="F2289" s="1">
        <f>IF(OR(Table4[[#This Row],[INSTALLMENT]]=2,Table4[[#This Row],[INSTALLMENT]]=3),2,0)</f>
        <v>0</v>
      </c>
      <c r="G2289" s="1">
        <f>IF(OR(Table4[[#This Row],[INSTALLMENT]]=3),3,0)</f>
        <v>0</v>
      </c>
    </row>
    <row r="2290" spans="1:7">
      <c r="A2290" s="1">
        <v>2648</v>
      </c>
      <c r="B2290" s="1" t="s">
        <v>3635</v>
      </c>
      <c r="C2290" s="1" t="s">
        <v>159</v>
      </c>
      <c r="D2290" s="1">
        <f>COUNTIFS('Raw Entries'!B:B,Table4[[#This Row],[Name]],'Raw Entries'!I:I,Table4[[#This Row],[BOOK No.]])</f>
        <v>0</v>
      </c>
      <c r="E2290" s="1">
        <f t="array" ref="E2290">IF(OR(Table4[[#This Row],[INSTALLMENT]]=1,Table4[[#This Row],[INSTALLMENT]]=2,Table4[[#This Row],[INSTALLMENT]]=3),1,0)</f>
        <v>0</v>
      </c>
      <c r="F2290" s="1">
        <f>IF(OR(Table4[[#This Row],[INSTALLMENT]]=2,Table4[[#This Row],[INSTALLMENT]]=3),2,0)</f>
        <v>0</v>
      </c>
      <c r="G2290" s="1">
        <f>IF(OR(Table4[[#This Row],[INSTALLMENT]]=3),3,0)</f>
        <v>0</v>
      </c>
    </row>
    <row r="2291" spans="1:7">
      <c r="A2291" s="1">
        <v>2649</v>
      </c>
      <c r="B2291" s="1" t="s">
        <v>3636</v>
      </c>
      <c r="C2291" s="1" t="s">
        <v>159</v>
      </c>
      <c r="D2291" s="1">
        <f>COUNTIFS('Raw Entries'!B:B,Table4[[#This Row],[Name]],'Raw Entries'!I:I,Table4[[#This Row],[BOOK No.]])</f>
        <v>3</v>
      </c>
      <c r="E2291" s="1">
        <f t="array" ref="E2291">IF(OR(Table4[[#This Row],[INSTALLMENT]]=1,Table4[[#This Row],[INSTALLMENT]]=2,Table4[[#This Row],[INSTALLMENT]]=3),1,0)</f>
        <v>1</v>
      </c>
      <c r="F2291" s="1">
        <f>IF(OR(Table4[[#This Row],[INSTALLMENT]]=2,Table4[[#This Row],[INSTALLMENT]]=3),2,0)</f>
        <v>2</v>
      </c>
      <c r="G2291" s="1">
        <f>IF(OR(Table4[[#This Row],[INSTALLMENT]]=3),3,0)</f>
        <v>3</v>
      </c>
    </row>
    <row r="2292" spans="1:7">
      <c r="A2292" s="1">
        <v>2650</v>
      </c>
      <c r="B2292" s="1" t="s">
        <v>3637</v>
      </c>
      <c r="C2292" s="1" t="s">
        <v>159</v>
      </c>
      <c r="D2292" s="1">
        <f>COUNTIFS('Raw Entries'!B:B,Table4[[#This Row],[Name]],'Raw Entries'!I:I,Table4[[#This Row],[BOOK No.]])</f>
        <v>0</v>
      </c>
      <c r="E2292" s="1">
        <f t="array" ref="E2292">IF(OR(Table4[[#This Row],[INSTALLMENT]]=1,Table4[[#This Row],[INSTALLMENT]]=2,Table4[[#This Row],[INSTALLMENT]]=3),1,0)</f>
        <v>0</v>
      </c>
      <c r="F2292" s="1">
        <f>IF(OR(Table4[[#This Row],[INSTALLMENT]]=2,Table4[[#This Row],[INSTALLMENT]]=3),2,0)</f>
        <v>0</v>
      </c>
      <c r="G2292" s="1">
        <f>IF(OR(Table4[[#This Row],[INSTALLMENT]]=3),3,0)</f>
        <v>0</v>
      </c>
    </row>
    <row r="2293" spans="1:7">
      <c r="A2293" s="1">
        <v>2651</v>
      </c>
      <c r="B2293" s="1" t="s">
        <v>168</v>
      </c>
      <c r="C2293" s="1" t="s">
        <v>159</v>
      </c>
      <c r="D2293" s="1">
        <f>COUNTIFS('Raw Entries'!B:B,Table4[[#This Row],[Name]],'Raw Entries'!I:I,Table4[[#This Row],[BOOK No.]])</f>
        <v>3</v>
      </c>
      <c r="E2293" s="1">
        <f t="array" ref="E2293">IF(OR(Table4[[#This Row],[INSTALLMENT]]=1,Table4[[#This Row],[INSTALLMENT]]=2,Table4[[#This Row],[INSTALLMENT]]=3),1,0)</f>
        <v>1</v>
      </c>
      <c r="F2293" s="1">
        <f>IF(OR(Table4[[#This Row],[INSTALLMENT]]=2,Table4[[#This Row],[INSTALLMENT]]=3),2,0)</f>
        <v>2</v>
      </c>
      <c r="G2293" s="1">
        <f>IF(OR(Table4[[#This Row],[INSTALLMENT]]=3),3,0)</f>
        <v>3</v>
      </c>
    </row>
    <row r="2294" spans="1:7">
      <c r="A2294" s="1">
        <v>2652</v>
      </c>
      <c r="B2294" s="1" t="s">
        <v>3638</v>
      </c>
      <c r="C2294" s="1" t="s">
        <v>159</v>
      </c>
      <c r="D2294" s="1">
        <f>COUNTIFS('Raw Entries'!B:B,Table4[[#This Row],[Name]],'Raw Entries'!I:I,Table4[[#This Row],[BOOK No.]])</f>
        <v>0</v>
      </c>
      <c r="E2294" s="1">
        <f t="array" ref="E2294">IF(OR(Table4[[#This Row],[INSTALLMENT]]=1,Table4[[#This Row],[INSTALLMENT]]=2,Table4[[#This Row],[INSTALLMENT]]=3),1,0)</f>
        <v>0</v>
      </c>
      <c r="F2294" s="1">
        <f>IF(OR(Table4[[#This Row],[INSTALLMENT]]=2,Table4[[#This Row],[INSTALLMENT]]=3),2,0)</f>
        <v>0</v>
      </c>
      <c r="G2294" s="1">
        <f>IF(OR(Table4[[#This Row],[INSTALLMENT]]=3),3,0)</f>
        <v>0</v>
      </c>
    </row>
    <row r="2295" spans="1:7">
      <c r="A2295" s="1">
        <v>2653</v>
      </c>
      <c r="B2295" s="1" t="s">
        <v>167</v>
      </c>
      <c r="C2295" s="1" t="s">
        <v>159</v>
      </c>
      <c r="D2295" s="1">
        <f>COUNTIFS('Raw Entries'!B:B,Table4[[#This Row],[Name]],'Raw Entries'!I:I,Table4[[#This Row],[BOOK No.]])</f>
        <v>3</v>
      </c>
      <c r="E2295" s="1">
        <f t="array" ref="E2295">IF(OR(Table4[[#This Row],[INSTALLMENT]]=1,Table4[[#This Row],[INSTALLMENT]]=2,Table4[[#This Row],[INSTALLMENT]]=3),1,0)</f>
        <v>1</v>
      </c>
      <c r="F2295" s="1">
        <f>IF(OR(Table4[[#This Row],[INSTALLMENT]]=2,Table4[[#This Row],[INSTALLMENT]]=3),2,0)</f>
        <v>2</v>
      </c>
      <c r="G2295" s="1">
        <f>IF(OR(Table4[[#This Row],[INSTALLMENT]]=3),3,0)</f>
        <v>3</v>
      </c>
    </row>
    <row r="2296" spans="1:7">
      <c r="A2296" s="1">
        <v>2654</v>
      </c>
      <c r="B2296" s="1" t="s">
        <v>3639</v>
      </c>
      <c r="C2296" s="1" t="s">
        <v>159</v>
      </c>
      <c r="D2296" s="1">
        <f>COUNTIFS('Raw Entries'!B:B,Table4[[#This Row],[Name]],'Raw Entries'!I:I,Table4[[#This Row],[BOOK No.]])</f>
        <v>0</v>
      </c>
      <c r="E2296" s="1">
        <f t="array" ref="E2296">IF(OR(Table4[[#This Row],[INSTALLMENT]]=1,Table4[[#This Row],[INSTALLMENT]]=2,Table4[[#This Row],[INSTALLMENT]]=3),1,0)</f>
        <v>0</v>
      </c>
      <c r="F2296" s="1">
        <f>IF(OR(Table4[[#This Row],[INSTALLMENT]]=2,Table4[[#This Row],[INSTALLMENT]]=3),2,0)</f>
        <v>0</v>
      </c>
      <c r="G2296" s="1">
        <f>IF(OR(Table4[[#This Row],[INSTALLMENT]]=3),3,0)</f>
        <v>0</v>
      </c>
    </row>
    <row r="2297" spans="1:7">
      <c r="A2297" s="1">
        <v>2655</v>
      </c>
      <c r="B2297" s="1" t="s">
        <v>3640</v>
      </c>
      <c r="C2297" s="1" t="s">
        <v>159</v>
      </c>
      <c r="D2297" s="1">
        <f>COUNTIFS('Raw Entries'!B:B,Table4[[#This Row],[Name]],'Raw Entries'!I:I,Table4[[#This Row],[BOOK No.]])</f>
        <v>0</v>
      </c>
      <c r="E2297" s="1">
        <f t="array" ref="E2297">IF(OR(Table4[[#This Row],[INSTALLMENT]]=1,Table4[[#This Row],[INSTALLMENT]]=2,Table4[[#This Row],[INSTALLMENT]]=3),1,0)</f>
        <v>0</v>
      </c>
      <c r="F2297" s="1">
        <f>IF(OR(Table4[[#This Row],[INSTALLMENT]]=2,Table4[[#This Row],[INSTALLMENT]]=3),2,0)</f>
        <v>0</v>
      </c>
      <c r="G2297" s="1">
        <f>IF(OR(Table4[[#This Row],[INSTALLMENT]]=3),3,0)</f>
        <v>0</v>
      </c>
    </row>
    <row r="2298" spans="1:7">
      <c r="A2298" s="1">
        <v>2656</v>
      </c>
      <c r="B2298" s="1" t="s">
        <v>3641</v>
      </c>
      <c r="C2298" s="1" t="s">
        <v>159</v>
      </c>
      <c r="D2298" s="1">
        <f>COUNTIFS('Raw Entries'!B:B,Table4[[#This Row],[Name]],'Raw Entries'!I:I,Table4[[#This Row],[BOOK No.]])</f>
        <v>0</v>
      </c>
      <c r="E2298" s="1">
        <f t="array" ref="E2298">IF(OR(Table4[[#This Row],[INSTALLMENT]]=1,Table4[[#This Row],[INSTALLMENT]]=2,Table4[[#This Row],[INSTALLMENT]]=3),1,0)</f>
        <v>0</v>
      </c>
      <c r="F2298" s="1">
        <f>IF(OR(Table4[[#This Row],[INSTALLMENT]]=2,Table4[[#This Row],[INSTALLMENT]]=3),2,0)</f>
        <v>0</v>
      </c>
      <c r="G2298" s="1">
        <f>IF(OR(Table4[[#This Row],[INSTALLMENT]]=3),3,0)</f>
        <v>0</v>
      </c>
    </row>
    <row r="2299" spans="1:7">
      <c r="A2299" s="1">
        <v>2657</v>
      </c>
      <c r="B2299" s="1" t="s">
        <v>3642</v>
      </c>
      <c r="C2299" s="1" t="s">
        <v>159</v>
      </c>
      <c r="D2299" s="1">
        <f>COUNTIFS('Raw Entries'!B:B,Table4[[#This Row],[Name]],'Raw Entries'!I:I,Table4[[#This Row],[BOOK No.]])</f>
        <v>0</v>
      </c>
      <c r="E2299" s="1">
        <f t="array" ref="E2299">IF(OR(Table4[[#This Row],[INSTALLMENT]]=1,Table4[[#This Row],[INSTALLMENT]]=2,Table4[[#This Row],[INSTALLMENT]]=3),1,0)</f>
        <v>0</v>
      </c>
      <c r="F2299" s="1">
        <f>IF(OR(Table4[[#This Row],[INSTALLMENT]]=2,Table4[[#This Row],[INSTALLMENT]]=3),2,0)</f>
        <v>0</v>
      </c>
      <c r="G2299" s="1">
        <f>IF(OR(Table4[[#This Row],[INSTALLMENT]]=3),3,0)</f>
        <v>0</v>
      </c>
    </row>
    <row r="2300" spans="1:7">
      <c r="A2300" s="1">
        <v>2658</v>
      </c>
      <c r="B2300" s="1" t="s">
        <v>160</v>
      </c>
      <c r="C2300" s="1" t="s">
        <v>159</v>
      </c>
      <c r="D2300" s="1">
        <f>COUNTIFS('Raw Entries'!B:B,Table4[[#This Row],[Name]],'Raw Entries'!I:I,Table4[[#This Row],[BOOK No.]])</f>
        <v>3</v>
      </c>
      <c r="E2300" s="1">
        <f t="array" ref="E2300">IF(OR(Table4[[#This Row],[INSTALLMENT]]=1,Table4[[#This Row],[INSTALLMENT]]=2,Table4[[#This Row],[INSTALLMENT]]=3),1,0)</f>
        <v>1</v>
      </c>
      <c r="F2300" s="1">
        <f>IF(OR(Table4[[#This Row],[INSTALLMENT]]=2,Table4[[#This Row],[INSTALLMENT]]=3),2,0)</f>
        <v>2</v>
      </c>
      <c r="G2300" s="1">
        <f>IF(OR(Table4[[#This Row],[INSTALLMENT]]=3),3,0)</f>
        <v>3</v>
      </c>
    </row>
    <row r="2301" spans="1:7">
      <c r="A2301" s="1">
        <v>2659</v>
      </c>
      <c r="B2301" s="1" t="s">
        <v>3957</v>
      </c>
      <c r="C2301" s="1" t="s">
        <v>68</v>
      </c>
      <c r="D2301" s="1">
        <f>COUNTIFS('Raw Entries'!B:B,Table4[[#This Row],[Name]],'Raw Entries'!I:I,Table4[[#This Row],[BOOK No.]])</f>
        <v>1</v>
      </c>
      <c r="E2301" s="1">
        <f t="array" ref="E2301">IF(OR(Table4[[#This Row],[INSTALLMENT]]=1,Table4[[#This Row],[INSTALLMENT]]=2,Table4[[#This Row],[INSTALLMENT]]=3),1,0)</f>
        <v>1</v>
      </c>
      <c r="F2301" s="1">
        <f>IF(OR(Table4[[#This Row],[INSTALLMENT]]=2,Table4[[#This Row],[INSTALLMENT]]=3),2,0)</f>
        <v>0</v>
      </c>
      <c r="G2301" s="1">
        <f>IF(OR(Table4[[#This Row],[INSTALLMENT]]=3),3,0)</f>
        <v>0</v>
      </c>
    </row>
    <row r="2302" spans="1:7">
      <c r="A2302" s="1">
        <v>2660</v>
      </c>
      <c r="B2302" s="1" t="s">
        <v>3643</v>
      </c>
      <c r="C2302" s="1" t="s">
        <v>68</v>
      </c>
      <c r="D2302" s="1">
        <f>COUNTIFS('Raw Entries'!B:B,Table4[[#This Row],[Name]],'Raw Entries'!I:I,Table4[[#This Row],[BOOK No.]])</f>
        <v>0</v>
      </c>
      <c r="E2302" s="1">
        <f t="array" ref="E2302">IF(OR(Table4[[#This Row],[INSTALLMENT]]=1,Table4[[#This Row],[INSTALLMENT]]=2,Table4[[#This Row],[INSTALLMENT]]=3),1,0)</f>
        <v>0</v>
      </c>
      <c r="F2302" s="1">
        <f>IF(OR(Table4[[#This Row],[INSTALLMENT]]=2,Table4[[#This Row],[INSTALLMENT]]=3),2,0)</f>
        <v>0</v>
      </c>
      <c r="G2302" s="1">
        <f>IF(OR(Table4[[#This Row],[INSTALLMENT]]=3),3,0)</f>
        <v>0</v>
      </c>
    </row>
    <row r="2303" spans="1:7">
      <c r="A2303" s="1">
        <v>2661</v>
      </c>
      <c r="B2303" s="1" t="s">
        <v>3644</v>
      </c>
      <c r="C2303" s="1" t="s">
        <v>68</v>
      </c>
      <c r="D2303" s="1">
        <f>COUNTIFS('Raw Entries'!B:B,Table4[[#This Row],[Name]],'Raw Entries'!I:I,Table4[[#This Row],[BOOK No.]])</f>
        <v>3</v>
      </c>
      <c r="E2303" s="1">
        <f t="array" ref="E2303">IF(OR(Table4[[#This Row],[INSTALLMENT]]=1,Table4[[#This Row],[INSTALLMENT]]=2,Table4[[#This Row],[INSTALLMENT]]=3),1,0)</f>
        <v>1</v>
      </c>
      <c r="F2303" s="1">
        <f>IF(OR(Table4[[#This Row],[INSTALLMENT]]=2,Table4[[#This Row],[INSTALLMENT]]=3),2,0)</f>
        <v>2</v>
      </c>
      <c r="G2303" s="1">
        <f>IF(OR(Table4[[#This Row],[INSTALLMENT]]=3),3,0)</f>
        <v>3</v>
      </c>
    </row>
    <row r="2304" spans="1:7">
      <c r="A2304" s="1">
        <v>2662</v>
      </c>
      <c r="B2304" s="1" t="s">
        <v>3645</v>
      </c>
      <c r="C2304" s="1" t="s">
        <v>68</v>
      </c>
      <c r="D2304" s="1">
        <f>COUNTIFS('Raw Entries'!B:B,Table4[[#This Row],[Name]],'Raw Entries'!I:I,Table4[[#This Row],[BOOK No.]])</f>
        <v>3</v>
      </c>
      <c r="E2304" s="1">
        <f t="array" ref="E2304">IF(OR(Table4[[#This Row],[INSTALLMENT]]=1,Table4[[#This Row],[INSTALLMENT]]=2,Table4[[#This Row],[INSTALLMENT]]=3),1,0)</f>
        <v>1</v>
      </c>
      <c r="F2304" s="1">
        <f>IF(OR(Table4[[#This Row],[INSTALLMENT]]=2,Table4[[#This Row],[INSTALLMENT]]=3),2,0)</f>
        <v>2</v>
      </c>
      <c r="G2304" s="1">
        <f>IF(OR(Table4[[#This Row],[INSTALLMENT]]=3),3,0)</f>
        <v>3</v>
      </c>
    </row>
    <row r="2305" spans="1:7">
      <c r="A2305" s="1">
        <v>2663</v>
      </c>
      <c r="B2305" s="1" t="s">
        <v>3646</v>
      </c>
      <c r="C2305" s="1" t="s">
        <v>68</v>
      </c>
      <c r="D2305" s="1">
        <f>COUNTIFS('Raw Entries'!B:B,Table4[[#This Row],[Name]],'Raw Entries'!I:I,Table4[[#This Row],[BOOK No.]])</f>
        <v>0</v>
      </c>
      <c r="E2305" s="1">
        <f t="array" ref="E2305">IF(OR(Table4[[#This Row],[INSTALLMENT]]=1,Table4[[#This Row],[INSTALLMENT]]=2,Table4[[#This Row],[INSTALLMENT]]=3),1,0)</f>
        <v>0</v>
      </c>
      <c r="F2305" s="1">
        <f>IF(OR(Table4[[#This Row],[INSTALLMENT]]=2,Table4[[#This Row],[INSTALLMENT]]=3),2,0)</f>
        <v>0</v>
      </c>
      <c r="G2305" s="1">
        <f>IF(OR(Table4[[#This Row],[INSTALLMENT]]=3),3,0)</f>
        <v>0</v>
      </c>
    </row>
    <row r="2306" spans="1:7">
      <c r="A2306" s="1">
        <v>2664</v>
      </c>
      <c r="B2306" s="1" t="s">
        <v>3647</v>
      </c>
      <c r="C2306" s="1" t="s">
        <v>68</v>
      </c>
      <c r="D2306" s="1">
        <f>COUNTIFS('Raw Entries'!B:B,Table4[[#This Row],[Name]],'Raw Entries'!I:I,Table4[[#This Row],[BOOK No.]])</f>
        <v>0</v>
      </c>
      <c r="E2306" s="1">
        <f t="array" ref="E2306">IF(OR(Table4[[#This Row],[INSTALLMENT]]=1,Table4[[#This Row],[INSTALLMENT]]=2,Table4[[#This Row],[INSTALLMENT]]=3),1,0)</f>
        <v>0</v>
      </c>
      <c r="F2306" s="1">
        <f>IF(OR(Table4[[#This Row],[INSTALLMENT]]=2,Table4[[#This Row],[INSTALLMENT]]=3),2,0)</f>
        <v>0</v>
      </c>
      <c r="G2306" s="1">
        <f>IF(OR(Table4[[#This Row],[INSTALLMENT]]=3),3,0)</f>
        <v>0</v>
      </c>
    </row>
    <row r="2307" spans="1:7">
      <c r="A2307" s="1">
        <v>2665</v>
      </c>
      <c r="B2307" s="1" t="s">
        <v>3648</v>
      </c>
      <c r="C2307" s="1" t="s">
        <v>68</v>
      </c>
      <c r="D2307" s="1">
        <f>COUNTIFS('Raw Entries'!B:B,Table4[[#This Row],[Name]],'Raw Entries'!I:I,Table4[[#This Row],[BOOK No.]])</f>
        <v>0</v>
      </c>
      <c r="E2307" s="1">
        <f t="array" ref="E2307">IF(OR(Table4[[#This Row],[INSTALLMENT]]=1,Table4[[#This Row],[INSTALLMENT]]=2,Table4[[#This Row],[INSTALLMENT]]=3),1,0)</f>
        <v>0</v>
      </c>
      <c r="F2307" s="1">
        <f>IF(OR(Table4[[#This Row],[INSTALLMENT]]=2,Table4[[#This Row],[INSTALLMENT]]=3),2,0)</f>
        <v>0</v>
      </c>
      <c r="G2307" s="1">
        <f>IF(OR(Table4[[#This Row],[INSTALLMENT]]=3),3,0)</f>
        <v>0</v>
      </c>
    </row>
    <row r="2308" spans="1:7">
      <c r="A2308" s="1">
        <v>2666</v>
      </c>
      <c r="B2308" s="1" t="s">
        <v>84</v>
      </c>
      <c r="C2308" s="1" t="s">
        <v>80</v>
      </c>
      <c r="D2308" s="1">
        <f>COUNTIFS('Raw Entries'!B:B,Table4[[#This Row],[Name]],'Raw Entries'!I:I,Table4[[#This Row],[BOOK No.]])</f>
        <v>3</v>
      </c>
      <c r="E2308" s="1">
        <f t="array" ref="E2308">IF(OR(Table4[[#This Row],[INSTALLMENT]]=1,Table4[[#This Row],[INSTALLMENT]]=2,Table4[[#This Row],[INSTALLMENT]]=3),1,0)</f>
        <v>1</v>
      </c>
      <c r="F2308" s="1">
        <f>IF(OR(Table4[[#This Row],[INSTALLMENT]]=2,Table4[[#This Row],[INSTALLMENT]]=3),2,0)</f>
        <v>2</v>
      </c>
      <c r="G2308" s="1">
        <f>IF(OR(Table4[[#This Row],[INSTALLMENT]]=3),3,0)</f>
        <v>3</v>
      </c>
    </row>
    <row r="2309" spans="1:7">
      <c r="A2309" s="1">
        <v>2667</v>
      </c>
      <c r="B2309" s="1" t="s">
        <v>3649</v>
      </c>
      <c r="C2309" s="1" t="s">
        <v>80</v>
      </c>
      <c r="D2309" s="1">
        <f>COUNTIFS('Raw Entries'!B:B,Table4[[#This Row],[Name]],'Raw Entries'!I:I,Table4[[#This Row],[BOOK No.]])</f>
        <v>0</v>
      </c>
      <c r="E2309" s="1">
        <f t="array" ref="E2309">IF(OR(Table4[[#This Row],[INSTALLMENT]]=1,Table4[[#This Row],[INSTALLMENT]]=2,Table4[[#This Row],[INSTALLMENT]]=3),1,0)</f>
        <v>0</v>
      </c>
      <c r="F2309" s="1">
        <f>IF(OR(Table4[[#This Row],[INSTALLMENT]]=2,Table4[[#This Row],[INSTALLMENT]]=3),2,0)</f>
        <v>0</v>
      </c>
      <c r="G2309" s="1">
        <f>IF(OR(Table4[[#This Row],[INSTALLMENT]]=3),3,0)</f>
        <v>0</v>
      </c>
    </row>
    <row r="2310" spans="1:7">
      <c r="A2310" s="1">
        <v>2668</v>
      </c>
      <c r="B2310" s="1" t="s">
        <v>3650</v>
      </c>
      <c r="C2310" s="1" t="s">
        <v>80</v>
      </c>
      <c r="D2310" s="1">
        <f>COUNTIFS('Raw Entries'!B:B,Table4[[#This Row],[Name]],'Raw Entries'!I:I,Table4[[#This Row],[BOOK No.]])</f>
        <v>0</v>
      </c>
      <c r="E2310" s="1">
        <f t="array" ref="E2310">IF(OR(Table4[[#This Row],[INSTALLMENT]]=1,Table4[[#This Row],[INSTALLMENT]]=2,Table4[[#This Row],[INSTALLMENT]]=3),1,0)</f>
        <v>0</v>
      </c>
      <c r="F2310" s="1">
        <f>IF(OR(Table4[[#This Row],[INSTALLMENT]]=2,Table4[[#This Row],[INSTALLMENT]]=3),2,0)</f>
        <v>0</v>
      </c>
      <c r="G2310" s="1">
        <f>IF(OR(Table4[[#This Row],[INSTALLMENT]]=3),3,0)</f>
        <v>0</v>
      </c>
    </row>
    <row r="2311" spans="1:7">
      <c r="A2311" s="1">
        <v>2669</v>
      </c>
      <c r="B2311" s="1" t="s">
        <v>3651</v>
      </c>
      <c r="C2311" s="1" t="s">
        <v>80</v>
      </c>
      <c r="D2311" s="1">
        <f>COUNTIFS('Raw Entries'!B:B,Table4[[#This Row],[Name]],'Raw Entries'!I:I,Table4[[#This Row],[BOOK No.]])</f>
        <v>0</v>
      </c>
      <c r="E2311" s="1">
        <f t="array" ref="E2311">IF(OR(Table4[[#This Row],[INSTALLMENT]]=1,Table4[[#This Row],[INSTALLMENT]]=2,Table4[[#This Row],[INSTALLMENT]]=3),1,0)</f>
        <v>0</v>
      </c>
      <c r="F2311" s="1">
        <f>IF(OR(Table4[[#This Row],[INSTALLMENT]]=2,Table4[[#This Row],[INSTALLMENT]]=3),2,0)</f>
        <v>0</v>
      </c>
      <c r="G2311" s="1">
        <f>IF(OR(Table4[[#This Row],[INSTALLMENT]]=3),3,0)</f>
        <v>0</v>
      </c>
    </row>
    <row r="2312" spans="1:7">
      <c r="A2312" s="1">
        <v>2670</v>
      </c>
      <c r="B2312" s="1" t="s">
        <v>3652</v>
      </c>
      <c r="C2312" s="1" t="s">
        <v>80</v>
      </c>
      <c r="D2312" s="1">
        <f>COUNTIFS('Raw Entries'!B:B,Table4[[#This Row],[Name]],'Raw Entries'!I:I,Table4[[#This Row],[BOOK No.]])</f>
        <v>0</v>
      </c>
      <c r="E2312" s="1">
        <f t="array" ref="E2312">IF(OR(Table4[[#This Row],[INSTALLMENT]]=1,Table4[[#This Row],[INSTALLMENT]]=2,Table4[[#This Row],[INSTALLMENT]]=3),1,0)</f>
        <v>0</v>
      </c>
      <c r="F2312" s="1">
        <f>IF(OR(Table4[[#This Row],[INSTALLMENT]]=2,Table4[[#This Row],[INSTALLMENT]]=3),2,0)</f>
        <v>0</v>
      </c>
      <c r="G2312" s="1">
        <f>IF(OR(Table4[[#This Row],[INSTALLMENT]]=3),3,0)</f>
        <v>0</v>
      </c>
    </row>
    <row r="2313" spans="1:7">
      <c r="A2313" s="1">
        <v>2671</v>
      </c>
      <c r="B2313" s="1" t="s">
        <v>86</v>
      </c>
      <c r="C2313" s="1" t="s">
        <v>80</v>
      </c>
      <c r="D2313" s="1">
        <f>COUNTIFS('Raw Entries'!B:B,Table4[[#This Row],[Name]],'Raw Entries'!I:I,Table4[[#This Row],[BOOK No.]])</f>
        <v>1</v>
      </c>
      <c r="E2313" s="1">
        <f t="array" ref="E2313">IF(OR(Table4[[#This Row],[INSTALLMENT]]=1,Table4[[#This Row],[INSTALLMENT]]=2,Table4[[#This Row],[INSTALLMENT]]=3),1,0)</f>
        <v>1</v>
      </c>
      <c r="F2313" s="1">
        <f>IF(OR(Table4[[#This Row],[INSTALLMENT]]=2,Table4[[#This Row],[INSTALLMENT]]=3),2,0)</f>
        <v>0</v>
      </c>
      <c r="G2313" s="1">
        <f>IF(OR(Table4[[#This Row],[INSTALLMENT]]=3),3,0)</f>
        <v>0</v>
      </c>
    </row>
    <row r="2314" spans="1:7">
      <c r="A2314" s="1">
        <v>2672</v>
      </c>
      <c r="B2314" s="1" t="s">
        <v>3653</v>
      </c>
      <c r="C2314" s="1" t="s">
        <v>80</v>
      </c>
      <c r="D2314" s="1">
        <f>COUNTIFS('Raw Entries'!B:B,Table4[[#This Row],[Name]],'Raw Entries'!I:I,Table4[[#This Row],[BOOK No.]])</f>
        <v>0</v>
      </c>
      <c r="E2314" s="1">
        <f t="array" ref="E2314">IF(OR(Table4[[#This Row],[INSTALLMENT]]=1,Table4[[#This Row],[INSTALLMENT]]=2,Table4[[#This Row],[INSTALLMENT]]=3),1,0)</f>
        <v>0</v>
      </c>
      <c r="F2314" s="1">
        <f>IF(OR(Table4[[#This Row],[INSTALLMENT]]=2,Table4[[#This Row],[INSTALLMENT]]=3),2,0)</f>
        <v>0</v>
      </c>
      <c r="G2314" s="1">
        <f>IF(OR(Table4[[#This Row],[INSTALLMENT]]=3),3,0)</f>
        <v>0</v>
      </c>
    </row>
    <row r="2315" spans="1:7">
      <c r="A2315" s="1">
        <v>2673</v>
      </c>
      <c r="B2315" s="1" t="s">
        <v>3654</v>
      </c>
      <c r="C2315" s="1" t="s">
        <v>80</v>
      </c>
      <c r="D2315" s="1">
        <f>COUNTIFS('Raw Entries'!B:B,Table4[[#This Row],[Name]],'Raw Entries'!I:I,Table4[[#This Row],[BOOK No.]])</f>
        <v>0</v>
      </c>
      <c r="E2315" s="1">
        <f t="array" ref="E2315">IF(OR(Table4[[#This Row],[INSTALLMENT]]=1,Table4[[#This Row],[INSTALLMENT]]=2,Table4[[#This Row],[INSTALLMENT]]=3),1,0)</f>
        <v>0</v>
      </c>
      <c r="F2315" s="1">
        <f>IF(OR(Table4[[#This Row],[INSTALLMENT]]=2,Table4[[#This Row],[INSTALLMENT]]=3),2,0)</f>
        <v>0</v>
      </c>
      <c r="G2315" s="1">
        <f>IF(OR(Table4[[#This Row],[INSTALLMENT]]=3),3,0)</f>
        <v>0</v>
      </c>
    </row>
    <row r="2316" spans="1:7">
      <c r="A2316" s="1">
        <v>2674</v>
      </c>
      <c r="B2316" s="1" t="s">
        <v>3655</v>
      </c>
      <c r="C2316" s="1" t="s">
        <v>87</v>
      </c>
      <c r="D2316" s="1">
        <f>COUNTIFS('Raw Entries'!B:B,Table4[[#This Row],[Name]],'Raw Entries'!I:I,Table4[[#This Row],[BOOK No.]])</f>
        <v>0</v>
      </c>
      <c r="E2316" s="1">
        <f t="array" ref="E2316">IF(OR(Table4[[#This Row],[INSTALLMENT]]=1,Table4[[#This Row],[INSTALLMENT]]=2,Table4[[#This Row],[INSTALLMENT]]=3),1,0)</f>
        <v>0</v>
      </c>
      <c r="F2316" s="1">
        <f>IF(OR(Table4[[#This Row],[INSTALLMENT]]=2,Table4[[#This Row],[INSTALLMENT]]=3),2,0)</f>
        <v>0</v>
      </c>
      <c r="G2316" s="1">
        <f>IF(OR(Table4[[#This Row],[INSTALLMENT]]=3),3,0)</f>
        <v>0</v>
      </c>
    </row>
    <row r="2317" spans="1:7">
      <c r="A2317" s="1">
        <v>2675</v>
      </c>
      <c r="B2317" s="1" t="s">
        <v>3656</v>
      </c>
      <c r="C2317" s="1" t="s">
        <v>87</v>
      </c>
      <c r="D2317" s="1">
        <f>COUNTIFS('Raw Entries'!B:B,Table4[[#This Row],[Name]],'Raw Entries'!I:I,Table4[[#This Row],[BOOK No.]])</f>
        <v>0</v>
      </c>
      <c r="E2317" s="1">
        <f t="array" ref="E2317">IF(OR(Table4[[#This Row],[INSTALLMENT]]=1,Table4[[#This Row],[INSTALLMENT]]=2,Table4[[#This Row],[INSTALLMENT]]=3),1,0)</f>
        <v>0</v>
      </c>
      <c r="F2317" s="1">
        <f>IF(OR(Table4[[#This Row],[INSTALLMENT]]=2,Table4[[#This Row],[INSTALLMENT]]=3),2,0)</f>
        <v>0</v>
      </c>
      <c r="G2317" s="1">
        <f>IF(OR(Table4[[#This Row],[INSTALLMENT]]=3),3,0)</f>
        <v>0</v>
      </c>
    </row>
    <row r="2318" spans="1:7">
      <c r="A2318" s="1">
        <v>2676</v>
      </c>
      <c r="B2318" s="1" t="s">
        <v>3657</v>
      </c>
      <c r="C2318" s="1" t="s">
        <v>102</v>
      </c>
      <c r="D2318" s="1">
        <f>COUNTIFS('Raw Entries'!B:B,Table4[[#This Row],[Name]],'Raw Entries'!I:I,Table4[[#This Row],[BOOK No.]])</f>
        <v>0</v>
      </c>
      <c r="E2318" s="1">
        <f t="array" ref="E2318">IF(OR(Table4[[#This Row],[INSTALLMENT]]=1,Table4[[#This Row],[INSTALLMENT]]=2,Table4[[#This Row],[INSTALLMENT]]=3),1,0)</f>
        <v>0</v>
      </c>
      <c r="F2318" s="1">
        <f>IF(OR(Table4[[#This Row],[INSTALLMENT]]=2,Table4[[#This Row],[INSTALLMENT]]=3),2,0)</f>
        <v>0</v>
      </c>
      <c r="G2318" s="1">
        <f>IF(OR(Table4[[#This Row],[INSTALLMENT]]=3),3,0)</f>
        <v>0</v>
      </c>
    </row>
    <row r="2319" spans="1:7">
      <c r="A2319" s="1">
        <v>2677</v>
      </c>
      <c r="B2319" s="1" t="s">
        <v>109</v>
      </c>
      <c r="C2319" s="1" t="s">
        <v>102</v>
      </c>
      <c r="D2319" s="1">
        <f>COUNTIFS('Raw Entries'!B:B,Table4[[#This Row],[Name]],'Raw Entries'!I:I,Table4[[#This Row],[BOOK No.]])</f>
        <v>1</v>
      </c>
      <c r="E2319" s="1">
        <f t="array" ref="E2319">IF(OR(Table4[[#This Row],[INSTALLMENT]]=1,Table4[[#This Row],[INSTALLMENT]]=2,Table4[[#This Row],[INSTALLMENT]]=3),1,0)</f>
        <v>1</v>
      </c>
      <c r="F2319" s="1">
        <f>IF(OR(Table4[[#This Row],[INSTALLMENT]]=2,Table4[[#This Row],[INSTALLMENT]]=3),2,0)</f>
        <v>0</v>
      </c>
      <c r="G2319" s="1">
        <f>IF(OR(Table4[[#This Row],[INSTALLMENT]]=3),3,0)</f>
        <v>0</v>
      </c>
    </row>
    <row r="2320" spans="1:7">
      <c r="A2320" s="1">
        <v>2678</v>
      </c>
      <c r="B2320" s="1" t="s">
        <v>3658</v>
      </c>
      <c r="C2320" s="1" t="s">
        <v>102</v>
      </c>
      <c r="D2320" s="1">
        <f>COUNTIFS('Raw Entries'!B:B,Table4[[#This Row],[Name]],'Raw Entries'!I:I,Table4[[#This Row],[BOOK No.]])</f>
        <v>0</v>
      </c>
      <c r="E2320" s="1">
        <f t="array" ref="E2320">IF(OR(Table4[[#This Row],[INSTALLMENT]]=1,Table4[[#This Row],[INSTALLMENT]]=2,Table4[[#This Row],[INSTALLMENT]]=3),1,0)</f>
        <v>0</v>
      </c>
      <c r="F2320" s="1">
        <f>IF(OR(Table4[[#This Row],[INSTALLMENT]]=2,Table4[[#This Row],[INSTALLMENT]]=3),2,0)</f>
        <v>0</v>
      </c>
      <c r="G2320" s="1">
        <f>IF(OR(Table4[[#This Row],[INSTALLMENT]]=3),3,0)</f>
        <v>0</v>
      </c>
    </row>
    <row r="2321" spans="1:7">
      <c r="A2321" s="1">
        <v>2679</v>
      </c>
      <c r="B2321" s="1" t="s">
        <v>110</v>
      </c>
      <c r="C2321" s="1" t="s">
        <v>102</v>
      </c>
      <c r="D2321" s="1">
        <f>COUNTIFS('Raw Entries'!B:B,Table4[[#This Row],[Name]],'Raw Entries'!I:I,Table4[[#This Row],[BOOK No.]])</f>
        <v>2</v>
      </c>
      <c r="E2321" s="1">
        <f t="array" ref="E2321">IF(OR(Table4[[#This Row],[INSTALLMENT]]=1,Table4[[#This Row],[INSTALLMENT]]=2,Table4[[#This Row],[INSTALLMENT]]=3),1,0)</f>
        <v>1</v>
      </c>
      <c r="F2321" s="1">
        <f>IF(OR(Table4[[#This Row],[INSTALLMENT]]=2,Table4[[#This Row],[INSTALLMENT]]=3),2,0)</f>
        <v>2</v>
      </c>
      <c r="G2321" s="1">
        <f>IF(OR(Table4[[#This Row],[INSTALLMENT]]=3),3,0)</f>
        <v>0</v>
      </c>
    </row>
    <row r="2322" spans="1:7">
      <c r="A2322" s="1">
        <v>2680</v>
      </c>
      <c r="B2322" s="1" t="s">
        <v>112</v>
      </c>
      <c r="C2322" s="1" t="s">
        <v>102</v>
      </c>
      <c r="D2322" s="1">
        <f>COUNTIFS('Raw Entries'!B:B,Table4[[#This Row],[Name]],'Raw Entries'!I:I,Table4[[#This Row],[BOOK No.]])</f>
        <v>3</v>
      </c>
      <c r="E2322" s="1">
        <f t="array" ref="E2322">IF(OR(Table4[[#This Row],[INSTALLMENT]]=1,Table4[[#This Row],[INSTALLMENT]]=2,Table4[[#This Row],[INSTALLMENT]]=3),1,0)</f>
        <v>1</v>
      </c>
      <c r="F2322" s="1">
        <f>IF(OR(Table4[[#This Row],[INSTALLMENT]]=2,Table4[[#This Row],[INSTALLMENT]]=3),2,0)</f>
        <v>2</v>
      </c>
      <c r="G2322" s="1">
        <f>IF(OR(Table4[[#This Row],[INSTALLMENT]]=3),3,0)</f>
        <v>3</v>
      </c>
    </row>
    <row r="2323" spans="1:7">
      <c r="A2323" s="1">
        <v>2681</v>
      </c>
      <c r="B2323" s="1" t="s">
        <v>3659</v>
      </c>
      <c r="C2323" s="1" t="s">
        <v>113</v>
      </c>
      <c r="D2323" s="1">
        <f>COUNTIFS('Raw Entries'!B:B,Table4[[#This Row],[Name]],'Raw Entries'!I:I,Table4[[#This Row],[BOOK No.]])</f>
        <v>0</v>
      </c>
      <c r="E2323" s="1">
        <f t="array" ref="E2323">IF(OR(Table4[[#This Row],[INSTALLMENT]]=1,Table4[[#This Row],[INSTALLMENT]]=2,Table4[[#This Row],[INSTALLMENT]]=3),1,0)</f>
        <v>0</v>
      </c>
      <c r="F2323" s="1">
        <f>IF(OR(Table4[[#This Row],[INSTALLMENT]]=2,Table4[[#This Row],[INSTALLMENT]]=3),2,0)</f>
        <v>0</v>
      </c>
      <c r="G2323" s="1">
        <f>IF(OR(Table4[[#This Row],[INSTALLMENT]]=3),3,0)</f>
        <v>0</v>
      </c>
    </row>
    <row r="2324" spans="1:7">
      <c r="A2324" s="1">
        <v>2682</v>
      </c>
      <c r="B2324" s="1" t="s">
        <v>3660</v>
      </c>
      <c r="C2324" s="1" t="s">
        <v>119</v>
      </c>
      <c r="D2324" s="1">
        <f>COUNTIFS('Raw Entries'!B:B,Table4[[#This Row],[Name]],'Raw Entries'!I:I,Table4[[#This Row],[BOOK No.]])</f>
        <v>0</v>
      </c>
      <c r="E2324" s="1">
        <f t="array" ref="E2324">IF(OR(Table4[[#This Row],[INSTALLMENT]]=1,Table4[[#This Row],[INSTALLMENT]]=2,Table4[[#This Row],[INSTALLMENT]]=3),1,0)</f>
        <v>0</v>
      </c>
      <c r="F2324" s="1">
        <f>IF(OR(Table4[[#This Row],[INSTALLMENT]]=2,Table4[[#This Row],[INSTALLMENT]]=3),2,0)</f>
        <v>0</v>
      </c>
      <c r="G2324" s="1">
        <f>IF(OR(Table4[[#This Row],[INSTALLMENT]]=3),3,0)</f>
        <v>0</v>
      </c>
    </row>
    <row r="2325" spans="1:7">
      <c r="A2325" s="1">
        <v>2683</v>
      </c>
      <c r="B2325" s="1" t="s">
        <v>3661</v>
      </c>
      <c r="C2325" s="1" t="s">
        <v>119</v>
      </c>
      <c r="D2325" s="1">
        <f>COUNTIFS('Raw Entries'!B:B,Table4[[#This Row],[Name]],'Raw Entries'!I:I,Table4[[#This Row],[BOOK No.]])</f>
        <v>0</v>
      </c>
      <c r="E2325" s="1">
        <f t="array" ref="E2325">IF(OR(Table4[[#This Row],[INSTALLMENT]]=1,Table4[[#This Row],[INSTALLMENT]]=2,Table4[[#This Row],[INSTALLMENT]]=3),1,0)</f>
        <v>0</v>
      </c>
      <c r="F2325" s="1">
        <f>IF(OR(Table4[[#This Row],[INSTALLMENT]]=2,Table4[[#This Row],[INSTALLMENT]]=3),2,0)</f>
        <v>0</v>
      </c>
      <c r="G2325" s="1">
        <f>IF(OR(Table4[[#This Row],[INSTALLMENT]]=3),3,0)</f>
        <v>0</v>
      </c>
    </row>
    <row r="2326" spans="1:7">
      <c r="A2326" s="1">
        <v>2684</v>
      </c>
      <c r="B2326" s="1" t="s">
        <v>130</v>
      </c>
      <c r="C2326" s="1" t="s">
        <v>128</v>
      </c>
      <c r="D2326" s="1">
        <f>COUNTIFS('Raw Entries'!B:B,Table4[[#This Row],[Name]],'Raw Entries'!I:I,Table4[[#This Row],[BOOK No.]])</f>
        <v>3</v>
      </c>
      <c r="E2326" s="1">
        <f t="array" ref="E2326">IF(OR(Table4[[#This Row],[INSTALLMENT]]=1,Table4[[#This Row],[INSTALLMENT]]=2,Table4[[#This Row],[INSTALLMENT]]=3),1,0)</f>
        <v>1</v>
      </c>
      <c r="F2326" s="1">
        <f>IF(OR(Table4[[#This Row],[INSTALLMENT]]=2,Table4[[#This Row],[INSTALLMENT]]=3),2,0)</f>
        <v>2</v>
      </c>
      <c r="G2326" s="1">
        <f>IF(OR(Table4[[#This Row],[INSTALLMENT]]=3),3,0)</f>
        <v>3</v>
      </c>
    </row>
    <row r="2327" spans="1:7">
      <c r="A2327" s="1">
        <v>2685</v>
      </c>
      <c r="B2327" s="1" t="s">
        <v>3662</v>
      </c>
      <c r="C2327" s="1" t="s">
        <v>128</v>
      </c>
      <c r="D2327" s="1">
        <f>COUNTIFS('Raw Entries'!B:B,Table4[[#This Row],[Name]],'Raw Entries'!I:I,Table4[[#This Row],[BOOK No.]])</f>
        <v>0</v>
      </c>
      <c r="E2327" s="1">
        <f t="array" ref="E2327">IF(OR(Table4[[#This Row],[INSTALLMENT]]=1,Table4[[#This Row],[INSTALLMENT]]=2,Table4[[#This Row],[INSTALLMENT]]=3),1,0)</f>
        <v>0</v>
      </c>
      <c r="F2327" s="1">
        <f>IF(OR(Table4[[#This Row],[INSTALLMENT]]=2,Table4[[#This Row],[INSTALLMENT]]=3),2,0)</f>
        <v>0</v>
      </c>
      <c r="G2327" s="1">
        <f>IF(OR(Table4[[#This Row],[INSTALLMENT]]=3),3,0)</f>
        <v>0</v>
      </c>
    </row>
    <row r="2328" spans="1:7">
      <c r="A2328" s="1">
        <v>2686</v>
      </c>
      <c r="B2328" s="1" t="s">
        <v>3663</v>
      </c>
      <c r="C2328" s="1" t="s">
        <v>128</v>
      </c>
      <c r="D2328" s="1">
        <f>COUNTIFS('Raw Entries'!B:B,Table4[[#This Row],[Name]],'Raw Entries'!I:I,Table4[[#This Row],[BOOK No.]])</f>
        <v>0</v>
      </c>
      <c r="E2328" s="1">
        <f t="array" ref="E2328">IF(OR(Table4[[#This Row],[INSTALLMENT]]=1,Table4[[#This Row],[INSTALLMENT]]=2,Table4[[#This Row],[INSTALLMENT]]=3),1,0)</f>
        <v>0</v>
      </c>
      <c r="F2328" s="1">
        <f>IF(OR(Table4[[#This Row],[INSTALLMENT]]=2,Table4[[#This Row],[INSTALLMENT]]=3),2,0)</f>
        <v>0</v>
      </c>
      <c r="G2328" s="1">
        <f>IF(OR(Table4[[#This Row],[INSTALLMENT]]=3),3,0)</f>
        <v>0</v>
      </c>
    </row>
    <row r="2329" spans="1:7">
      <c r="A2329" s="1">
        <v>2687</v>
      </c>
      <c r="B2329" s="1" t="s">
        <v>3664</v>
      </c>
      <c r="C2329" s="1" t="s">
        <v>128</v>
      </c>
      <c r="D2329" s="1">
        <f>COUNTIFS('Raw Entries'!B:B,Table4[[#This Row],[Name]],'Raw Entries'!I:I,Table4[[#This Row],[BOOK No.]])</f>
        <v>0</v>
      </c>
      <c r="E2329" s="1">
        <f t="array" ref="E2329">IF(OR(Table4[[#This Row],[INSTALLMENT]]=1,Table4[[#This Row],[INSTALLMENT]]=2,Table4[[#This Row],[INSTALLMENT]]=3),1,0)</f>
        <v>0</v>
      </c>
      <c r="F2329" s="1">
        <f>IF(OR(Table4[[#This Row],[INSTALLMENT]]=2,Table4[[#This Row],[INSTALLMENT]]=3),2,0)</f>
        <v>0</v>
      </c>
      <c r="G2329" s="1">
        <f>IF(OR(Table4[[#This Row],[INSTALLMENT]]=3),3,0)</f>
        <v>0</v>
      </c>
    </row>
    <row r="2330" spans="1:7">
      <c r="A2330" s="1">
        <v>2688</v>
      </c>
      <c r="B2330" s="1" t="s">
        <v>3665</v>
      </c>
      <c r="C2330" s="1" t="s">
        <v>128</v>
      </c>
      <c r="D2330" s="1">
        <f>COUNTIFS('Raw Entries'!B:B,Table4[[#This Row],[Name]],'Raw Entries'!I:I,Table4[[#This Row],[BOOK No.]])</f>
        <v>0</v>
      </c>
      <c r="E2330" s="1">
        <f t="array" ref="E2330">IF(OR(Table4[[#This Row],[INSTALLMENT]]=1,Table4[[#This Row],[INSTALLMENT]]=2,Table4[[#This Row],[INSTALLMENT]]=3),1,0)</f>
        <v>0</v>
      </c>
      <c r="F2330" s="1">
        <f>IF(OR(Table4[[#This Row],[INSTALLMENT]]=2,Table4[[#This Row],[INSTALLMENT]]=3),2,0)</f>
        <v>0</v>
      </c>
      <c r="G2330" s="1">
        <f>IF(OR(Table4[[#This Row],[INSTALLMENT]]=3),3,0)</f>
        <v>0</v>
      </c>
    </row>
    <row r="2331" spans="1:7">
      <c r="A2331" s="1">
        <v>2689</v>
      </c>
      <c r="B2331" s="1" t="s">
        <v>3666</v>
      </c>
      <c r="C2331" s="1" t="s">
        <v>138</v>
      </c>
      <c r="D2331" s="1">
        <f>COUNTIFS('Raw Entries'!B:B,Table4[[#This Row],[Name]],'Raw Entries'!I:I,Table4[[#This Row],[BOOK No.]])</f>
        <v>0</v>
      </c>
      <c r="E2331" s="1">
        <f t="array" ref="E2331">IF(OR(Table4[[#This Row],[INSTALLMENT]]=1,Table4[[#This Row],[INSTALLMENT]]=2,Table4[[#This Row],[INSTALLMENT]]=3),1,0)</f>
        <v>0</v>
      </c>
      <c r="F2331" s="1">
        <f>IF(OR(Table4[[#This Row],[INSTALLMENT]]=2,Table4[[#This Row],[INSTALLMENT]]=3),2,0)</f>
        <v>0</v>
      </c>
      <c r="G2331" s="1">
        <f>IF(OR(Table4[[#This Row],[INSTALLMENT]]=3),3,0)</f>
        <v>0</v>
      </c>
    </row>
    <row r="2332" spans="1:7">
      <c r="A2332" s="1">
        <v>2690</v>
      </c>
      <c r="B2332" s="1" t="s">
        <v>3667</v>
      </c>
      <c r="C2332" s="1" t="s">
        <v>138</v>
      </c>
      <c r="D2332" s="1">
        <f>COUNTIFS('Raw Entries'!B:B,Table4[[#This Row],[Name]],'Raw Entries'!I:I,Table4[[#This Row],[BOOK No.]])</f>
        <v>0</v>
      </c>
      <c r="E2332" s="1">
        <f t="array" ref="E2332">IF(OR(Table4[[#This Row],[INSTALLMENT]]=1,Table4[[#This Row],[INSTALLMENT]]=2,Table4[[#This Row],[INSTALLMENT]]=3),1,0)</f>
        <v>0</v>
      </c>
      <c r="F2332" s="1">
        <f>IF(OR(Table4[[#This Row],[INSTALLMENT]]=2,Table4[[#This Row],[INSTALLMENT]]=3),2,0)</f>
        <v>0</v>
      </c>
      <c r="G2332" s="1">
        <f>IF(OR(Table4[[#This Row],[INSTALLMENT]]=3),3,0)</f>
        <v>0</v>
      </c>
    </row>
    <row r="2333" spans="1:7">
      <c r="A2333" s="1">
        <v>2691</v>
      </c>
      <c r="B2333" s="1" t="s">
        <v>3668</v>
      </c>
      <c r="C2333" s="1" t="s">
        <v>149</v>
      </c>
      <c r="D2333" s="1">
        <f>COUNTIFS('Raw Entries'!B:B,Table4[[#This Row],[Name]],'Raw Entries'!I:I,Table4[[#This Row],[BOOK No.]])</f>
        <v>0</v>
      </c>
      <c r="E2333" s="1">
        <f t="array" ref="E2333">IF(OR(Table4[[#This Row],[INSTALLMENT]]=1,Table4[[#This Row],[INSTALLMENT]]=2,Table4[[#This Row],[INSTALLMENT]]=3),1,0)</f>
        <v>0</v>
      </c>
      <c r="F2333" s="1">
        <f>IF(OR(Table4[[#This Row],[INSTALLMENT]]=2,Table4[[#This Row],[INSTALLMENT]]=3),2,0)</f>
        <v>0</v>
      </c>
      <c r="G2333" s="1">
        <f>IF(OR(Table4[[#This Row],[INSTALLMENT]]=3),3,0)</f>
        <v>0</v>
      </c>
    </row>
    <row r="2334" spans="1:7">
      <c r="A2334" s="1">
        <v>2692</v>
      </c>
      <c r="B2334" s="1" t="s">
        <v>3669</v>
      </c>
      <c r="C2334" s="1" t="s">
        <v>149</v>
      </c>
      <c r="D2334" s="1">
        <f>COUNTIFS('Raw Entries'!B:B,Table4[[#This Row],[Name]],'Raw Entries'!I:I,Table4[[#This Row],[BOOK No.]])</f>
        <v>0</v>
      </c>
      <c r="E2334" s="1">
        <f t="array" ref="E2334">IF(OR(Table4[[#This Row],[INSTALLMENT]]=1,Table4[[#This Row],[INSTALLMENT]]=2,Table4[[#This Row],[INSTALLMENT]]=3),1,0)</f>
        <v>0</v>
      </c>
      <c r="F2334" s="1">
        <f>IF(OR(Table4[[#This Row],[INSTALLMENT]]=2,Table4[[#This Row],[INSTALLMENT]]=3),2,0)</f>
        <v>0</v>
      </c>
      <c r="G2334" s="1">
        <f>IF(OR(Table4[[#This Row],[INSTALLMENT]]=3),3,0)</f>
        <v>0</v>
      </c>
    </row>
    <row r="2335" spans="1:7">
      <c r="A2335" s="1">
        <v>2693</v>
      </c>
      <c r="B2335" s="1" t="s">
        <v>3670</v>
      </c>
      <c r="C2335" s="1" t="s">
        <v>149</v>
      </c>
      <c r="D2335" s="1">
        <f>COUNTIFS('Raw Entries'!B:B,Table4[[#This Row],[Name]],'Raw Entries'!I:I,Table4[[#This Row],[BOOK No.]])</f>
        <v>0</v>
      </c>
      <c r="E2335" s="1">
        <f t="array" ref="E2335">IF(OR(Table4[[#This Row],[INSTALLMENT]]=1,Table4[[#This Row],[INSTALLMENT]]=2,Table4[[#This Row],[INSTALLMENT]]=3),1,0)</f>
        <v>0</v>
      </c>
      <c r="F2335" s="1">
        <f>IF(OR(Table4[[#This Row],[INSTALLMENT]]=2,Table4[[#This Row],[INSTALLMENT]]=3),2,0)</f>
        <v>0</v>
      </c>
      <c r="G2335" s="1">
        <f>IF(OR(Table4[[#This Row],[INSTALLMENT]]=3),3,0)</f>
        <v>0</v>
      </c>
    </row>
    <row r="2336" spans="1:7">
      <c r="A2336" s="1">
        <v>2694</v>
      </c>
      <c r="B2336" s="1" t="s">
        <v>3671</v>
      </c>
      <c r="C2336" s="1" t="s">
        <v>149</v>
      </c>
      <c r="D2336" s="1">
        <f>COUNTIFS('Raw Entries'!B:B,Table4[[#This Row],[Name]],'Raw Entries'!I:I,Table4[[#This Row],[BOOK No.]])</f>
        <v>0</v>
      </c>
      <c r="E2336" s="1">
        <f t="array" ref="E2336">IF(OR(Table4[[#This Row],[INSTALLMENT]]=1,Table4[[#This Row],[INSTALLMENT]]=2,Table4[[#This Row],[INSTALLMENT]]=3),1,0)</f>
        <v>0</v>
      </c>
      <c r="F2336" s="1">
        <f>IF(OR(Table4[[#This Row],[INSTALLMENT]]=2,Table4[[#This Row],[INSTALLMENT]]=3),2,0)</f>
        <v>0</v>
      </c>
      <c r="G2336" s="1">
        <f>IF(OR(Table4[[#This Row],[INSTALLMENT]]=3),3,0)</f>
        <v>0</v>
      </c>
    </row>
    <row r="2337" spans="1:7">
      <c r="A2337" s="1">
        <v>2695</v>
      </c>
      <c r="B2337" s="1" t="s">
        <v>3672</v>
      </c>
      <c r="C2337" s="1" t="s">
        <v>149</v>
      </c>
      <c r="D2337" s="1">
        <f>COUNTIFS('Raw Entries'!B:B,Table4[[#This Row],[Name]],'Raw Entries'!I:I,Table4[[#This Row],[BOOK No.]])</f>
        <v>0</v>
      </c>
      <c r="E2337" s="1">
        <f t="array" ref="E2337">IF(OR(Table4[[#This Row],[INSTALLMENT]]=1,Table4[[#This Row],[INSTALLMENT]]=2,Table4[[#This Row],[INSTALLMENT]]=3),1,0)</f>
        <v>0</v>
      </c>
      <c r="F2337" s="1">
        <f>IF(OR(Table4[[#This Row],[INSTALLMENT]]=2,Table4[[#This Row],[INSTALLMENT]]=3),2,0)</f>
        <v>0</v>
      </c>
      <c r="G2337" s="1">
        <f>IF(OR(Table4[[#This Row],[INSTALLMENT]]=3),3,0)</f>
        <v>0</v>
      </c>
    </row>
    <row r="2338" spans="1:7">
      <c r="A2338" s="1">
        <v>2696</v>
      </c>
      <c r="B2338" s="1" t="s">
        <v>3673</v>
      </c>
      <c r="C2338" s="1" t="s">
        <v>149</v>
      </c>
      <c r="D2338" s="1">
        <f>COUNTIFS('Raw Entries'!B:B,Table4[[#This Row],[Name]],'Raw Entries'!I:I,Table4[[#This Row],[BOOK No.]])</f>
        <v>0</v>
      </c>
      <c r="E2338" s="1">
        <f t="array" ref="E2338">IF(OR(Table4[[#This Row],[INSTALLMENT]]=1,Table4[[#This Row],[INSTALLMENT]]=2,Table4[[#This Row],[INSTALLMENT]]=3),1,0)</f>
        <v>0</v>
      </c>
      <c r="F2338" s="1">
        <f>IF(OR(Table4[[#This Row],[INSTALLMENT]]=2,Table4[[#This Row],[INSTALLMENT]]=3),2,0)</f>
        <v>0</v>
      </c>
      <c r="G2338" s="1">
        <f>IF(OR(Table4[[#This Row],[INSTALLMENT]]=3),3,0)</f>
        <v>0</v>
      </c>
    </row>
    <row r="2339" spans="1:7">
      <c r="A2339" s="1">
        <v>2697</v>
      </c>
      <c r="B2339" s="1" t="s">
        <v>3674</v>
      </c>
      <c r="C2339" s="1" t="s">
        <v>149</v>
      </c>
      <c r="D2339" s="1">
        <f>COUNTIFS('Raw Entries'!B:B,Table4[[#This Row],[Name]],'Raw Entries'!I:I,Table4[[#This Row],[BOOK No.]])</f>
        <v>0</v>
      </c>
      <c r="E2339" s="1">
        <f t="array" ref="E2339">IF(OR(Table4[[#This Row],[INSTALLMENT]]=1,Table4[[#This Row],[INSTALLMENT]]=2,Table4[[#This Row],[INSTALLMENT]]=3),1,0)</f>
        <v>0</v>
      </c>
      <c r="F2339" s="1">
        <f>IF(OR(Table4[[#This Row],[INSTALLMENT]]=2,Table4[[#This Row],[INSTALLMENT]]=3),2,0)</f>
        <v>0</v>
      </c>
      <c r="G2339" s="1">
        <f>IF(OR(Table4[[#This Row],[INSTALLMENT]]=3),3,0)</f>
        <v>0</v>
      </c>
    </row>
    <row r="2340" spans="1:7">
      <c r="A2340" s="1">
        <v>2698</v>
      </c>
      <c r="B2340" s="1" t="s">
        <v>3675</v>
      </c>
      <c r="C2340" s="1" t="s">
        <v>149</v>
      </c>
      <c r="D2340" s="1">
        <f>COUNTIFS('Raw Entries'!B:B,Table4[[#This Row],[Name]],'Raw Entries'!I:I,Table4[[#This Row],[BOOK No.]])</f>
        <v>0</v>
      </c>
      <c r="E2340" s="1">
        <f t="array" ref="E2340">IF(OR(Table4[[#This Row],[INSTALLMENT]]=1,Table4[[#This Row],[INSTALLMENT]]=2,Table4[[#This Row],[INSTALLMENT]]=3),1,0)</f>
        <v>0</v>
      </c>
      <c r="F2340" s="1">
        <f>IF(OR(Table4[[#This Row],[INSTALLMENT]]=2,Table4[[#This Row],[INSTALLMENT]]=3),2,0)</f>
        <v>0</v>
      </c>
      <c r="G2340" s="1">
        <f>IF(OR(Table4[[#This Row],[INSTALLMENT]]=3),3,0)</f>
        <v>0</v>
      </c>
    </row>
    <row r="2341" spans="1:7">
      <c r="A2341" s="1">
        <v>2699</v>
      </c>
      <c r="B2341" s="1" t="s">
        <v>3676</v>
      </c>
      <c r="C2341" s="1" t="s">
        <v>149</v>
      </c>
      <c r="D2341" s="1">
        <f>COUNTIFS('Raw Entries'!B:B,Table4[[#This Row],[Name]],'Raw Entries'!I:I,Table4[[#This Row],[BOOK No.]])</f>
        <v>0</v>
      </c>
      <c r="E2341" s="1">
        <f t="array" ref="E2341">IF(OR(Table4[[#This Row],[INSTALLMENT]]=1,Table4[[#This Row],[INSTALLMENT]]=2,Table4[[#This Row],[INSTALLMENT]]=3),1,0)</f>
        <v>0</v>
      </c>
      <c r="F2341" s="1">
        <f>IF(OR(Table4[[#This Row],[INSTALLMENT]]=2,Table4[[#This Row],[INSTALLMENT]]=3),2,0)</f>
        <v>0</v>
      </c>
      <c r="G2341" s="1">
        <f>IF(OR(Table4[[#This Row],[INSTALLMENT]]=3),3,0)</f>
        <v>0</v>
      </c>
    </row>
    <row r="2342" spans="1:7">
      <c r="A2342" s="1">
        <v>2700</v>
      </c>
      <c r="B2342" s="1" t="s">
        <v>3677</v>
      </c>
      <c r="C2342" s="1" t="s">
        <v>149</v>
      </c>
      <c r="D2342" s="1">
        <f>COUNTIFS('Raw Entries'!B:B,Table4[[#This Row],[Name]],'Raw Entries'!I:I,Table4[[#This Row],[BOOK No.]])</f>
        <v>0</v>
      </c>
      <c r="E2342" s="1">
        <f t="array" ref="E2342">IF(OR(Table4[[#This Row],[INSTALLMENT]]=1,Table4[[#This Row],[INSTALLMENT]]=2,Table4[[#This Row],[INSTALLMENT]]=3),1,0)</f>
        <v>0</v>
      </c>
      <c r="F2342" s="1">
        <f>IF(OR(Table4[[#This Row],[INSTALLMENT]]=2,Table4[[#This Row],[INSTALLMENT]]=3),2,0)</f>
        <v>0</v>
      </c>
      <c r="G2342" s="1">
        <f>IF(OR(Table4[[#This Row],[INSTALLMENT]]=3),3,0)</f>
        <v>0</v>
      </c>
    </row>
    <row r="2343" spans="1:7">
      <c r="A2343" s="1">
        <v>2701</v>
      </c>
      <c r="B2343" s="1" t="s">
        <v>3678</v>
      </c>
      <c r="C2343" s="1" t="s">
        <v>149</v>
      </c>
      <c r="D2343" s="1">
        <f>COUNTIFS('Raw Entries'!B:B,Table4[[#This Row],[Name]],'Raw Entries'!I:I,Table4[[#This Row],[BOOK No.]])</f>
        <v>0</v>
      </c>
      <c r="E2343" s="1">
        <f t="array" ref="E2343">IF(OR(Table4[[#This Row],[INSTALLMENT]]=1,Table4[[#This Row],[INSTALLMENT]]=2,Table4[[#This Row],[INSTALLMENT]]=3),1,0)</f>
        <v>0</v>
      </c>
      <c r="F2343" s="1">
        <f>IF(OR(Table4[[#This Row],[INSTALLMENT]]=2,Table4[[#This Row],[INSTALLMENT]]=3),2,0)</f>
        <v>0</v>
      </c>
      <c r="G2343" s="1">
        <f>IF(OR(Table4[[#This Row],[INSTALLMENT]]=3),3,0)</f>
        <v>0</v>
      </c>
    </row>
    <row r="2344" spans="1:7">
      <c r="A2344" s="1">
        <v>2702</v>
      </c>
      <c r="B2344" s="1" t="s">
        <v>3679</v>
      </c>
      <c r="C2344" s="1" t="s">
        <v>149</v>
      </c>
      <c r="D2344" s="1">
        <f>COUNTIFS('Raw Entries'!B:B,Table4[[#This Row],[Name]],'Raw Entries'!I:I,Table4[[#This Row],[BOOK No.]])</f>
        <v>0</v>
      </c>
      <c r="E2344" s="1">
        <f t="array" ref="E2344">IF(OR(Table4[[#This Row],[INSTALLMENT]]=1,Table4[[#This Row],[INSTALLMENT]]=2,Table4[[#This Row],[INSTALLMENT]]=3),1,0)</f>
        <v>0</v>
      </c>
      <c r="F2344" s="1">
        <f>IF(OR(Table4[[#This Row],[INSTALLMENT]]=2,Table4[[#This Row],[INSTALLMENT]]=3),2,0)</f>
        <v>0</v>
      </c>
      <c r="G2344" s="1">
        <f>IF(OR(Table4[[#This Row],[INSTALLMENT]]=3),3,0)</f>
        <v>0</v>
      </c>
    </row>
    <row r="2345" spans="1:7">
      <c r="A2345" s="1">
        <v>2703</v>
      </c>
      <c r="B2345" s="1" t="s">
        <v>3680</v>
      </c>
      <c r="C2345" s="1" t="s">
        <v>149</v>
      </c>
      <c r="D2345" s="1">
        <f>COUNTIFS('Raw Entries'!B:B,Table4[[#This Row],[Name]],'Raw Entries'!I:I,Table4[[#This Row],[BOOK No.]])</f>
        <v>0</v>
      </c>
      <c r="E2345" s="1">
        <f t="array" ref="E2345">IF(OR(Table4[[#This Row],[INSTALLMENT]]=1,Table4[[#This Row],[INSTALLMENT]]=2,Table4[[#This Row],[INSTALLMENT]]=3),1,0)</f>
        <v>0</v>
      </c>
      <c r="F2345" s="1">
        <f>IF(OR(Table4[[#This Row],[INSTALLMENT]]=2,Table4[[#This Row],[INSTALLMENT]]=3),2,0)</f>
        <v>0</v>
      </c>
      <c r="G2345" s="1">
        <f>IF(OR(Table4[[#This Row],[INSTALLMENT]]=3),3,0)</f>
        <v>0</v>
      </c>
    </row>
    <row r="2346" spans="1:7">
      <c r="A2346" s="1">
        <v>2704</v>
      </c>
      <c r="B2346" s="1" t="s">
        <v>3681</v>
      </c>
      <c r="C2346" s="1" t="s">
        <v>171</v>
      </c>
      <c r="D2346" s="1">
        <f>COUNTIFS('Raw Entries'!B:B,Table4[[#This Row],[Name]],'Raw Entries'!I:I,Table4[[#This Row],[BOOK No.]])</f>
        <v>0</v>
      </c>
      <c r="E2346" s="1">
        <f t="array" ref="E2346">IF(OR(Table4[[#This Row],[INSTALLMENT]]=1,Table4[[#This Row],[INSTALLMENT]]=2,Table4[[#This Row],[INSTALLMENT]]=3),1,0)</f>
        <v>0</v>
      </c>
      <c r="F2346" s="1">
        <f>IF(OR(Table4[[#This Row],[INSTALLMENT]]=2,Table4[[#This Row],[INSTALLMENT]]=3),2,0)</f>
        <v>0</v>
      </c>
      <c r="G2346" s="1">
        <f>IF(OR(Table4[[#This Row],[INSTALLMENT]]=3),3,0)</f>
        <v>0</v>
      </c>
    </row>
    <row r="2347" spans="1:7">
      <c r="A2347" s="1">
        <v>2705</v>
      </c>
      <c r="B2347" s="1" t="s">
        <v>3682</v>
      </c>
      <c r="C2347" s="1" t="s">
        <v>171</v>
      </c>
      <c r="D2347" s="1">
        <f>COUNTIFS('Raw Entries'!B:B,Table4[[#This Row],[Name]],'Raw Entries'!I:I,Table4[[#This Row],[BOOK No.]])</f>
        <v>0</v>
      </c>
      <c r="E2347" s="1">
        <f t="array" ref="E2347">IF(OR(Table4[[#This Row],[INSTALLMENT]]=1,Table4[[#This Row],[INSTALLMENT]]=2,Table4[[#This Row],[INSTALLMENT]]=3),1,0)</f>
        <v>0</v>
      </c>
      <c r="F2347" s="1">
        <f>IF(OR(Table4[[#This Row],[INSTALLMENT]]=2,Table4[[#This Row],[INSTALLMENT]]=3),2,0)</f>
        <v>0</v>
      </c>
      <c r="G2347" s="1">
        <f>IF(OR(Table4[[#This Row],[INSTALLMENT]]=3),3,0)</f>
        <v>0</v>
      </c>
    </row>
    <row r="2348" spans="1:7">
      <c r="A2348" s="1">
        <v>2706</v>
      </c>
      <c r="B2348" s="1" t="s">
        <v>1899</v>
      </c>
      <c r="C2348" s="1" t="s">
        <v>171</v>
      </c>
      <c r="D2348" s="1">
        <f>COUNTIFS('Raw Entries'!B:B,Table4[[#This Row],[Name]],'Raw Entries'!I:I,Table4[[#This Row],[BOOK No.]])</f>
        <v>1</v>
      </c>
      <c r="E2348" s="1">
        <f t="array" ref="E2348">IF(OR(Table4[[#This Row],[INSTALLMENT]]=1,Table4[[#This Row],[INSTALLMENT]]=2,Table4[[#This Row],[INSTALLMENT]]=3),1,0)</f>
        <v>1</v>
      </c>
      <c r="F2348" s="1">
        <f>IF(OR(Table4[[#This Row],[INSTALLMENT]]=2,Table4[[#This Row],[INSTALLMENT]]=3),2,0)</f>
        <v>0</v>
      </c>
      <c r="G2348" s="1">
        <f>IF(OR(Table4[[#This Row],[INSTALLMENT]]=3),3,0)</f>
        <v>0</v>
      </c>
    </row>
    <row r="2349" spans="1:7">
      <c r="A2349" s="1">
        <v>2707</v>
      </c>
      <c r="B2349" s="1" t="s">
        <v>3683</v>
      </c>
      <c r="C2349" s="1" t="s">
        <v>171</v>
      </c>
      <c r="D2349" s="1">
        <f>COUNTIFS('Raw Entries'!B:B,Table4[[#This Row],[Name]],'Raw Entries'!I:I,Table4[[#This Row],[BOOK No.]])</f>
        <v>0</v>
      </c>
      <c r="E2349" s="1">
        <f t="array" ref="E2349">IF(OR(Table4[[#This Row],[INSTALLMENT]]=1,Table4[[#This Row],[INSTALLMENT]]=2,Table4[[#This Row],[INSTALLMENT]]=3),1,0)</f>
        <v>0</v>
      </c>
      <c r="F2349" s="1">
        <f>IF(OR(Table4[[#This Row],[INSTALLMENT]]=2,Table4[[#This Row],[INSTALLMENT]]=3),2,0)</f>
        <v>0</v>
      </c>
      <c r="G2349" s="1">
        <f>IF(OR(Table4[[#This Row],[INSTALLMENT]]=3),3,0)</f>
        <v>0</v>
      </c>
    </row>
    <row r="2350" spans="1:7">
      <c r="A2350" s="1">
        <v>2708</v>
      </c>
      <c r="B2350" s="1" t="s">
        <v>3684</v>
      </c>
      <c r="C2350" s="1" t="s">
        <v>175</v>
      </c>
      <c r="D2350" s="1">
        <f>COUNTIFS('Raw Entries'!B:B,Table4[[#This Row],[Name]],'Raw Entries'!I:I,Table4[[#This Row],[BOOK No.]])</f>
        <v>0</v>
      </c>
      <c r="E2350" s="1">
        <f t="array" ref="E2350">IF(OR(Table4[[#This Row],[INSTALLMENT]]=1,Table4[[#This Row],[INSTALLMENT]]=2,Table4[[#This Row],[INSTALLMENT]]=3),1,0)</f>
        <v>0</v>
      </c>
      <c r="F2350" s="1">
        <f>IF(OR(Table4[[#This Row],[INSTALLMENT]]=2,Table4[[#This Row],[INSTALLMENT]]=3),2,0)</f>
        <v>0</v>
      </c>
      <c r="G2350" s="1">
        <f>IF(OR(Table4[[#This Row],[INSTALLMENT]]=3),3,0)</f>
        <v>0</v>
      </c>
    </row>
    <row r="2351" spans="1:7">
      <c r="A2351" s="1">
        <v>2709</v>
      </c>
      <c r="B2351" s="1" t="s">
        <v>3685</v>
      </c>
      <c r="C2351" s="1" t="s">
        <v>175</v>
      </c>
      <c r="D2351" s="1">
        <f>COUNTIFS('Raw Entries'!B:B,Table4[[#This Row],[Name]],'Raw Entries'!I:I,Table4[[#This Row],[BOOK No.]])</f>
        <v>0</v>
      </c>
      <c r="E2351" s="1">
        <f t="array" ref="E2351">IF(OR(Table4[[#This Row],[INSTALLMENT]]=1,Table4[[#This Row],[INSTALLMENT]]=2,Table4[[#This Row],[INSTALLMENT]]=3),1,0)</f>
        <v>0</v>
      </c>
      <c r="F2351" s="1">
        <f>IF(OR(Table4[[#This Row],[INSTALLMENT]]=2,Table4[[#This Row],[INSTALLMENT]]=3),2,0)</f>
        <v>0</v>
      </c>
      <c r="G2351" s="1">
        <f>IF(OR(Table4[[#This Row],[INSTALLMENT]]=3),3,0)</f>
        <v>0</v>
      </c>
    </row>
    <row r="2352" spans="1:7">
      <c r="A2352" s="1">
        <v>2710</v>
      </c>
      <c r="B2352" s="1" t="s">
        <v>3190</v>
      </c>
      <c r="C2352" s="1" t="s">
        <v>175</v>
      </c>
      <c r="D2352" s="1">
        <f>COUNTIFS('Raw Entries'!B:B,Table4[[#This Row],[Name]],'Raw Entries'!I:I,Table4[[#This Row],[BOOK No.]])</f>
        <v>0</v>
      </c>
      <c r="E2352" s="1">
        <f t="array" ref="E2352">IF(OR(Table4[[#This Row],[INSTALLMENT]]=1,Table4[[#This Row],[INSTALLMENT]]=2,Table4[[#This Row],[INSTALLMENT]]=3),1,0)</f>
        <v>0</v>
      </c>
      <c r="F2352" s="1">
        <f>IF(OR(Table4[[#This Row],[INSTALLMENT]]=2,Table4[[#This Row],[INSTALLMENT]]=3),2,0)</f>
        <v>0</v>
      </c>
      <c r="G2352" s="1">
        <f>IF(OR(Table4[[#This Row],[INSTALLMENT]]=3),3,0)</f>
        <v>0</v>
      </c>
    </row>
    <row r="2353" spans="1:7">
      <c r="A2353" s="1">
        <v>2711</v>
      </c>
      <c r="B2353" s="1" t="s">
        <v>187</v>
      </c>
      <c r="C2353" s="1" t="s">
        <v>185</v>
      </c>
      <c r="D2353" s="1">
        <f>COUNTIFS('Raw Entries'!B:B,Table4[[#This Row],[Name]],'Raw Entries'!I:I,Table4[[#This Row],[BOOK No.]])</f>
        <v>1</v>
      </c>
      <c r="E2353" s="1">
        <f t="array" ref="E2353">IF(OR(Table4[[#This Row],[INSTALLMENT]]=1,Table4[[#This Row],[INSTALLMENT]]=2,Table4[[#This Row],[INSTALLMENT]]=3),1,0)</f>
        <v>1</v>
      </c>
      <c r="F2353" s="1">
        <f>IF(OR(Table4[[#This Row],[INSTALLMENT]]=2,Table4[[#This Row],[INSTALLMENT]]=3),2,0)</f>
        <v>0</v>
      </c>
      <c r="G2353" s="1">
        <f>IF(OR(Table4[[#This Row],[INSTALLMENT]]=3),3,0)</f>
        <v>0</v>
      </c>
    </row>
    <row r="2354" spans="1:7">
      <c r="A2354" s="1">
        <v>2712</v>
      </c>
      <c r="B2354" s="1" t="s">
        <v>3686</v>
      </c>
      <c r="C2354" s="1" t="s">
        <v>185</v>
      </c>
      <c r="D2354" s="1">
        <f>COUNTIFS('Raw Entries'!B:B,Table4[[#This Row],[Name]],'Raw Entries'!I:I,Table4[[#This Row],[BOOK No.]])</f>
        <v>0</v>
      </c>
      <c r="E2354" s="1">
        <f t="array" ref="E2354">IF(OR(Table4[[#This Row],[INSTALLMENT]]=1,Table4[[#This Row],[INSTALLMENT]]=2,Table4[[#This Row],[INSTALLMENT]]=3),1,0)</f>
        <v>0</v>
      </c>
      <c r="F2354" s="1">
        <f>IF(OR(Table4[[#This Row],[INSTALLMENT]]=2,Table4[[#This Row],[INSTALLMENT]]=3),2,0)</f>
        <v>0</v>
      </c>
      <c r="G2354" s="1">
        <f>IF(OR(Table4[[#This Row],[INSTALLMENT]]=3),3,0)</f>
        <v>0</v>
      </c>
    </row>
    <row r="2355" spans="1:7">
      <c r="A2355" s="1">
        <v>2713</v>
      </c>
      <c r="B2355" s="1" t="s">
        <v>3687</v>
      </c>
      <c r="C2355" s="1" t="s">
        <v>185</v>
      </c>
      <c r="D2355" s="1">
        <f>COUNTIFS('Raw Entries'!B:B,Table4[[#This Row],[Name]],'Raw Entries'!I:I,Table4[[#This Row],[BOOK No.]])</f>
        <v>0</v>
      </c>
      <c r="E2355" s="1">
        <f t="array" ref="E2355">IF(OR(Table4[[#This Row],[INSTALLMENT]]=1,Table4[[#This Row],[INSTALLMENT]]=2,Table4[[#This Row],[INSTALLMENT]]=3),1,0)</f>
        <v>0</v>
      </c>
      <c r="F2355" s="1">
        <f>IF(OR(Table4[[#This Row],[INSTALLMENT]]=2,Table4[[#This Row],[INSTALLMENT]]=3),2,0)</f>
        <v>0</v>
      </c>
      <c r="G2355" s="1">
        <f>IF(OR(Table4[[#This Row],[INSTALLMENT]]=3),3,0)</f>
        <v>0</v>
      </c>
    </row>
    <row r="2356" spans="1:7">
      <c r="A2356" s="1">
        <v>2714</v>
      </c>
      <c r="B2356" s="1" t="s">
        <v>3688</v>
      </c>
      <c r="C2356" s="1" t="s">
        <v>195</v>
      </c>
      <c r="D2356" s="1">
        <f>COUNTIFS('Raw Entries'!B:B,Table4[[#This Row],[Name]],'Raw Entries'!I:I,Table4[[#This Row],[BOOK No.]])</f>
        <v>0</v>
      </c>
      <c r="E2356" s="1">
        <f t="array" ref="E2356">IF(OR(Table4[[#This Row],[INSTALLMENT]]=1,Table4[[#This Row],[INSTALLMENT]]=2,Table4[[#This Row],[INSTALLMENT]]=3),1,0)</f>
        <v>0</v>
      </c>
      <c r="F2356" s="1">
        <f>IF(OR(Table4[[#This Row],[INSTALLMENT]]=2,Table4[[#This Row],[INSTALLMENT]]=3),2,0)</f>
        <v>0</v>
      </c>
      <c r="G2356" s="1">
        <f>IF(OR(Table4[[#This Row],[INSTALLMENT]]=3),3,0)</f>
        <v>0</v>
      </c>
    </row>
    <row r="2357" spans="1:7">
      <c r="A2357" s="1">
        <v>2715</v>
      </c>
      <c r="B2357" s="1" t="s">
        <v>200</v>
      </c>
      <c r="C2357" s="1" t="s">
        <v>195</v>
      </c>
      <c r="D2357" s="1">
        <f>COUNTIFS('Raw Entries'!B:B,Table4[[#This Row],[Name]],'Raw Entries'!I:I,Table4[[#This Row],[BOOK No.]])</f>
        <v>1</v>
      </c>
      <c r="E2357" s="1">
        <f t="array" ref="E2357">IF(OR(Table4[[#This Row],[INSTALLMENT]]=1,Table4[[#This Row],[INSTALLMENT]]=2,Table4[[#This Row],[INSTALLMENT]]=3),1,0)</f>
        <v>1</v>
      </c>
      <c r="F2357" s="1">
        <f>IF(OR(Table4[[#This Row],[INSTALLMENT]]=2,Table4[[#This Row],[INSTALLMENT]]=3),2,0)</f>
        <v>0</v>
      </c>
      <c r="G2357" s="1">
        <f>IF(OR(Table4[[#This Row],[INSTALLMENT]]=3),3,0)</f>
        <v>0</v>
      </c>
    </row>
    <row r="2358" spans="1:7">
      <c r="A2358" s="1">
        <v>2716</v>
      </c>
      <c r="B2358" s="1" t="s">
        <v>3689</v>
      </c>
      <c r="C2358" s="1" t="s">
        <v>205</v>
      </c>
      <c r="D2358" s="1">
        <f>COUNTIFS('Raw Entries'!B:B,Table4[[#This Row],[Name]],'Raw Entries'!I:I,Table4[[#This Row],[BOOK No.]])</f>
        <v>0</v>
      </c>
      <c r="E2358" s="1">
        <f t="array" ref="E2358">IF(OR(Table4[[#This Row],[INSTALLMENT]]=1,Table4[[#This Row],[INSTALLMENT]]=2,Table4[[#This Row],[INSTALLMENT]]=3),1,0)</f>
        <v>0</v>
      </c>
      <c r="F2358" s="1">
        <f>IF(OR(Table4[[#This Row],[INSTALLMENT]]=2,Table4[[#This Row],[INSTALLMENT]]=3),2,0)</f>
        <v>0</v>
      </c>
      <c r="G2358" s="1">
        <f>IF(OR(Table4[[#This Row],[INSTALLMENT]]=3),3,0)</f>
        <v>0</v>
      </c>
    </row>
    <row r="2359" spans="1:7">
      <c r="A2359" s="1">
        <v>2717</v>
      </c>
      <c r="B2359" s="1" t="s">
        <v>3690</v>
      </c>
      <c r="C2359" s="1" t="s">
        <v>211</v>
      </c>
      <c r="D2359" s="1">
        <f>COUNTIFS('Raw Entries'!B:B,Table4[[#This Row],[Name]],'Raw Entries'!I:I,Table4[[#This Row],[BOOK No.]])</f>
        <v>0</v>
      </c>
      <c r="E2359" s="1">
        <f t="array" ref="E2359">IF(OR(Table4[[#This Row],[INSTALLMENT]]=1,Table4[[#This Row],[INSTALLMENT]]=2,Table4[[#This Row],[INSTALLMENT]]=3),1,0)</f>
        <v>0</v>
      </c>
      <c r="F2359" s="1">
        <f>IF(OR(Table4[[#This Row],[INSTALLMENT]]=2,Table4[[#This Row],[INSTALLMENT]]=3),2,0)</f>
        <v>0</v>
      </c>
      <c r="G2359" s="1">
        <f>IF(OR(Table4[[#This Row],[INSTALLMENT]]=3),3,0)</f>
        <v>0</v>
      </c>
    </row>
    <row r="2360" spans="1:7">
      <c r="A2360" s="1">
        <v>2718</v>
      </c>
      <c r="B2360" s="1" t="s">
        <v>223</v>
      </c>
      <c r="C2360" s="1" t="s">
        <v>221</v>
      </c>
      <c r="D2360" s="1">
        <f>COUNTIFS('Raw Entries'!B:B,Table4[[#This Row],[Name]],'Raw Entries'!I:I,Table4[[#This Row],[BOOK No.]])</f>
        <v>3</v>
      </c>
      <c r="E2360" s="1">
        <f t="array" ref="E2360">IF(OR(Table4[[#This Row],[INSTALLMENT]]=1,Table4[[#This Row],[INSTALLMENT]]=2,Table4[[#This Row],[INSTALLMENT]]=3),1,0)</f>
        <v>1</v>
      </c>
      <c r="F2360" s="1">
        <f>IF(OR(Table4[[#This Row],[INSTALLMENT]]=2,Table4[[#This Row],[INSTALLMENT]]=3),2,0)</f>
        <v>2</v>
      </c>
      <c r="G2360" s="1">
        <f>IF(OR(Table4[[#This Row],[INSTALLMENT]]=3),3,0)</f>
        <v>3</v>
      </c>
    </row>
    <row r="2361" spans="1:7">
      <c r="A2361" s="1">
        <v>2719</v>
      </c>
      <c r="B2361" s="1" t="s">
        <v>3691</v>
      </c>
      <c r="C2361" s="1" t="s">
        <v>221</v>
      </c>
      <c r="D2361" s="1">
        <f>COUNTIFS('Raw Entries'!B:B,Table4[[#This Row],[Name]],'Raw Entries'!I:I,Table4[[#This Row],[BOOK No.]])</f>
        <v>0</v>
      </c>
      <c r="E2361" s="1">
        <f t="array" ref="E2361">IF(OR(Table4[[#This Row],[INSTALLMENT]]=1,Table4[[#This Row],[INSTALLMENT]]=2,Table4[[#This Row],[INSTALLMENT]]=3),1,0)</f>
        <v>0</v>
      </c>
      <c r="F2361" s="1">
        <f>IF(OR(Table4[[#This Row],[INSTALLMENT]]=2,Table4[[#This Row],[INSTALLMENT]]=3),2,0)</f>
        <v>0</v>
      </c>
      <c r="G2361" s="1">
        <f>IF(OR(Table4[[#This Row],[INSTALLMENT]]=3),3,0)</f>
        <v>0</v>
      </c>
    </row>
    <row r="2362" spans="1:7">
      <c r="A2362" s="1">
        <v>2720</v>
      </c>
      <c r="B2362" s="1" t="s">
        <v>3692</v>
      </c>
      <c r="C2362" s="1" t="s">
        <v>221</v>
      </c>
      <c r="D2362" s="1">
        <f>COUNTIFS('Raw Entries'!B:B,Table4[[#This Row],[Name]],'Raw Entries'!I:I,Table4[[#This Row],[BOOK No.]])</f>
        <v>0</v>
      </c>
      <c r="E2362" s="1">
        <f t="array" ref="E2362">IF(OR(Table4[[#This Row],[INSTALLMENT]]=1,Table4[[#This Row],[INSTALLMENT]]=2,Table4[[#This Row],[INSTALLMENT]]=3),1,0)</f>
        <v>0</v>
      </c>
      <c r="F2362" s="1">
        <f>IF(OR(Table4[[#This Row],[INSTALLMENT]]=2,Table4[[#This Row],[INSTALLMENT]]=3),2,0)</f>
        <v>0</v>
      </c>
      <c r="G2362" s="1">
        <f>IF(OR(Table4[[#This Row],[INSTALLMENT]]=3),3,0)</f>
        <v>0</v>
      </c>
    </row>
    <row r="2363" spans="1:7">
      <c r="A2363" s="1">
        <v>2721</v>
      </c>
      <c r="B2363" s="1" t="s">
        <v>3693</v>
      </c>
      <c r="C2363" s="1" t="s">
        <v>221</v>
      </c>
      <c r="D2363" s="1">
        <f>COUNTIFS('Raw Entries'!B:B,Table4[[#This Row],[Name]],'Raw Entries'!I:I,Table4[[#This Row],[BOOK No.]])</f>
        <v>0</v>
      </c>
      <c r="E2363" s="1">
        <f t="array" ref="E2363">IF(OR(Table4[[#This Row],[INSTALLMENT]]=1,Table4[[#This Row],[INSTALLMENT]]=2,Table4[[#This Row],[INSTALLMENT]]=3),1,0)</f>
        <v>0</v>
      </c>
      <c r="F2363" s="1">
        <f>IF(OR(Table4[[#This Row],[INSTALLMENT]]=2,Table4[[#This Row],[INSTALLMENT]]=3),2,0)</f>
        <v>0</v>
      </c>
      <c r="G2363" s="1">
        <f>IF(OR(Table4[[#This Row],[INSTALLMENT]]=3),3,0)</f>
        <v>0</v>
      </c>
    </row>
    <row r="2364" spans="1:7">
      <c r="A2364" s="1">
        <v>2722</v>
      </c>
      <c r="B2364" s="1" t="s">
        <v>3694</v>
      </c>
      <c r="C2364" s="1" t="s">
        <v>221</v>
      </c>
      <c r="D2364" s="1">
        <f>COUNTIFS('Raw Entries'!B:B,Table4[[#This Row],[Name]],'Raw Entries'!I:I,Table4[[#This Row],[BOOK No.]])</f>
        <v>0</v>
      </c>
      <c r="E2364" s="1">
        <f t="array" ref="E2364">IF(OR(Table4[[#This Row],[INSTALLMENT]]=1,Table4[[#This Row],[INSTALLMENT]]=2,Table4[[#This Row],[INSTALLMENT]]=3),1,0)</f>
        <v>0</v>
      </c>
      <c r="F2364" s="1">
        <f>IF(OR(Table4[[#This Row],[INSTALLMENT]]=2,Table4[[#This Row],[INSTALLMENT]]=3),2,0)</f>
        <v>0</v>
      </c>
      <c r="G2364" s="1">
        <f>IF(OR(Table4[[#This Row],[INSTALLMENT]]=3),3,0)</f>
        <v>0</v>
      </c>
    </row>
    <row r="2365" spans="1:7">
      <c r="A2365" s="1">
        <v>2723</v>
      </c>
      <c r="B2365" s="1" t="s">
        <v>224</v>
      </c>
      <c r="C2365" s="1" t="s">
        <v>221</v>
      </c>
      <c r="D2365" s="1">
        <f>COUNTIFS('Raw Entries'!B:B,Table4[[#This Row],[Name]],'Raw Entries'!I:I,Table4[[#This Row],[BOOK No.]])</f>
        <v>1</v>
      </c>
      <c r="E2365" s="1">
        <f t="array" ref="E2365">IF(OR(Table4[[#This Row],[INSTALLMENT]]=1,Table4[[#This Row],[INSTALLMENT]]=2,Table4[[#This Row],[INSTALLMENT]]=3),1,0)</f>
        <v>1</v>
      </c>
      <c r="F2365" s="1">
        <f>IF(OR(Table4[[#This Row],[INSTALLMENT]]=2,Table4[[#This Row],[INSTALLMENT]]=3),2,0)</f>
        <v>0</v>
      </c>
      <c r="G2365" s="1">
        <f>IF(OR(Table4[[#This Row],[INSTALLMENT]]=3),3,0)</f>
        <v>0</v>
      </c>
    </row>
    <row r="2366" spans="1:7">
      <c r="A2366" s="1">
        <v>2724</v>
      </c>
      <c r="B2366" s="1" t="s">
        <v>3695</v>
      </c>
      <c r="C2366" s="1" t="s">
        <v>221</v>
      </c>
      <c r="D2366" s="1">
        <f>COUNTIFS('Raw Entries'!B:B,Table4[[#This Row],[Name]],'Raw Entries'!I:I,Table4[[#This Row],[BOOK No.]])</f>
        <v>0</v>
      </c>
      <c r="E2366" s="1">
        <f t="array" ref="E2366">IF(OR(Table4[[#This Row],[INSTALLMENT]]=1,Table4[[#This Row],[INSTALLMENT]]=2,Table4[[#This Row],[INSTALLMENT]]=3),1,0)</f>
        <v>0</v>
      </c>
      <c r="F2366" s="1">
        <f>IF(OR(Table4[[#This Row],[INSTALLMENT]]=2,Table4[[#This Row],[INSTALLMENT]]=3),2,0)</f>
        <v>0</v>
      </c>
      <c r="G2366" s="1">
        <f>IF(OR(Table4[[#This Row],[INSTALLMENT]]=3),3,0)</f>
        <v>0</v>
      </c>
    </row>
    <row r="2367" spans="1:7">
      <c r="A2367" s="1">
        <v>2725</v>
      </c>
      <c r="B2367" s="1" t="s">
        <v>3696</v>
      </c>
      <c r="C2367" s="1" t="s">
        <v>221</v>
      </c>
      <c r="D2367" s="1">
        <f>COUNTIFS('Raw Entries'!B:B,Table4[[#This Row],[Name]],'Raw Entries'!I:I,Table4[[#This Row],[BOOK No.]])</f>
        <v>0</v>
      </c>
      <c r="E2367" s="1">
        <f t="array" ref="E2367">IF(OR(Table4[[#This Row],[INSTALLMENT]]=1,Table4[[#This Row],[INSTALLMENT]]=2,Table4[[#This Row],[INSTALLMENT]]=3),1,0)</f>
        <v>0</v>
      </c>
      <c r="F2367" s="1">
        <f>IF(OR(Table4[[#This Row],[INSTALLMENT]]=2,Table4[[#This Row],[INSTALLMENT]]=3),2,0)</f>
        <v>0</v>
      </c>
      <c r="G2367" s="1">
        <f>IF(OR(Table4[[#This Row],[INSTALLMENT]]=3),3,0)</f>
        <v>0</v>
      </c>
    </row>
    <row r="2368" spans="1:7">
      <c r="A2368" s="1">
        <v>2726</v>
      </c>
      <c r="B2368" s="1" t="s">
        <v>3697</v>
      </c>
      <c r="C2368" s="1" t="s">
        <v>221</v>
      </c>
      <c r="D2368" s="1">
        <f>COUNTIFS('Raw Entries'!B:B,Table4[[#This Row],[Name]],'Raw Entries'!I:I,Table4[[#This Row],[BOOK No.]])</f>
        <v>0</v>
      </c>
      <c r="E2368" s="1">
        <f t="array" ref="E2368">IF(OR(Table4[[#This Row],[INSTALLMENT]]=1,Table4[[#This Row],[INSTALLMENT]]=2,Table4[[#This Row],[INSTALLMENT]]=3),1,0)</f>
        <v>0</v>
      </c>
      <c r="F2368" s="1">
        <f>IF(OR(Table4[[#This Row],[INSTALLMENT]]=2,Table4[[#This Row],[INSTALLMENT]]=3),2,0)</f>
        <v>0</v>
      </c>
      <c r="G2368" s="1">
        <f>IF(OR(Table4[[#This Row],[INSTALLMENT]]=3),3,0)</f>
        <v>0</v>
      </c>
    </row>
    <row r="2369" spans="1:7">
      <c r="A2369" s="1">
        <v>2727</v>
      </c>
      <c r="B2369" s="1" t="s">
        <v>3698</v>
      </c>
      <c r="C2369" s="1" t="s">
        <v>221</v>
      </c>
      <c r="D2369" s="1">
        <f>COUNTIFS('Raw Entries'!B:B,Table4[[#This Row],[Name]],'Raw Entries'!I:I,Table4[[#This Row],[BOOK No.]])</f>
        <v>0</v>
      </c>
      <c r="E2369" s="1">
        <f t="array" ref="E2369">IF(OR(Table4[[#This Row],[INSTALLMENT]]=1,Table4[[#This Row],[INSTALLMENT]]=2,Table4[[#This Row],[INSTALLMENT]]=3),1,0)</f>
        <v>0</v>
      </c>
      <c r="F2369" s="1">
        <f>IF(OR(Table4[[#This Row],[INSTALLMENT]]=2,Table4[[#This Row],[INSTALLMENT]]=3),2,0)</f>
        <v>0</v>
      </c>
      <c r="G2369" s="1">
        <f>IF(OR(Table4[[#This Row],[INSTALLMENT]]=3),3,0)</f>
        <v>0</v>
      </c>
    </row>
    <row r="2370" spans="1:7">
      <c r="A2370" s="1">
        <v>2728</v>
      </c>
      <c r="B2370" s="1" t="s">
        <v>3699</v>
      </c>
      <c r="C2370" s="1" t="s">
        <v>221</v>
      </c>
      <c r="D2370" s="1">
        <f>COUNTIFS('Raw Entries'!B:B,Table4[[#This Row],[Name]],'Raw Entries'!I:I,Table4[[#This Row],[BOOK No.]])</f>
        <v>0</v>
      </c>
      <c r="E2370" s="1">
        <f t="array" ref="E2370">IF(OR(Table4[[#This Row],[INSTALLMENT]]=1,Table4[[#This Row],[INSTALLMENT]]=2,Table4[[#This Row],[INSTALLMENT]]=3),1,0)</f>
        <v>0</v>
      </c>
      <c r="F2370" s="1">
        <f>IF(OR(Table4[[#This Row],[INSTALLMENT]]=2,Table4[[#This Row],[INSTALLMENT]]=3),2,0)</f>
        <v>0</v>
      </c>
      <c r="G2370" s="1">
        <f>IF(OR(Table4[[#This Row],[INSTALLMENT]]=3),3,0)</f>
        <v>0</v>
      </c>
    </row>
    <row r="2371" spans="1:7">
      <c r="A2371" s="1">
        <v>2729</v>
      </c>
      <c r="B2371" s="1" t="s">
        <v>226</v>
      </c>
      <c r="C2371" s="1" t="s">
        <v>221</v>
      </c>
      <c r="D2371" s="1">
        <f>COUNTIFS('Raw Entries'!B:B,Table4[[#This Row],[Name]],'Raw Entries'!I:I,Table4[[#This Row],[BOOK No.]])</f>
        <v>1</v>
      </c>
      <c r="E2371" s="1">
        <f t="array" ref="E2371">IF(OR(Table4[[#This Row],[INSTALLMENT]]=1,Table4[[#This Row],[INSTALLMENT]]=2,Table4[[#This Row],[INSTALLMENT]]=3),1,0)</f>
        <v>1</v>
      </c>
      <c r="F2371" s="1">
        <f>IF(OR(Table4[[#This Row],[INSTALLMENT]]=2,Table4[[#This Row],[INSTALLMENT]]=3),2,0)</f>
        <v>0</v>
      </c>
      <c r="G2371" s="1">
        <f>IF(OR(Table4[[#This Row],[INSTALLMENT]]=3),3,0)</f>
        <v>0</v>
      </c>
    </row>
    <row r="2372" spans="1:7">
      <c r="A2372" s="1">
        <v>2730</v>
      </c>
      <c r="B2372" s="1" t="s">
        <v>222</v>
      </c>
      <c r="C2372" s="1" t="s">
        <v>221</v>
      </c>
      <c r="D2372" s="1">
        <f>COUNTIFS('Raw Entries'!B:B,Table4[[#This Row],[Name]],'Raw Entries'!I:I,Table4[[#This Row],[BOOK No.]])</f>
        <v>1</v>
      </c>
      <c r="E2372" s="1">
        <f t="array" ref="E2372">IF(OR(Table4[[#This Row],[INSTALLMENT]]=1,Table4[[#This Row],[INSTALLMENT]]=2,Table4[[#This Row],[INSTALLMENT]]=3),1,0)</f>
        <v>1</v>
      </c>
      <c r="F2372" s="1">
        <f>IF(OR(Table4[[#This Row],[INSTALLMENT]]=2,Table4[[#This Row],[INSTALLMENT]]=3),2,0)</f>
        <v>0</v>
      </c>
      <c r="G2372" s="1">
        <f>IF(OR(Table4[[#This Row],[INSTALLMENT]]=3),3,0)</f>
        <v>0</v>
      </c>
    </row>
    <row r="2373" spans="1:7">
      <c r="A2373" s="1">
        <v>2731</v>
      </c>
      <c r="B2373" s="1" t="s">
        <v>2980</v>
      </c>
      <c r="C2373" s="1" t="s">
        <v>227</v>
      </c>
      <c r="D2373" s="1">
        <f>COUNTIFS('Raw Entries'!B:B,Table4[[#This Row],[Name]],'Raw Entries'!I:I,Table4[[#This Row],[BOOK No.]])</f>
        <v>0</v>
      </c>
      <c r="E2373" s="1">
        <f t="array" ref="E2373">IF(OR(Table4[[#This Row],[INSTALLMENT]]=1,Table4[[#This Row],[INSTALLMENT]]=2,Table4[[#This Row],[INSTALLMENT]]=3),1,0)</f>
        <v>0</v>
      </c>
      <c r="F2373" s="1">
        <f>IF(OR(Table4[[#This Row],[INSTALLMENT]]=2,Table4[[#This Row],[INSTALLMENT]]=3),2,0)</f>
        <v>0</v>
      </c>
      <c r="G2373" s="1">
        <f>IF(OR(Table4[[#This Row],[INSTALLMENT]]=3),3,0)</f>
        <v>0</v>
      </c>
    </row>
    <row r="2374" spans="1:7">
      <c r="A2374" s="1">
        <v>2732</v>
      </c>
      <c r="B2374" s="1" t="s">
        <v>3700</v>
      </c>
      <c r="C2374" s="1" t="s">
        <v>227</v>
      </c>
      <c r="D2374" s="1">
        <f>COUNTIFS('Raw Entries'!B:B,Table4[[#This Row],[Name]],'Raw Entries'!I:I,Table4[[#This Row],[BOOK No.]])</f>
        <v>0</v>
      </c>
      <c r="E2374" s="1">
        <f t="array" ref="E2374">IF(OR(Table4[[#This Row],[INSTALLMENT]]=1,Table4[[#This Row],[INSTALLMENT]]=2,Table4[[#This Row],[INSTALLMENT]]=3),1,0)</f>
        <v>0</v>
      </c>
      <c r="F2374" s="1">
        <f>IF(OR(Table4[[#This Row],[INSTALLMENT]]=2,Table4[[#This Row],[INSTALLMENT]]=3),2,0)</f>
        <v>0</v>
      </c>
      <c r="G2374" s="1">
        <f>IF(OR(Table4[[#This Row],[INSTALLMENT]]=3),3,0)</f>
        <v>0</v>
      </c>
    </row>
    <row r="2375" spans="1:7">
      <c r="A2375" s="1">
        <v>2733</v>
      </c>
      <c r="B2375" s="1" t="s">
        <v>3701</v>
      </c>
      <c r="C2375" s="1" t="s">
        <v>227</v>
      </c>
      <c r="D2375" s="1">
        <f>COUNTIFS('Raw Entries'!B:B,Table4[[#This Row],[Name]],'Raw Entries'!I:I,Table4[[#This Row],[BOOK No.]])</f>
        <v>0</v>
      </c>
      <c r="E2375" s="1">
        <f t="array" ref="E2375">IF(OR(Table4[[#This Row],[INSTALLMENT]]=1,Table4[[#This Row],[INSTALLMENT]]=2,Table4[[#This Row],[INSTALLMENT]]=3),1,0)</f>
        <v>0</v>
      </c>
      <c r="F2375" s="1">
        <f>IF(OR(Table4[[#This Row],[INSTALLMENT]]=2,Table4[[#This Row],[INSTALLMENT]]=3),2,0)</f>
        <v>0</v>
      </c>
      <c r="G2375" s="1">
        <f>IF(OR(Table4[[#This Row],[INSTALLMENT]]=3),3,0)</f>
        <v>0</v>
      </c>
    </row>
    <row r="2376" spans="1:7">
      <c r="A2376" s="1">
        <v>2734</v>
      </c>
      <c r="B2376" s="1" t="s">
        <v>3702</v>
      </c>
      <c r="C2376" s="1" t="s">
        <v>265</v>
      </c>
      <c r="D2376" s="1">
        <f>COUNTIFS('Raw Entries'!B:B,Table4[[#This Row],[Name]],'Raw Entries'!I:I,Table4[[#This Row],[BOOK No.]])</f>
        <v>0</v>
      </c>
      <c r="E2376" s="1">
        <f t="array" ref="E2376">IF(OR(Table4[[#This Row],[INSTALLMENT]]=1,Table4[[#This Row],[INSTALLMENT]]=2,Table4[[#This Row],[INSTALLMENT]]=3),1,0)</f>
        <v>0</v>
      </c>
      <c r="F2376" s="1">
        <f>IF(OR(Table4[[#This Row],[INSTALLMENT]]=2,Table4[[#This Row],[INSTALLMENT]]=3),2,0)</f>
        <v>0</v>
      </c>
      <c r="G2376" s="1">
        <f>IF(OR(Table4[[#This Row],[INSTALLMENT]]=3),3,0)</f>
        <v>0</v>
      </c>
    </row>
    <row r="2377" spans="1:7">
      <c r="A2377" s="1">
        <v>2735</v>
      </c>
      <c r="B2377" s="1" t="s">
        <v>3703</v>
      </c>
      <c r="C2377" s="1" t="s">
        <v>273</v>
      </c>
      <c r="D2377" s="1">
        <f>COUNTIFS('Raw Entries'!B:B,Table4[[#This Row],[Name]],'Raw Entries'!I:I,Table4[[#This Row],[BOOK No.]])</f>
        <v>0</v>
      </c>
      <c r="E2377" s="1">
        <f t="array" ref="E2377">IF(OR(Table4[[#This Row],[INSTALLMENT]]=1,Table4[[#This Row],[INSTALLMENT]]=2,Table4[[#This Row],[INSTALLMENT]]=3),1,0)</f>
        <v>0</v>
      </c>
      <c r="F2377" s="1">
        <f>IF(OR(Table4[[#This Row],[INSTALLMENT]]=2,Table4[[#This Row],[INSTALLMENT]]=3),2,0)</f>
        <v>0</v>
      </c>
      <c r="G2377" s="1">
        <f>IF(OR(Table4[[#This Row],[INSTALLMENT]]=3),3,0)</f>
        <v>0</v>
      </c>
    </row>
    <row r="2378" spans="1:7">
      <c r="A2378" s="1">
        <v>2736</v>
      </c>
      <c r="B2378" s="1" t="s">
        <v>3379</v>
      </c>
      <c r="C2378" s="1" t="s">
        <v>294</v>
      </c>
      <c r="D2378" s="1">
        <f>COUNTIFS('Raw Entries'!B:B,Table4[[#This Row],[Name]],'Raw Entries'!I:I,Table4[[#This Row],[BOOK No.]])</f>
        <v>0</v>
      </c>
      <c r="E2378" s="1">
        <f t="array" ref="E2378">IF(OR(Table4[[#This Row],[INSTALLMENT]]=1,Table4[[#This Row],[INSTALLMENT]]=2,Table4[[#This Row],[INSTALLMENT]]=3),1,0)</f>
        <v>0</v>
      </c>
      <c r="F2378" s="1">
        <f>IF(OR(Table4[[#This Row],[INSTALLMENT]]=2,Table4[[#This Row],[INSTALLMENT]]=3),2,0)</f>
        <v>0</v>
      </c>
      <c r="G2378" s="1">
        <f>IF(OR(Table4[[#This Row],[INSTALLMENT]]=3),3,0)</f>
        <v>0</v>
      </c>
    </row>
    <row r="2379" spans="1:7">
      <c r="A2379" s="1">
        <v>2737</v>
      </c>
      <c r="B2379" s="1" t="s">
        <v>301</v>
      </c>
      <c r="C2379" s="1" t="s">
        <v>299</v>
      </c>
      <c r="D2379" s="1">
        <f>COUNTIFS('Raw Entries'!B:B,Table4[[#This Row],[Name]],'Raw Entries'!I:I,Table4[[#This Row],[BOOK No.]])</f>
        <v>1</v>
      </c>
      <c r="E2379" s="1">
        <f t="array" ref="E2379">IF(OR(Table4[[#This Row],[INSTALLMENT]]=1,Table4[[#This Row],[INSTALLMENT]]=2,Table4[[#This Row],[INSTALLMENT]]=3),1,0)</f>
        <v>1</v>
      </c>
      <c r="F2379" s="1">
        <f>IF(OR(Table4[[#This Row],[INSTALLMENT]]=2,Table4[[#This Row],[INSTALLMENT]]=3),2,0)</f>
        <v>0</v>
      </c>
      <c r="G2379" s="1">
        <f>IF(OR(Table4[[#This Row],[INSTALLMENT]]=3),3,0)</f>
        <v>0</v>
      </c>
    </row>
    <row r="2380" spans="1:7">
      <c r="A2380" s="1">
        <v>2738</v>
      </c>
      <c r="B2380" s="1" t="s">
        <v>3704</v>
      </c>
      <c r="C2380" s="1" t="s">
        <v>299</v>
      </c>
      <c r="D2380" s="1">
        <f>COUNTIFS('Raw Entries'!B:B,Table4[[#This Row],[Name]],'Raw Entries'!I:I,Table4[[#This Row],[BOOK No.]])</f>
        <v>0</v>
      </c>
      <c r="E2380" s="1">
        <f t="array" ref="E2380">IF(OR(Table4[[#This Row],[INSTALLMENT]]=1,Table4[[#This Row],[INSTALLMENT]]=2,Table4[[#This Row],[INSTALLMENT]]=3),1,0)</f>
        <v>0</v>
      </c>
      <c r="F2380" s="1">
        <f>IF(OR(Table4[[#This Row],[INSTALLMENT]]=2,Table4[[#This Row],[INSTALLMENT]]=3),2,0)</f>
        <v>0</v>
      </c>
      <c r="G2380" s="1">
        <f>IF(OR(Table4[[#This Row],[INSTALLMENT]]=3),3,0)</f>
        <v>0</v>
      </c>
    </row>
    <row r="2381" spans="1:7">
      <c r="A2381" s="1">
        <v>2739</v>
      </c>
      <c r="B2381" s="1" t="s">
        <v>3705</v>
      </c>
      <c r="C2381" s="1" t="s">
        <v>303</v>
      </c>
      <c r="D2381" s="1">
        <f>COUNTIFS('Raw Entries'!B:B,Table4[[#This Row],[Name]],'Raw Entries'!I:I,Table4[[#This Row],[BOOK No.]])</f>
        <v>0</v>
      </c>
      <c r="E2381" s="1">
        <f t="array" ref="E2381">IF(OR(Table4[[#This Row],[INSTALLMENT]]=1,Table4[[#This Row],[INSTALLMENT]]=2,Table4[[#This Row],[INSTALLMENT]]=3),1,0)</f>
        <v>0</v>
      </c>
      <c r="F2381" s="1">
        <f>IF(OR(Table4[[#This Row],[INSTALLMENT]]=2,Table4[[#This Row],[INSTALLMENT]]=3),2,0)</f>
        <v>0</v>
      </c>
      <c r="G2381" s="1">
        <f>IF(OR(Table4[[#This Row],[INSTALLMENT]]=3),3,0)</f>
        <v>0</v>
      </c>
    </row>
    <row r="2382" spans="1:7">
      <c r="A2382" s="1">
        <v>2740</v>
      </c>
      <c r="B2382" s="1" t="s">
        <v>3706</v>
      </c>
      <c r="C2382" s="1" t="s">
        <v>303</v>
      </c>
      <c r="D2382" s="1">
        <f>COUNTIFS('Raw Entries'!B:B,Table4[[#This Row],[Name]],'Raw Entries'!I:I,Table4[[#This Row],[BOOK No.]])</f>
        <v>0</v>
      </c>
      <c r="E2382" s="1">
        <f t="array" ref="E2382">IF(OR(Table4[[#This Row],[INSTALLMENT]]=1,Table4[[#This Row],[INSTALLMENT]]=2,Table4[[#This Row],[INSTALLMENT]]=3),1,0)</f>
        <v>0</v>
      </c>
      <c r="F2382" s="1">
        <f>IF(OR(Table4[[#This Row],[INSTALLMENT]]=2,Table4[[#This Row],[INSTALLMENT]]=3),2,0)</f>
        <v>0</v>
      </c>
      <c r="G2382" s="1">
        <f>IF(OR(Table4[[#This Row],[INSTALLMENT]]=3),3,0)</f>
        <v>0</v>
      </c>
    </row>
    <row r="2383" spans="1:7">
      <c r="A2383" s="1">
        <v>2741</v>
      </c>
      <c r="B2383" s="1" t="s">
        <v>3278</v>
      </c>
      <c r="C2383" s="1" t="s">
        <v>303</v>
      </c>
      <c r="D2383" s="1">
        <f>COUNTIFS('Raw Entries'!B:B,Table4[[#This Row],[Name]],'Raw Entries'!I:I,Table4[[#This Row],[BOOK No.]])</f>
        <v>0</v>
      </c>
      <c r="E2383" s="1">
        <f t="array" ref="E2383">IF(OR(Table4[[#This Row],[INSTALLMENT]]=1,Table4[[#This Row],[INSTALLMENT]]=2,Table4[[#This Row],[INSTALLMENT]]=3),1,0)</f>
        <v>0</v>
      </c>
      <c r="F2383" s="1">
        <f>IF(OR(Table4[[#This Row],[INSTALLMENT]]=2,Table4[[#This Row],[INSTALLMENT]]=3),2,0)</f>
        <v>0</v>
      </c>
      <c r="G2383" s="1">
        <f>IF(OR(Table4[[#This Row],[INSTALLMENT]]=3),3,0)</f>
        <v>0</v>
      </c>
    </row>
    <row r="2384" spans="1:7">
      <c r="A2384" s="1">
        <v>2742</v>
      </c>
      <c r="B2384" s="1" t="s">
        <v>3707</v>
      </c>
      <c r="C2384" s="1" t="s">
        <v>303</v>
      </c>
      <c r="D2384" s="1">
        <f>COUNTIFS('Raw Entries'!B:B,Table4[[#This Row],[Name]],'Raw Entries'!I:I,Table4[[#This Row],[BOOK No.]])</f>
        <v>0</v>
      </c>
      <c r="E2384" s="1">
        <f t="array" ref="E2384">IF(OR(Table4[[#This Row],[INSTALLMENT]]=1,Table4[[#This Row],[INSTALLMENT]]=2,Table4[[#This Row],[INSTALLMENT]]=3),1,0)</f>
        <v>0</v>
      </c>
      <c r="F2384" s="1">
        <f>IF(OR(Table4[[#This Row],[INSTALLMENT]]=2,Table4[[#This Row],[INSTALLMENT]]=3),2,0)</f>
        <v>0</v>
      </c>
      <c r="G2384" s="1">
        <f>IF(OR(Table4[[#This Row],[INSTALLMENT]]=3),3,0)</f>
        <v>0</v>
      </c>
    </row>
    <row r="2385" spans="1:7">
      <c r="A2385" s="1">
        <v>2743</v>
      </c>
      <c r="B2385" s="1" t="s">
        <v>3708</v>
      </c>
      <c r="C2385" s="1" t="s">
        <v>303</v>
      </c>
      <c r="D2385" s="1">
        <f>COUNTIFS('Raw Entries'!B:B,Table4[[#This Row],[Name]],'Raw Entries'!I:I,Table4[[#This Row],[BOOK No.]])</f>
        <v>0</v>
      </c>
      <c r="E2385" s="1">
        <f t="array" ref="E2385">IF(OR(Table4[[#This Row],[INSTALLMENT]]=1,Table4[[#This Row],[INSTALLMENT]]=2,Table4[[#This Row],[INSTALLMENT]]=3),1,0)</f>
        <v>0</v>
      </c>
      <c r="F2385" s="1">
        <f>IF(OR(Table4[[#This Row],[INSTALLMENT]]=2,Table4[[#This Row],[INSTALLMENT]]=3),2,0)</f>
        <v>0</v>
      </c>
      <c r="G2385" s="1">
        <f>IF(OR(Table4[[#This Row],[INSTALLMENT]]=3),3,0)</f>
        <v>0</v>
      </c>
    </row>
    <row r="2386" spans="1:7">
      <c r="A2386" s="1">
        <v>2744</v>
      </c>
      <c r="B2386" s="1" t="s">
        <v>235</v>
      </c>
      <c r="C2386" s="1" t="s">
        <v>303</v>
      </c>
      <c r="D2386" s="1">
        <f>COUNTIFS('Raw Entries'!B:B,Table4[[#This Row],[Name]],'Raw Entries'!I:I,Table4[[#This Row],[BOOK No.]])</f>
        <v>0</v>
      </c>
      <c r="E2386" s="1">
        <f t="array" ref="E2386">IF(OR(Table4[[#This Row],[INSTALLMENT]]=1,Table4[[#This Row],[INSTALLMENT]]=2,Table4[[#This Row],[INSTALLMENT]]=3),1,0)</f>
        <v>0</v>
      </c>
      <c r="F2386" s="1">
        <f>IF(OR(Table4[[#This Row],[INSTALLMENT]]=2,Table4[[#This Row],[INSTALLMENT]]=3),2,0)</f>
        <v>0</v>
      </c>
      <c r="G2386" s="1">
        <f>IF(OR(Table4[[#This Row],[INSTALLMENT]]=3),3,0)</f>
        <v>0</v>
      </c>
    </row>
    <row r="2387" spans="1:7">
      <c r="A2387" s="1">
        <v>2745</v>
      </c>
      <c r="B2387" s="1" t="s">
        <v>3709</v>
      </c>
      <c r="C2387" s="1" t="s">
        <v>320</v>
      </c>
      <c r="D2387" s="1">
        <f>COUNTIFS('Raw Entries'!B:B,Table4[[#This Row],[Name]],'Raw Entries'!I:I,Table4[[#This Row],[BOOK No.]])</f>
        <v>0</v>
      </c>
      <c r="E2387" s="1">
        <f t="array" ref="E2387">IF(OR(Table4[[#This Row],[INSTALLMENT]]=1,Table4[[#This Row],[INSTALLMENT]]=2,Table4[[#This Row],[INSTALLMENT]]=3),1,0)</f>
        <v>0</v>
      </c>
      <c r="F2387" s="1">
        <f>IF(OR(Table4[[#This Row],[INSTALLMENT]]=2,Table4[[#This Row],[INSTALLMENT]]=3),2,0)</f>
        <v>0</v>
      </c>
      <c r="G2387" s="1">
        <f>IF(OR(Table4[[#This Row],[INSTALLMENT]]=3),3,0)</f>
        <v>0</v>
      </c>
    </row>
    <row r="2388" spans="1:7">
      <c r="A2388" s="1">
        <v>2746</v>
      </c>
      <c r="B2388" s="1" t="s">
        <v>3710</v>
      </c>
      <c r="C2388" s="1" t="s">
        <v>324</v>
      </c>
      <c r="D2388" s="1">
        <f>COUNTIFS('Raw Entries'!B:B,Table4[[#This Row],[Name]],'Raw Entries'!I:I,Table4[[#This Row],[BOOK No.]])</f>
        <v>0</v>
      </c>
      <c r="E2388" s="1">
        <f t="array" ref="E2388">IF(OR(Table4[[#This Row],[INSTALLMENT]]=1,Table4[[#This Row],[INSTALLMENT]]=2,Table4[[#This Row],[INSTALLMENT]]=3),1,0)</f>
        <v>0</v>
      </c>
      <c r="F2388" s="1">
        <f>IF(OR(Table4[[#This Row],[INSTALLMENT]]=2,Table4[[#This Row],[INSTALLMENT]]=3),2,0)</f>
        <v>0</v>
      </c>
      <c r="G2388" s="1">
        <f>IF(OR(Table4[[#This Row],[INSTALLMENT]]=3),3,0)</f>
        <v>0</v>
      </c>
    </row>
    <row r="2389" spans="1:7">
      <c r="A2389" s="1">
        <v>2747</v>
      </c>
      <c r="B2389" s="1" t="s">
        <v>3711</v>
      </c>
      <c r="C2389" s="1" t="s">
        <v>334</v>
      </c>
      <c r="D2389" s="1">
        <f>COUNTIFS('Raw Entries'!B:B,Table4[[#This Row],[Name]],'Raw Entries'!I:I,Table4[[#This Row],[BOOK No.]])</f>
        <v>0</v>
      </c>
      <c r="E2389" s="1">
        <f t="array" ref="E2389">IF(OR(Table4[[#This Row],[INSTALLMENT]]=1,Table4[[#This Row],[INSTALLMENT]]=2,Table4[[#This Row],[INSTALLMENT]]=3),1,0)</f>
        <v>0</v>
      </c>
      <c r="F2389" s="1">
        <f>IF(OR(Table4[[#This Row],[INSTALLMENT]]=2,Table4[[#This Row],[INSTALLMENT]]=3),2,0)</f>
        <v>0</v>
      </c>
      <c r="G2389" s="1">
        <f>IF(OR(Table4[[#This Row],[INSTALLMENT]]=3),3,0)</f>
        <v>0</v>
      </c>
    </row>
    <row r="2390" spans="1:7">
      <c r="A2390" s="1">
        <v>2748</v>
      </c>
      <c r="B2390" s="1" t="s">
        <v>3712</v>
      </c>
      <c r="C2390" s="1" t="s">
        <v>334</v>
      </c>
      <c r="D2390" s="1">
        <f>COUNTIFS('Raw Entries'!B:B,Table4[[#This Row],[Name]],'Raw Entries'!I:I,Table4[[#This Row],[BOOK No.]])</f>
        <v>0</v>
      </c>
      <c r="E2390" s="1">
        <f t="array" ref="E2390">IF(OR(Table4[[#This Row],[INSTALLMENT]]=1,Table4[[#This Row],[INSTALLMENT]]=2,Table4[[#This Row],[INSTALLMENT]]=3),1,0)</f>
        <v>0</v>
      </c>
      <c r="F2390" s="1">
        <f>IF(OR(Table4[[#This Row],[INSTALLMENT]]=2,Table4[[#This Row],[INSTALLMENT]]=3),2,0)</f>
        <v>0</v>
      </c>
      <c r="G2390" s="1">
        <f>IF(OR(Table4[[#This Row],[INSTALLMENT]]=3),3,0)</f>
        <v>0</v>
      </c>
    </row>
    <row r="2391" spans="1:7">
      <c r="A2391" s="1">
        <v>2749</v>
      </c>
      <c r="B2391" s="1" t="s">
        <v>2680</v>
      </c>
      <c r="C2391" s="1" t="s">
        <v>334</v>
      </c>
      <c r="D2391" s="1">
        <f>COUNTIFS('Raw Entries'!B:B,Table4[[#This Row],[Name]],'Raw Entries'!I:I,Table4[[#This Row],[BOOK No.]])</f>
        <v>0</v>
      </c>
      <c r="E2391" s="1">
        <f t="array" ref="E2391">IF(OR(Table4[[#This Row],[INSTALLMENT]]=1,Table4[[#This Row],[INSTALLMENT]]=2,Table4[[#This Row],[INSTALLMENT]]=3),1,0)</f>
        <v>0</v>
      </c>
      <c r="F2391" s="1">
        <f>IF(OR(Table4[[#This Row],[INSTALLMENT]]=2,Table4[[#This Row],[INSTALLMENT]]=3),2,0)</f>
        <v>0</v>
      </c>
      <c r="G2391" s="1">
        <f>IF(OR(Table4[[#This Row],[INSTALLMENT]]=3),3,0)</f>
        <v>0</v>
      </c>
    </row>
    <row r="2392" spans="1:7">
      <c r="A2392" s="1">
        <v>2750</v>
      </c>
      <c r="B2392" s="1" t="s">
        <v>3713</v>
      </c>
      <c r="C2392" s="1" t="s">
        <v>340</v>
      </c>
      <c r="D2392" s="1">
        <f>COUNTIFS('Raw Entries'!B:B,Table4[[#This Row],[Name]],'Raw Entries'!I:I,Table4[[#This Row],[BOOK No.]])</f>
        <v>0</v>
      </c>
      <c r="E2392" s="1">
        <f t="array" ref="E2392">IF(OR(Table4[[#This Row],[INSTALLMENT]]=1,Table4[[#This Row],[INSTALLMENT]]=2,Table4[[#This Row],[INSTALLMENT]]=3),1,0)</f>
        <v>0</v>
      </c>
      <c r="F2392" s="1">
        <f>IF(OR(Table4[[#This Row],[INSTALLMENT]]=2,Table4[[#This Row],[INSTALLMENT]]=3),2,0)</f>
        <v>0</v>
      </c>
      <c r="G2392" s="1">
        <f>IF(OR(Table4[[#This Row],[INSTALLMENT]]=3),3,0)</f>
        <v>0</v>
      </c>
    </row>
    <row r="2393" spans="1:7">
      <c r="A2393" s="1">
        <v>2751</v>
      </c>
      <c r="B2393" s="1" t="s">
        <v>3714</v>
      </c>
      <c r="C2393" s="1" t="s">
        <v>581</v>
      </c>
      <c r="D2393" s="1">
        <f>COUNTIFS('Raw Entries'!B:B,Table4[[#This Row],[Name]],'Raw Entries'!I:I,Table4[[#This Row],[BOOK No.]])</f>
        <v>0</v>
      </c>
      <c r="E2393" s="1">
        <f t="array" ref="E2393">IF(OR(Table4[[#This Row],[INSTALLMENT]]=1,Table4[[#This Row],[INSTALLMENT]]=2,Table4[[#This Row],[INSTALLMENT]]=3),1,0)</f>
        <v>0</v>
      </c>
      <c r="F2393" s="1">
        <f>IF(OR(Table4[[#This Row],[INSTALLMENT]]=2,Table4[[#This Row],[INSTALLMENT]]=3),2,0)</f>
        <v>0</v>
      </c>
      <c r="G2393" s="1">
        <f>IF(OR(Table4[[#This Row],[INSTALLMENT]]=3),3,0)</f>
        <v>0</v>
      </c>
    </row>
    <row r="2394" spans="1:7">
      <c r="A2394" s="1">
        <v>2752</v>
      </c>
      <c r="B2394" s="1" t="s">
        <v>3715</v>
      </c>
      <c r="C2394" s="1" t="s">
        <v>3846</v>
      </c>
      <c r="D2394" s="1">
        <f>COUNTIFS('Raw Entries'!B:B,Table4[[#This Row],[Name]],'Raw Entries'!I:I,Table4[[#This Row],[BOOK No.]])</f>
        <v>0</v>
      </c>
      <c r="E2394" s="1">
        <f t="array" ref="E2394">IF(OR(Table4[[#This Row],[INSTALLMENT]]=1,Table4[[#This Row],[INSTALLMENT]]=2,Table4[[#This Row],[INSTALLMENT]]=3),1,0)</f>
        <v>0</v>
      </c>
      <c r="F2394" s="1">
        <f>IF(OR(Table4[[#This Row],[INSTALLMENT]]=2,Table4[[#This Row],[INSTALLMENT]]=3),2,0)</f>
        <v>0</v>
      </c>
      <c r="G2394" s="1">
        <f>IF(OR(Table4[[#This Row],[INSTALLMENT]]=3),3,0)</f>
        <v>0</v>
      </c>
    </row>
    <row r="2395" spans="1:7">
      <c r="A2395" s="1">
        <v>2753</v>
      </c>
      <c r="B2395" s="1" t="s">
        <v>3716</v>
      </c>
      <c r="C2395" s="1" t="s">
        <v>3846</v>
      </c>
      <c r="D2395" s="1">
        <f>COUNTIFS('Raw Entries'!B:B,Table4[[#This Row],[Name]],'Raw Entries'!I:I,Table4[[#This Row],[BOOK No.]])</f>
        <v>0</v>
      </c>
      <c r="E2395" s="1">
        <f t="array" ref="E2395">IF(OR(Table4[[#This Row],[INSTALLMENT]]=1,Table4[[#This Row],[INSTALLMENT]]=2,Table4[[#This Row],[INSTALLMENT]]=3),1,0)</f>
        <v>0</v>
      </c>
      <c r="F2395" s="1">
        <f>IF(OR(Table4[[#This Row],[INSTALLMENT]]=2,Table4[[#This Row],[INSTALLMENT]]=3),2,0)</f>
        <v>0</v>
      </c>
      <c r="G2395" s="1">
        <f>IF(OR(Table4[[#This Row],[INSTALLMENT]]=3),3,0)</f>
        <v>0</v>
      </c>
    </row>
    <row r="2396" spans="1:7">
      <c r="A2396" s="1">
        <v>2754</v>
      </c>
      <c r="B2396" s="1" t="s">
        <v>3717</v>
      </c>
      <c r="C2396" s="1" t="s">
        <v>3846</v>
      </c>
      <c r="D2396" s="1">
        <f>COUNTIFS('Raw Entries'!B:B,Table4[[#This Row],[Name]],'Raw Entries'!I:I,Table4[[#This Row],[BOOK No.]])</f>
        <v>0</v>
      </c>
      <c r="E2396" s="1">
        <f t="array" ref="E2396">IF(OR(Table4[[#This Row],[INSTALLMENT]]=1,Table4[[#This Row],[INSTALLMENT]]=2,Table4[[#This Row],[INSTALLMENT]]=3),1,0)</f>
        <v>0</v>
      </c>
      <c r="F2396" s="1">
        <f>IF(OR(Table4[[#This Row],[INSTALLMENT]]=2,Table4[[#This Row],[INSTALLMENT]]=3),2,0)</f>
        <v>0</v>
      </c>
      <c r="G2396" s="1">
        <f>IF(OR(Table4[[#This Row],[INSTALLMENT]]=3),3,0)</f>
        <v>0</v>
      </c>
    </row>
    <row r="2397" spans="1:7">
      <c r="A2397" s="1">
        <v>2755</v>
      </c>
      <c r="B2397" s="1" t="s">
        <v>3718</v>
      </c>
      <c r="C2397" s="1" t="s">
        <v>3846</v>
      </c>
      <c r="D2397" s="1">
        <f>COUNTIFS('Raw Entries'!B:B,Table4[[#This Row],[Name]],'Raw Entries'!I:I,Table4[[#This Row],[BOOK No.]])</f>
        <v>0</v>
      </c>
      <c r="E2397" s="1">
        <f t="array" ref="E2397">IF(OR(Table4[[#This Row],[INSTALLMENT]]=1,Table4[[#This Row],[INSTALLMENT]]=2,Table4[[#This Row],[INSTALLMENT]]=3),1,0)</f>
        <v>0</v>
      </c>
      <c r="F2397" s="1">
        <f>IF(OR(Table4[[#This Row],[INSTALLMENT]]=2,Table4[[#This Row],[INSTALLMENT]]=3),2,0)</f>
        <v>0</v>
      </c>
      <c r="G2397" s="1">
        <f>IF(OR(Table4[[#This Row],[INSTALLMENT]]=3),3,0)</f>
        <v>0</v>
      </c>
    </row>
    <row r="2398" spans="1:7">
      <c r="A2398" s="1">
        <v>2756</v>
      </c>
      <c r="B2398" s="1" t="s">
        <v>3719</v>
      </c>
      <c r="C2398" s="1" t="s">
        <v>3846</v>
      </c>
      <c r="D2398" s="1">
        <f>COUNTIFS('Raw Entries'!B:B,Table4[[#This Row],[Name]],'Raw Entries'!I:I,Table4[[#This Row],[BOOK No.]])</f>
        <v>0</v>
      </c>
      <c r="E2398" s="1">
        <f t="array" ref="E2398">IF(OR(Table4[[#This Row],[INSTALLMENT]]=1,Table4[[#This Row],[INSTALLMENT]]=2,Table4[[#This Row],[INSTALLMENT]]=3),1,0)</f>
        <v>0</v>
      </c>
      <c r="F2398" s="1">
        <f>IF(OR(Table4[[#This Row],[INSTALLMENT]]=2,Table4[[#This Row],[INSTALLMENT]]=3),2,0)</f>
        <v>0</v>
      </c>
      <c r="G2398" s="1">
        <f>IF(OR(Table4[[#This Row],[INSTALLMENT]]=3),3,0)</f>
        <v>0</v>
      </c>
    </row>
    <row r="2399" spans="1:7">
      <c r="A2399" s="1">
        <v>2757</v>
      </c>
      <c r="B2399" s="1" t="s">
        <v>3720</v>
      </c>
      <c r="C2399" s="1" t="s">
        <v>3846</v>
      </c>
      <c r="D2399" s="1">
        <f>COUNTIFS('Raw Entries'!B:B,Table4[[#This Row],[Name]],'Raw Entries'!I:I,Table4[[#This Row],[BOOK No.]])</f>
        <v>0</v>
      </c>
      <c r="E2399" s="1">
        <f t="array" ref="E2399">IF(OR(Table4[[#This Row],[INSTALLMENT]]=1,Table4[[#This Row],[INSTALLMENT]]=2,Table4[[#This Row],[INSTALLMENT]]=3),1,0)</f>
        <v>0</v>
      </c>
      <c r="F2399" s="1">
        <f>IF(OR(Table4[[#This Row],[INSTALLMENT]]=2,Table4[[#This Row],[INSTALLMENT]]=3),2,0)</f>
        <v>0</v>
      </c>
      <c r="G2399" s="1">
        <f>IF(OR(Table4[[#This Row],[INSTALLMENT]]=3),3,0)</f>
        <v>0</v>
      </c>
    </row>
    <row r="2400" spans="1:7">
      <c r="A2400" s="1">
        <v>2758</v>
      </c>
      <c r="B2400" s="1" t="s">
        <v>3721</v>
      </c>
      <c r="C2400" s="1" t="s">
        <v>3846</v>
      </c>
      <c r="D2400" s="1">
        <f>COUNTIFS('Raw Entries'!B:B,Table4[[#This Row],[Name]],'Raw Entries'!I:I,Table4[[#This Row],[BOOK No.]])</f>
        <v>0</v>
      </c>
      <c r="E2400" s="1">
        <f t="array" ref="E2400">IF(OR(Table4[[#This Row],[INSTALLMENT]]=1,Table4[[#This Row],[INSTALLMENT]]=2,Table4[[#This Row],[INSTALLMENT]]=3),1,0)</f>
        <v>0</v>
      </c>
      <c r="F2400" s="1">
        <f>IF(OR(Table4[[#This Row],[INSTALLMENT]]=2,Table4[[#This Row],[INSTALLMENT]]=3),2,0)</f>
        <v>0</v>
      </c>
      <c r="G2400" s="1">
        <f>IF(OR(Table4[[#This Row],[INSTALLMENT]]=3),3,0)</f>
        <v>0</v>
      </c>
    </row>
    <row r="2401" spans="1:7">
      <c r="A2401" s="1">
        <v>2759</v>
      </c>
      <c r="B2401" s="1" t="s">
        <v>3722</v>
      </c>
      <c r="C2401" s="1" t="s">
        <v>3846</v>
      </c>
      <c r="D2401" s="1">
        <f>COUNTIFS('Raw Entries'!B:B,Table4[[#This Row],[Name]],'Raw Entries'!I:I,Table4[[#This Row],[BOOK No.]])</f>
        <v>0</v>
      </c>
      <c r="E2401" s="1">
        <f t="array" ref="E2401">IF(OR(Table4[[#This Row],[INSTALLMENT]]=1,Table4[[#This Row],[INSTALLMENT]]=2,Table4[[#This Row],[INSTALLMENT]]=3),1,0)</f>
        <v>0</v>
      </c>
      <c r="F2401" s="1">
        <f>IF(OR(Table4[[#This Row],[INSTALLMENT]]=2,Table4[[#This Row],[INSTALLMENT]]=3),2,0)</f>
        <v>0</v>
      </c>
      <c r="G2401" s="1">
        <f>IF(OR(Table4[[#This Row],[INSTALLMENT]]=3),3,0)</f>
        <v>0</v>
      </c>
    </row>
    <row r="2402" spans="1:7">
      <c r="A2402" s="1">
        <v>2760</v>
      </c>
      <c r="B2402" s="1" t="s">
        <v>3723</v>
      </c>
      <c r="C2402" s="1" t="s">
        <v>3846</v>
      </c>
      <c r="D2402" s="1">
        <f>COUNTIFS('Raw Entries'!B:B,Table4[[#This Row],[Name]],'Raw Entries'!I:I,Table4[[#This Row],[BOOK No.]])</f>
        <v>0</v>
      </c>
      <c r="E2402" s="1">
        <f t="array" ref="E2402">IF(OR(Table4[[#This Row],[INSTALLMENT]]=1,Table4[[#This Row],[INSTALLMENT]]=2,Table4[[#This Row],[INSTALLMENT]]=3),1,0)</f>
        <v>0</v>
      </c>
      <c r="F2402" s="1">
        <f>IF(OR(Table4[[#This Row],[INSTALLMENT]]=2,Table4[[#This Row],[INSTALLMENT]]=3),2,0)</f>
        <v>0</v>
      </c>
      <c r="G2402" s="1">
        <f>IF(OR(Table4[[#This Row],[INSTALLMENT]]=3),3,0)</f>
        <v>0</v>
      </c>
    </row>
    <row r="2403" spans="1:7">
      <c r="A2403" s="1">
        <v>3001</v>
      </c>
      <c r="B2403" s="1" t="s">
        <v>17</v>
      </c>
      <c r="C2403" s="1" t="s">
        <v>4</v>
      </c>
      <c r="D2403" s="1">
        <f>COUNTIFS('Raw Entries'!B:B,Table4[[#This Row],[Name]],'Raw Entries'!I:I,Table4[[#This Row],[BOOK No.]])</f>
        <v>3</v>
      </c>
      <c r="E2403" s="1">
        <f t="array" ref="E2403">IF(OR(Table4[[#This Row],[INSTALLMENT]]=1,Table4[[#This Row],[INSTALLMENT]]=2,Table4[[#This Row],[INSTALLMENT]]=3),1,0)</f>
        <v>1</v>
      </c>
      <c r="F2403" s="1">
        <f>IF(OR(Table4[[#This Row],[INSTALLMENT]]=2,Table4[[#This Row],[INSTALLMENT]]=3),2,0)</f>
        <v>2</v>
      </c>
      <c r="G2403" s="1">
        <f>IF(OR(Table4[[#This Row],[INSTALLMENT]]=3),3,0)</f>
        <v>3</v>
      </c>
    </row>
    <row r="2404" spans="1:7">
      <c r="A2404" s="1">
        <v>3002</v>
      </c>
      <c r="B2404" s="1" t="s">
        <v>3095</v>
      </c>
      <c r="C2404" s="1" t="s">
        <v>4</v>
      </c>
      <c r="D2404" s="1">
        <f>COUNTIFS('Raw Entries'!B:B,Table4[[#This Row],[Name]],'Raw Entries'!I:I,Table4[[#This Row],[BOOK No.]])</f>
        <v>0</v>
      </c>
      <c r="E2404" s="1">
        <f t="array" ref="E2404">IF(OR(Table4[[#This Row],[INSTALLMENT]]=1,Table4[[#This Row],[INSTALLMENT]]=2,Table4[[#This Row],[INSTALLMENT]]=3),1,0)</f>
        <v>0</v>
      </c>
      <c r="F2404" s="1">
        <f>IF(OR(Table4[[#This Row],[INSTALLMENT]]=2,Table4[[#This Row],[INSTALLMENT]]=3),2,0)</f>
        <v>0</v>
      </c>
      <c r="G2404" s="1">
        <f>IF(OR(Table4[[#This Row],[INSTALLMENT]]=3),3,0)</f>
        <v>0</v>
      </c>
    </row>
    <row r="2405" spans="1:7">
      <c r="A2405" s="1">
        <v>3003</v>
      </c>
      <c r="B2405" s="1" t="s">
        <v>3724</v>
      </c>
      <c r="C2405" s="1" t="s">
        <v>4</v>
      </c>
      <c r="D2405" s="1">
        <f>COUNTIFS('Raw Entries'!B:B,Table4[[#This Row],[Name]],'Raw Entries'!I:I,Table4[[#This Row],[BOOK No.]])</f>
        <v>0</v>
      </c>
      <c r="E2405" s="1">
        <f t="array" ref="E2405">IF(OR(Table4[[#This Row],[INSTALLMENT]]=1,Table4[[#This Row],[INSTALLMENT]]=2,Table4[[#This Row],[INSTALLMENT]]=3),1,0)</f>
        <v>0</v>
      </c>
      <c r="F2405" s="1">
        <f>IF(OR(Table4[[#This Row],[INSTALLMENT]]=2,Table4[[#This Row],[INSTALLMENT]]=3),2,0)</f>
        <v>0</v>
      </c>
      <c r="G2405" s="1">
        <f>IF(OR(Table4[[#This Row],[INSTALLMENT]]=3),3,0)</f>
        <v>0</v>
      </c>
    </row>
    <row r="2406" spans="1:7">
      <c r="A2406" s="1">
        <v>3004</v>
      </c>
      <c r="B2406" s="1" t="s">
        <v>5</v>
      </c>
      <c r="C2406" s="1" t="s">
        <v>4</v>
      </c>
      <c r="D2406" s="1">
        <f>COUNTIFS('Raw Entries'!B:B,Table4[[#This Row],[Name]],'Raw Entries'!I:I,Table4[[#This Row],[BOOK No.]])</f>
        <v>2</v>
      </c>
      <c r="E2406" s="1">
        <f t="array" ref="E2406">IF(OR(Table4[[#This Row],[INSTALLMENT]]=1,Table4[[#This Row],[INSTALLMENT]]=2,Table4[[#This Row],[INSTALLMENT]]=3),1,0)</f>
        <v>1</v>
      </c>
      <c r="F2406" s="1">
        <f>IF(OR(Table4[[#This Row],[INSTALLMENT]]=2,Table4[[#This Row],[INSTALLMENT]]=3),2,0)</f>
        <v>2</v>
      </c>
      <c r="G2406" s="1">
        <f>IF(OR(Table4[[#This Row],[INSTALLMENT]]=3),3,0)</f>
        <v>0</v>
      </c>
    </row>
    <row r="2407" spans="1:7">
      <c r="A2407" s="1">
        <v>3005</v>
      </c>
      <c r="B2407" s="1" t="s">
        <v>3725</v>
      </c>
      <c r="C2407" s="1" t="s">
        <v>4</v>
      </c>
      <c r="D2407" s="1">
        <f>COUNTIFS('Raw Entries'!B:B,Table4[[#This Row],[Name]],'Raw Entries'!I:I,Table4[[#This Row],[BOOK No.]])</f>
        <v>0</v>
      </c>
      <c r="E2407" s="1">
        <f t="array" ref="E2407">IF(OR(Table4[[#This Row],[INSTALLMENT]]=1,Table4[[#This Row],[INSTALLMENT]]=2,Table4[[#This Row],[INSTALLMENT]]=3),1,0)</f>
        <v>0</v>
      </c>
      <c r="F2407" s="1">
        <f>IF(OR(Table4[[#This Row],[INSTALLMENT]]=2,Table4[[#This Row],[INSTALLMENT]]=3),2,0)</f>
        <v>0</v>
      </c>
      <c r="G2407" s="1">
        <f>IF(OR(Table4[[#This Row],[INSTALLMENT]]=3),3,0)</f>
        <v>0</v>
      </c>
    </row>
    <row r="2408" spans="1:7">
      <c r="A2408" s="1">
        <v>3006</v>
      </c>
      <c r="B2408" s="1" t="s">
        <v>6</v>
      </c>
      <c r="C2408" s="1" t="s">
        <v>4</v>
      </c>
      <c r="D2408" s="1">
        <f>COUNTIFS('Raw Entries'!B:B,Table4[[#This Row],[Name]],'Raw Entries'!I:I,Table4[[#This Row],[BOOK No.]])</f>
        <v>1</v>
      </c>
      <c r="E2408" s="1">
        <f t="array" ref="E2408">IF(OR(Table4[[#This Row],[INSTALLMENT]]=1,Table4[[#This Row],[INSTALLMENT]]=2,Table4[[#This Row],[INSTALLMENT]]=3),1,0)</f>
        <v>1</v>
      </c>
      <c r="F2408" s="1">
        <f>IF(OR(Table4[[#This Row],[INSTALLMENT]]=2,Table4[[#This Row],[INSTALLMENT]]=3),2,0)</f>
        <v>0</v>
      </c>
      <c r="G2408" s="1">
        <f>IF(OR(Table4[[#This Row],[INSTALLMENT]]=3),3,0)</f>
        <v>0</v>
      </c>
    </row>
    <row r="2409" spans="1:7">
      <c r="A2409" s="1">
        <v>3007</v>
      </c>
      <c r="B2409" s="1" t="s">
        <v>3726</v>
      </c>
      <c r="C2409" s="1" t="s">
        <v>4</v>
      </c>
      <c r="D2409" s="1">
        <f>COUNTIFS('Raw Entries'!B:B,Table4[[#This Row],[Name]],'Raw Entries'!I:I,Table4[[#This Row],[BOOK No.]])</f>
        <v>0</v>
      </c>
      <c r="E2409" s="1">
        <f t="array" ref="E2409">IF(OR(Table4[[#This Row],[INSTALLMENT]]=1,Table4[[#This Row],[INSTALLMENT]]=2,Table4[[#This Row],[INSTALLMENT]]=3),1,0)</f>
        <v>0</v>
      </c>
      <c r="F2409" s="1">
        <f>IF(OR(Table4[[#This Row],[INSTALLMENT]]=2,Table4[[#This Row],[INSTALLMENT]]=3),2,0)</f>
        <v>0</v>
      </c>
      <c r="G2409" s="1">
        <f>IF(OR(Table4[[#This Row],[INSTALLMENT]]=3),3,0)</f>
        <v>0</v>
      </c>
    </row>
    <row r="2410" spans="1:7">
      <c r="A2410" s="1">
        <v>3008</v>
      </c>
      <c r="B2410" s="1" t="s">
        <v>3727</v>
      </c>
      <c r="C2410" s="1" t="s">
        <v>4</v>
      </c>
      <c r="D2410" s="1">
        <f>COUNTIFS('Raw Entries'!B:B,Table4[[#This Row],[Name]],'Raw Entries'!I:I,Table4[[#This Row],[BOOK No.]])</f>
        <v>0</v>
      </c>
      <c r="E2410" s="1">
        <f t="array" ref="E2410">IF(OR(Table4[[#This Row],[INSTALLMENT]]=1,Table4[[#This Row],[INSTALLMENT]]=2,Table4[[#This Row],[INSTALLMENT]]=3),1,0)</f>
        <v>0</v>
      </c>
      <c r="F2410" s="1">
        <f>IF(OR(Table4[[#This Row],[INSTALLMENT]]=2,Table4[[#This Row],[INSTALLMENT]]=3),2,0)</f>
        <v>0</v>
      </c>
      <c r="G2410" s="1">
        <f>IF(OR(Table4[[#This Row],[INSTALLMENT]]=3),3,0)</f>
        <v>0</v>
      </c>
    </row>
    <row r="2411" spans="1:7">
      <c r="A2411" s="1">
        <v>3009</v>
      </c>
      <c r="B2411" s="1" t="s">
        <v>8</v>
      </c>
      <c r="C2411" s="1" t="s">
        <v>4</v>
      </c>
      <c r="D2411" s="1">
        <f>COUNTIFS('Raw Entries'!B:B,Table4[[#This Row],[Name]],'Raw Entries'!I:I,Table4[[#This Row],[BOOK No.]])</f>
        <v>1</v>
      </c>
      <c r="E2411" s="1">
        <f t="array" ref="E2411">IF(OR(Table4[[#This Row],[INSTALLMENT]]=1,Table4[[#This Row],[INSTALLMENT]]=2,Table4[[#This Row],[INSTALLMENT]]=3),1,0)</f>
        <v>1</v>
      </c>
      <c r="F2411" s="1">
        <f>IF(OR(Table4[[#This Row],[INSTALLMENT]]=2,Table4[[#This Row],[INSTALLMENT]]=3),2,0)</f>
        <v>0</v>
      </c>
      <c r="G2411" s="1">
        <f>IF(OR(Table4[[#This Row],[INSTALLMENT]]=3),3,0)</f>
        <v>0</v>
      </c>
    </row>
    <row r="2412" spans="1:7">
      <c r="A2412" s="1">
        <v>3010</v>
      </c>
      <c r="B2412" s="1" t="s">
        <v>9</v>
      </c>
      <c r="C2412" s="1" t="s">
        <v>4</v>
      </c>
      <c r="D2412" s="1">
        <f>COUNTIFS('Raw Entries'!B:B,Table4[[#This Row],[Name]],'Raw Entries'!I:I,Table4[[#This Row],[BOOK No.]])</f>
        <v>3</v>
      </c>
      <c r="E2412" s="1">
        <f t="array" ref="E2412">IF(OR(Table4[[#This Row],[INSTALLMENT]]=1,Table4[[#This Row],[INSTALLMENT]]=2,Table4[[#This Row],[INSTALLMENT]]=3),1,0)</f>
        <v>1</v>
      </c>
      <c r="F2412" s="1">
        <f>IF(OR(Table4[[#This Row],[INSTALLMENT]]=2,Table4[[#This Row],[INSTALLMENT]]=3),2,0)</f>
        <v>2</v>
      </c>
      <c r="G2412" s="1">
        <f>IF(OR(Table4[[#This Row],[INSTALLMENT]]=3),3,0)</f>
        <v>3</v>
      </c>
    </row>
    <row r="2413" spans="1:7">
      <c r="A2413" s="1">
        <v>3011</v>
      </c>
      <c r="B2413" s="1" t="s">
        <v>3958</v>
      </c>
      <c r="C2413" s="1" t="s">
        <v>4</v>
      </c>
      <c r="D2413" s="1">
        <f>COUNTIFS('Raw Entries'!B:B,Table4[[#This Row],[Name]],'Raw Entries'!I:I,Table4[[#This Row],[BOOK No.]])</f>
        <v>0</v>
      </c>
      <c r="E2413" s="1">
        <f t="array" ref="E2413">IF(OR(Table4[[#This Row],[INSTALLMENT]]=1,Table4[[#This Row],[INSTALLMENT]]=2,Table4[[#This Row],[INSTALLMENT]]=3),1,0)</f>
        <v>0</v>
      </c>
      <c r="F2413" s="1">
        <f>IF(OR(Table4[[#This Row],[INSTALLMENT]]=2,Table4[[#This Row],[INSTALLMENT]]=3),2,0)</f>
        <v>0</v>
      </c>
      <c r="G2413" s="1">
        <f>IF(OR(Table4[[#This Row],[INSTALLMENT]]=3),3,0)</f>
        <v>0</v>
      </c>
    </row>
    <row r="2414" spans="1:7">
      <c r="A2414" s="1">
        <v>3012</v>
      </c>
      <c r="B2414" s="1" t="s">
        <v>3728</v>
      </c>
      <c r="C2414" s="1" t="s">
        <v>4</v>
      </c>
      <c r="D2414" s="1">
        <f>COUNTIFS('Raw Entries'!B:B,Table4[[#This Row],[Name]],'Raw Entries'!I:I,Table4[[#This Row],[BOOK No.]])</f>
        <v>0</v>
      </c>
      <c r="E2414" s="1">
        <f t="array" ref="E2414">IF(OR(Table4[[#This Row],[INSTALLMENT]]=1,Table4[[#This Row],[INSTALLMENT]]=2,Table4[[#This Row],[INSTALLMENT]]=3),1,0)</f>
        <v>0</v>
      </c>
      <c r="F2414" s="1">
        <f>IF(OR(Table4[[#This Row],[INSTALLMENT]]=2,Table4[[#This Row],[INSTALLMENT]]=3),2,0)</f>
        <v>0</v>
      </c>
      <c r="G2414" s="1">
        <f>IF(OR(Table4[[#This Row],[INSTALLMENT]]=3),3,0)</f>
        <v>0</v>
      </c>
    </row>
    <row r="2415" spans="1:7">
      <c r="A2415" s="1">
        <v>3013</v>
      </c>
      <c r="B2415" s="1" t="s">
        <v>13</v>
      </c>
      <c r="C2415" s="1" t="s">
        <v>4</v>
      </c>
      <c r="D2415" s="1">
        <f>COUNTIFS('Raw Entries'!B:B,Table4[[#This Row],[Name]],'Raw Entries'!I:I,Table4[[#This Row],[BOOK No.]])</f>
        <v>3</v>
      </c>
      <c r="E2415" s="1">
        <f t="array" ref="E2415">IF(OR(Table4[[#This Row],[INSTALLMENT]]=1,Table4[[#This Row],[INSTALLMENT]]=2,Table4[[#This Row],[INSTALLMENT]]=3),1,0)</f>
        <v>1</v>
      </c>
      <c r="F2415" s="1">
        <f>IF(OR(Table4[[#This Row],[INSTALLMENT]]=2,Table4[[#This Row],[INSTALLMENT]]=3),2,0)</f>
        <v>2</v>
      </c>
      <c r="G2415" s="1">
        <f>IF(OR(Table4[[#This Row],[INSTALLMENT]]=3),3,0)</f>
        <v>3</v>
      </c>
    </row>
    <row r="2416" spans="1:7">
      <c r="A2416" s="1">
        <v>3014</v>
      </c>
      <c r="B2416" s="1" t="s">
        <v>16</v>
      </c>
      <c r="C2416" s="1" t="s">
        <v>4</v>
      </c>
      <c r="D2416" s="1">
        <f>COUNTIFS('Raw Entries'!B:B,Table4[[#This Row],[Name]],'Raw Entries'!I:I,Table4[[#This Row],[BOOK No.]])</f>
        <v>1</v>
      </c>
      <c r="E2416" s="1">
        <f t="array" ref="E2416">IF(OR(Table4[[#This Row],[INSTALLMENT]]=1,Table4[[#This Row],[INSTALLMENT]]=2,Table4[[#This Row],[INSTALLMENT]]=3),1,0)</f>
        <v>1</v>
      </c>
      <c r="F2416" s="1">
        <f>IF(OR(Table4[[#This Row],[INSTALLMENT]]=2,Table4[[#This Row],[INSTALLMENT]]=3),2,0)</f>
        <v>0</v>
      </c>
      <c r="G2416" s="1">
        <f>IF(OR(Table4[[#This Row],[INSTALLMENT]]=3),3,0)</f>
        <v>0</v>
      </c>
    </row>
    <row r="2417" spans="1:7">
      <c r="A2417" s="1">
        <v>3015</v>
      </c>
      <c r="B2417" s="1" t="s">
        <v>3729</v>
      </c>
      <c r="C2417" s="1" t="s">
        <v>4</v>
      </c>
      <c r="D2417" s="1">
        <f>COUNTIFS('Raw Entries'!B:B,Table4[[#This Row],[Name]],'Raw Entries'!I:I,Table4[[#This Row],[BOOK No.]])</f>
        <v>0</v>
      </c>
      <c r="E2417" s="1">
        <f t="array" ref="E2417">IF(OR(Table4[[#This Row],[INSTALLMENT]]=1,Table4[[#This Row],[INSTALLMENT]]=2,Table4[[#This Row],[INSTALLMENT]]=3),1,0)</f>
        <v>0</v>
      </c>
      <c r="F2417" s="1">
        <f>IF(OR(Table4[[#This Row],[INSTALLMENT]]=2,Table4[[#This Row],[INSTALLMENT]]=3),2,0)</f>
        <v>0</v>
      </c>
      <c r="G2417" s="1">
        <f>IF(OR(Table4[[#This Row],[INSTALLMENT]]=3),3,0)</f>
        <v>0</v>
      </c>
    </row>
    <row r="2418" spans="1:7">
      <c r="A2418" s="1">
        <v>3016</v>
      </c>
      <c r="B2418" s="1" t="s">
        <v>10</v>
      </c>
      <c r="C2418" s="1" t="s">
        <v>4</v>
      </c>
      <c r="D2418" s="1">
        <f>COUNTIFS('Raw Entries'!B:B,Table4[[#This Row],[Name]],'Raw Entries'!I:I,Table4[[#This Row],[BOOK No.]])</f>
        <v>3</v>
      </c>
      <c r="E2418" s="1">
        <f t="array" ref="E2418">IF(OR(Table4[[#This Row],[INSTALLMENT]]=1,Table4[[#This Row],[INSTALLMENT]]=2,Table4[[#This Row],[INSTALLMENT]]=3),1,0)</f>
        <v>1</v>
      </c>
      <c r="F2418" s="1">
        <f>IF(OR(Table4[[#This Row],[INSTALLMENT]]=2,Table4[[#This Row],[INSTALLMENT]]=3),2,0)</f>
        <v>2</v>
      </c>
      <c r="G2418" s="1">
        <f>IF(OR(Table4[[#This Row],[INSTALLMENT]]=3),3,0)</f>
        <v>3</v>
      </c>
    </row>
    <row r="2419" spans="1:7">
      <c r="A2419" s="1">
        <v>3017</v>
      </c>
      <c r="B2419" s="1" t="s">
        <v>12</v>
      </c>
      <c r="C2419" s="1" t="s">
        <v>4</v>
      </c>
      <c r="D2419" s="1">
        <f>COUNTIFS('Raw Entries'!B:B,Table4[[#This Row],[Name]],'Raw Entries'!I:I,Table4[[#This Row],[BOOK No.]])</f>
        <v>1</v>
      </c>
      <c r="E2419" s="1">
        <f t="array" ref="E2419">IF(OR(Table4[[#This Row],[INSTALLMENT]]=1,Table4[[#This Row],[INSTALLMENT]]=2,Table4[[#This Row],[INSTALLMENT]]=3),1,0)</f>
        <v>1</v>
      </c>
      <c r="F2419" s="1">
        <f>IF(OR(Table4[[#This Row],[INSTALLMENT]]=2,Table4[[#This Row],[INSTALLMENT]]=3),2,0)</f>
        <v>0</v>
      </c>
      <c r="G2419" s="1">
        <f>IF(OR(Table4[[#This Row],[INSTALLMENT]]=3),3,0)</f>
        <v>0</v>
      </c>
    </row>
    <row r="2420" spans="1:7">
      <c r="A2420" s="1">
        <v>3018</v>
      </c>
      <c r="B2420" s="1" t="s">
        <v>15</v>
      </c>
      <c r="C2420" s="1" t="s">
        <v>4</v>
      </c>
      <c r="D2420" s="1">
        <f>COUNTIFS('Raw Entries'!B:B,Table4[[#This Row],[Name]],'Raw Entries'!I:I,Table4[[#This Row],[BOOK No.]])</f>
        <v>3</v>
      </c>
      <c r="E2420" s="1">
        <f t="array" ref="E2420">IF(OR(Table4[[#This Row],[INSTALLMENT]]=1,Table4[[#This Row],[INSTALLMENT]]=2,Table4[[#This Row],[INSTALLMENT]]=3),1,0)</f>
        <v>1</v>
      </c>
      <c r="F2420" s="1">
        <f>IF(OR(Table4[[#This Row],[INSTALLMENT]]=2,Table4[[#This Row],[INSTALLMENT]]=3),2,0)</f>
        <v>2</v>
      </c>
      <c r="G2420" s="1">
        <f>IF(OR(Table4[[#This Row],[INSTALLMENT]]=3),3,0)</f>
        <v>3</v>
      </c>
    </row>
    <row r="2421" spans="1:7">
      <c r="A2421" s="1">
        <v>3019</v>
      </c>
      <c r="B2421" s="1" t="s">
        <v>3730</v>
      </c>
      <c r="C2421" s="1" t="s">
        <v>4</v>
      </c>
      <c r="D2421" s="1">
        <f>COUNTIFS('Raw Entries'!B:B,Table4[[#This Row],[Name]],'Raw Entries'!I:I,Table4[[#This Row],[BOOK No.]])</f>
        <v>1</v>
      </c>
      <c r="E2421" s="1">
        <f t="array" ref="E2421">IF(OR(Table4[[#This Row],[INSTALLMENT]]=1,Table4[[#This Row],[INSTALLMENT]]=2,Table4[[#This Row],[INSTALLMENT]]=3),1,0)</f>
        <v>1</v>
      </c>
      <c r="F2421" s="1">
        <f>IF(OR(Table4[[#This Row],[INSTALLMENT]]=2,Table4[[#This Row],[INSTALLMENT]]=3),2,0)</f>
        <v>0</v>
      </c>
      <c r="G2421" s="1">
        <f>IF(OR(Table4[[#This Row],[INSTALLMENT]]=3),3,0)</f>
        <v>0</v>
      </c>
    </row>
    <row r="2422" spans="1:7">
      <c r="A2422" s="1">
        <v>3020</v>
      </c>
      <c r="B2422" s="1" t="s">
        <v>3731</v>
      </c>
      <c r="C2422" s="1" t="s">
        <v>4</v>
      </c>
      <c r="D2422" s="1">
        <f>COUNTIFS('Raw Entries'!B:B,Table4[[#This Row],[Name]],'Raw Entries'!I:I,Table4[[#This Row],[BOOK No.]])</f>
        <v>1</v>
      </c>
      <c r="E2422" s="1">
        <f t="array" ref="E2422">IF(OR(Table4[[#This Row],[INSTALLMENT]]=1,Table4[[#This Row],[INSTALLMENT]]=2,Table4[[#This Row],[INSTALLMENT]]=3),1,0)</f>
        <v>1</v>
      </c>
      <c r="F2422" s="1">
        <f>IF(OR(Table4[[#This Row],[INSTALLMENT]]=2,Table4[[#This Row],[INSTALLMENT]]=3),2,0)</f>
        <v>0</v>
      </c>
      <c r="G2422" s="1">
        <f>IF(OR(Table4[[#This Row],[INSTALLMENT]]=3),3,0)</f>
        <v>0</v>
      </c>
    </row>
    <row r="2423" spans="1:7">
      <c r="A2423" s="1">
        <v>3021</v>
      </c>
      <c r="B2423" s="1" t="s">
        <v>623</v>
      </c>
      <c r="C2423" s="1" t="s">
        <v>4</v>
      </c>
      <c r="D2423" s="1">
        <f>COUNTIFS('Raw Entries'!B:B,Table4[[#This Row],[Name]],'Raw Entries'!I:I,Table4[[#This Row],[BOOK No.]])</f>
        <v>3</v>
      </c>
      <c r="E2423" s="1">
        <f t="array" ref="E2423">IF(OR(Table4[[#This Row],[INSTALLMENT]]=1,Table4[[#This Row],[INSTALLMENT]]=2,Table4[[#This Row],[INSTALLMENT]]=3),1,0)</f>
        <v>1</v>
      </c>
      <c r="F2423" s="1">
        <f>IF(OR(Table4[[#This Row],[INSTALLMENT]]=2,Table4[[#This Row],[INSTALLMENT]]=3),2,0)</f>
        <v>2</v>
      </c>
      <c r="G2423" s="1">
        <f>IF(OR(Table4[[#This Row],[INSTALLMENT]]=3),3,0)</f>
        <v>3</v>
      </c>
    </row>
    <row r="2424" spans="1:7">
      <c r="A2424" s="1">
        <v>3022</v>
      </c>
      <c r="B2424" s="1" t="s">
        <v>3959</v>
      </c>
      <c r="C2424" s="1" t="s">
        <v>4</v>
      </c>
      <c r="D2424" s="1">
        <f>COUNTIFS('Raw Entries'!B:B,Table4[[#This Row],[Name]],'Raw Entries'!I:I,Table4[[#This Row],[BOOK No.]])</f>
        <v>0</v>
      </c>
      <c r="E2424" s="1">
        <f t="array" ref="E2424">IF(OR(Table4[[#This Row],[INSTALLMENT]]=1,Table4[[#This Row],[INSTALLMENT]]=2,Table4[[#This Row],[INSTALLMENT]]=3),1,0)</f>
        <v>0</v>
      </c>
      <c r="F2424" s="1">
        <f>IF(OR(Table4[[#This Row],[INSTALLMENT]]=2,Table4[[#This Row],[INSTALLMENT]]=3),2,0)</f>
        <v>0</v>
      </c>
      <c r="G2424" s="1">
        <f>IF(OR(Table4[[#This Row],[INSTALLMENT]]=3),3,0)</f>
        <v>0</v>
      </c>
    </row>
    <row r="2425" spans="1:7">
      <c r="A2425" s="1">
        <v>3023</v>
      </c>
      <c r="B2425" s="1" t="s">
        <v>14</v>
      </c>
      <c r="C2425" s="1" t="s">
        <v>4</v>
      </c>
      <c r="D2425" s="1">
        <f>COUNTIFS('Raw Entries'!B:B,Table4[[#This Row],[Name]],'Raw Entries'!I:I,Table4[[#This Row],[BOOK No.]])</f>
        <v>1</v>
      </c>
      <c r="E2425" s="1">
        <f t="array" ref="E2425">IF(OR(Table4[[#This Row],[INSTALLMENT]]=1,Table4[[#This Row],[INSTALLMENT]]=2,Table4[[#This Row],[INSTALLMENT]]=3),1,0)</f>
        <v>1</v>
      </c>
      <c r="F2425" s="1">
        <f>IF(OR(Table4[[#This Row],[INSTALLMENT]]=2,Table4[[#This Row],[INSTALLMENT]]=3),2,0)</f>
        <v>0</v>
      </c>
      <c r="G2425" s="1">
        <f>IF(OR(Table4[[#This Row],[INSTALLMENT]]=3),3,0)</f>
        <v>0</v>
      </c>
    </row>
    <row r="2426" spans="1:7">
      <c r="A2426" s="1">
        <v>3024</v>
      </c>
      <c r="B2426" s="1" t="s">
        <v>2073</v>
      </c>
      <c r="C2426" s="1" t="s">
        <v>4</v>
      </c>
      <c r="D2426" s="1">
        <f>COUNTIFS('Raw Entries'!B:B,Table4[[#This Row],[Name]],'Raw Entries'!I:I,Table4[[#This Row],[BOOK No.]])</f>
        <v>0</v>
      </c>
      <c r="E2426" s="1">
        <f t="array" ref="E2426">IF(OR(Table4[[#This Row],[INSTALLMENT]]=1,Table4[[#This Row],[INSTALLMENT]]=2,Table4[[#This Row],[INSTALLMENT]]=3),1,0)</f>
        <v>0</v>
      </c>
      <c r="F2426" s="1">
        <f>IF(OR(Table4[[#This Row],[INSTALLMENT]]=2,Table4[[#This Row],[INSTALLMENT]]=3),2,0)</f>
        <v>0</v>
      </c>
      <c r="G2426" s="1">
        <f>IF(OR(Table4[[#This Row],[INSTALLMENT]]=3),3,0)</f>
        <v>0</v>
      </c>
    </row>
    <row r="2427" spans="1:7">
      <c r="A2427" s="1">
        <v>3025</v>
      </c>
      <c r="B2427" s="1" t="s">
        <v>7</v>
      </c>
      <c r="C2427" s="1" t="s">
        <v>4</v>
      </c>
      <c r="D2427" s="1">
        <f>COUNTIFS('Raw Entries'!B:B,Table4[[#This Row],[Name]],'Raw Entries'!I:I,Table4[[#This Row],[BOOK No.]])</f>
        <v>3</v>
      </c>
      <c r="E2427" s="1">
        <f t="array" ref="E2427">IF(OR(Table4[[#This Row],[INSTALLMENT]]=1,Table4[[#This Row],[INSTALLMENT]]=2,Table4[[#This Row],[INSTALLMENT]]=3),1,0)</f>
        <v>1</v>
      </c>
      <c r="F2427" s="1">
        <f>IF(OR(Table4[[#This Row],[INSTALLMENT]]=2,Table4[[#This Row],[INSTALLMENT]]=3),2,0)</f>
        <v>2</v>
      </c>
      <c r="G2427" s="1">
        <f>IF(OR(Table4[[#This Row],[INSTALLMENT]]=3),3,0)</f>
        <v>3</v>
      </c>
    </row>
    <row r="2428" spans="1:7">
      <c r="A2428" s="1">
        <v>3026</v>
      </c>
      <c r="B2428" s="1" t="s">
        <v>19</v>
      </c>
      <c r="C2428" s="1" t="s">
        <v>4</v>
      </c>
      <c r="D2428" s="1">
        <f>COUNTIFS('Raw Entries'!B:B,Table4[[#This Row],[Name]],'Raw Entries'!I:I,Table4[[#This Row],[BOOK No.]])</f>
        <v>1</v>
      </c>
      <c r="E2428" s="1">
        <f t="array" ref="E2428">IF(OR(Table4[[#This Row],[INSTALLMENT]]=1,Table4[[#This Row],[INSTALLMENT]]=2,Table4[[#This Row],[INSTALLMENT]]=3),1,0)</f>
        <v>1</v>
      </c>
      <c r="F2428" s="1">
        <f>IF(OR(Table4[[#This Row],[INSTALLMENT]]=2,Table4[[#This Row],[INSTALLMENT]]=3),2,0)</f>
        <v>0</v>
      </c>
      <c r="G2428" s="1">
        <f>IF(OR(Table4[[#This Row],[INSTALLMENT]]=3),3,0)</f>
        <v>0</v>
      </c>
    </row>
    <row r="2429" spans="1:7">
      <c r="A2429" s="1">
        <v>3027</v>
      </c>
      <c r="B2429" s="1" t="s">
        <v>3732</v>
      </c>
      <c r="C2429" s="1" t="s">
        <v>4</v>
      </c>
      <c r="D2429" s="1">
        <f>COUNTIFS('Raw Entries'!B:B,Table4[[#This Row],[Name]],'Raw Entries'!I:I,Table4[[#This Row],[BOOK No.]])</f>
        <v>0</v>
      </c>
      <c r="E2429" s="1">
        <f t="array" ref="E2429">IF(OR(Table4[[#This Row],[INSTALLMENT]]=1,Table4[[#This Row],[INSTALLMENT]]=2,Table4[[#This Row],[INSTALLMENT]]=3),1,0)</f>
        <v>0</v>
      </c>
      <c r="F2429" s="1">
        <f>IF(OR(Table4[[#This Row],[INSTALLMENT]]=2,Table4[[#This Row],[INSTALLMENT]]=3),2,0)</f>
        <v>0</v>
      </c>
      <c r="G2429" s="1">
        <f>IF(OR(Table4[[#This Row],[INSTALLMENT]]=3),3,0)</f>
        <v>0</v>
      </c>
    </row>
    <row r="2430" spans="1:7">
      <c r="A2430" s="1">
        <v>3028</v>
      </c>
      <c r="B2430" s="1" t="s">
        <v>3733</v>
      </c>
      <c r="C2430" s="1" t="s">
        <v>4</v>
      </c>
      <c r="D2430" s="1">
        <f>COUNTIFS('Raw Entries'!B:B,Table4[[#This Row],[Name]],'Raw Entries'!I:I,Table4[[#This Row],[BOOK No.]])</f>
        <v>0</v>
      </c>
      <c r="E2430" s="1">
        <f t="array" ref="E2430">IF(OR(Table4[[#This Row],[INSTALLMENT]]=1,Table4[[#This Row],[INSTALLMENT]]=2,Table4[[#This Row],[INSTALLMENT]]=3),1,0)</f>
        <v>0</v>
      </c>
      <c r="F2430" s="1">
        <f>IF(OR(Table4[[#This Row],[INSTALLMENT]]=2,Table4[[#This Row],[INSTALLMENT]]=3),2,0)</f>
        <v>0</v>
      </c>
      <c r="G2430" s="1">
        <f>IF(OR(Table4[[#This Row],[INSTALLMENT]]=3),3,0)</f>
        <v>0</v>
      </c>
    </row>
    <row r="2431" spans="1:7">
      <c r="A2431" s="1">
        <v>3029</v>
      </c>
      <c r="B2431" s="1" t="s">
        <v>3734</v>
      </c>
      <c r="C2431" s="1" t="s">
        <v>4</v>
      </c>
      <c r="D2431" s="1">
        <f>COUNTIFS('Raw Entries'!B:B,Table4[[#This Row],[Name]],'Raw Entries'!I:I,Table4[[#This Row],[BOOK No.]])</f>
        <v>0</v>
      </c>
      <c r="E2431" s="1">
        <f t="array" ref="E2431">IF(OR(Table4[[#This Row],[INSTALLMENT]]=1,Table4[[#This Row],[INSTALLMENT]]=2,Table4[[#This Row],[INSTALLMENT]]=3),1,0)</f>
        <v>0</v>
      </c>
      <c r="F2431" s="1">
        <f>IF(OR(Table4[[#This Row],[INSTALLMENT]]=2,Table4[[#This Row],[INSTALLMENT]]=3),2,0)</f>
        <v>0</v>
      </c>
      <c r="G2431" s="1">
        <f>IF(OR(Table4[[#This Row],[INSTALLMENT]]=3),3,0)</f>
        <v>0</v>
      </c>
    </row>
    <row r="2432" spans="1:7">
      <c r="A2432" s="1">
        <v>3030</v>
      </c>
      <c r="B2432" s="41" t="s">
        <v>11</v>
      </c>
      <c r="C2432" s="1" t="s">
        <v>4</v>
      </c>
      <c r="D2432" s="1">
        <f>COUNTIFS('Raw Entries'!B:B,Table4[[#This Row],[Name]],'Raw Entries'!I:I,Table4[[#This Row],[BOOK No.]])</f>
        <v>2</v>
      </c>
      <c r="E2432" s="1">
        <f t="array" ref="E2432">IF(OR(Table4[[#This Row],[INSTALLMENT]]=1,Table4[[#This Row],[INSTALLMENT]]=2,Table4[[#This Row],[INSTALLMENT]]=3),1,0)</f>
        <v>1</v>
      </c>
      <c r="F2432" s="1">
        <f>IF(OR(Table4[[#This Row],[INSTALLMENT]]=2,Table4[[#This Row],[INSTALLMENT]]=3),2,0)</f>
        <v>2</v>
      </c>
      <c r="G2432" s="1">
        <f>IF(OR(Table4[[#This Row],[INSTALLMENT]]=3),3,0)</f>
        <v>0</v>
      </c>
    </row>
    <row r="2433" spans="1:7">
      <c r="A2433" s="1">
        <v>3031</v>
      </c>
      <c r="B2433" s="1" t="s">
        <v>624</v>
      </c>
      <c r="C2433" s="1" t="s">
        <v>4</v>
      </c>
      <c r="D2433" s="1">
        <f>COUNTIFS('Raw Entries'!B:B,Table4[[#This Row],[Name]],'Raw Entries'!I:I,Table4[[#This Row],[BOOK No.]])</f>
        <v>1</v>
      </c>
      <c r="E2433" s="1">
        <f t="array" ref="E2433">IF(OR(Table4[[#This Row],[INSTALLMENT]]=1,Table4[[#This Row],[INSTALLMENT]]=2,Table4[[#This Row],[INSTALLMENT]]=3),1,0)</f>
        <v>1</v>
      </c>
      <c r="F2433" s="1">
        <f>IF(OR(Table4[[#This Row],[INSTALLMENT]]=2,Table4[[#This Row],[INSTALLMENT]]=3),2,0)</f>
        <v>0</v>
      </c>
      <c r="G2433" s="1">
        <f>IF(OR(Table4[[#This Row],[INSTALLMENT]]=3),3,0)</f>
        <v>0</v>
      </c>
    </row>
    <row r="2434" spans="1:7">
      <c r="A2434" s="1">
        <v>3032</v>
      </c>
      <c r="B2434" s="1" t="s">
        <v>3735</v>
      </c>
      <c r="C2434" s="1" t="s">
        <v>4</v>
      </c>
      <c r="D2434" s="1">
        <f>COUNTIFS('Raw Entries'!B:B,Table4[[#This Row],[Name]],'Raw Entries'!I:I,Table4[[#This Row],[BOOK No.]])</f>
        <v>3</v>
      </c>
      <c r="E2434" s="1">
        <f t="array" ref="E2434">IF(OR(Table4[[#This Row],[INSTALLMENT]]=1,Table4[[#This Row],[INSTALLMENT]]=2,Table4[[#This Row],[INSTALLMENT]]=3),1,0)</f>
        <v>1</v>
      </c>
      <c r="F2434" s="1">
        <f>IF(OR(Table4[[#This Row],[INSTALLMENT]]=2,Table4[[#This Row],[INSTALLMENT]]=3),2,0)</f>
        <v>2</v>
      </c>
      <c r="G2434" s="1">
        <f>IF(OR(Table4[[#This Row],[INSTALLMENT]]=3),3,0)</f>
        <v>3</v>
      </c>
    </row>
    <row r="2435" spans="1:7">
      <c r="A2435" s="1">
        <v>3033</v>
      </c>
      <c r="B2435" s="1" t="s">
        <v>3736</v>
      </c>
      <c r="C2435" s="1" t="s">
        <v>4</v>
      </c>
      <c r="D2435" s="1">
        <f>COUNTIFS('Raw Entries'!B:B,Table4[[#This Row],[Name]],'Raw Entries'!I:I,Table4[[#This Row],[BOOK No.]])</f>
        <v>0</v>
      </c>
      <c r="E2435" s="1">
        <f t="array" ref="E2435">IF(OR(Table4[[#This Row],[INSTALLMENT]]=1,Table4[[#This Row],[INSTALLMENT]]=2,Table4[[#This Row],[INSTALLMENT]]=3),1,0)</f>
        <v>0</v>
      </c>
      <c r="F2435" s="1">
        <f>IF(OR(Table4[[#This Row],[INSTALLMENT]]=2,Table4[[#This Row],[INSTALLMENT]]=3),2,0)</f>
        <v>0</v>
      </c>
      <c r="G2435" s="1">
        <f>IF(OR(Table4[[#This Row],[INSTALLMENT]]=3),3,0)</f>
        <v>0</v>
      </c>
    </row>
    <row r="2436" spans="1:7">
      <c r="A2436" s="1">
        <v>3034</v>
      </c>
      <c r="B2436" s="1" t="s">
        <v>1913</v>
      </c>
      <c r="C2436" s="1" t="s">
        <v>20</v>
      </c>
      <c r="D2436" s="1">
        <f>COUNTIFS('Raw Entries'!B:B,Table4[[#This Row],[Name]],'Raw Entries'!I:I,Table4[[#This Row],[BOOK No.]])</f>
        <v>2</v>
      </c>
      <c r="E2436" s="1">
        <f t="array" ref="E2436">IF(OR(Table4[[#This Row],[INSTALLMENT]]=1,Table4[[#This Row],[INSTALLMENT]]=2,Table4[[#This Row],[INSTALLMENT]]=3),1,0)</f>
        <v>1</v>
      </c>
      <c r="F2436" s="1">
        <f>IF(OR(Table4[[#This Row],[INSTALLMENT]]=2,Table4[[#This Row],[INSTALLMENT]]=3),2,0)</f>
        <v>2</v>
      </c>
      <c r="G2436" s="1">
        <f>IF(OR(Table4[[#This Row],[INSTALLMENT]]=3),3,0)</f>
        <v>0</v>
      </c>
    </row>
    <row r="2437" spans="1:7">
      <c r="A2437" s="1">
        <v>3035</v>
      </c>
      <c r="B2437" s="1" t="s">
        <v>559</v>
      </c>
      <c r="C2437" s="1" t="s">
        <v>20</v>
      </c>
      <c r="D2437" s="1">
        <f>COUNTIFS('Raw Entries'!B:B,Table4[[#This Row],[Name]],'Raw Entries'!I:I,Table4[[#This Row],[BOOK No.]])</f>
        <v>0</v>
      </c>
      <c r="E2437" s="1">
        <f t="array" ref="E2437">IF(OR(Table4[[#This Row],[INSTALLMENT]]=1,Table4[[#This Row],[INSTALLMENT]]=2,Table4[[#This Row],[INSTALLMENT]]=3),1,0)</f>
        <v>0</v>
      </c>
      <c r="F2437" s="1">
        <f>IF(OR(Table4[[#This Row],[INSTALLMENT]]=2,Table4[[#This Row],[INSTALLMENT]]=3),2,0)</f>
        <v>0</v>
      </c>
      <c r="G2437" s="1">
        <f>IF(OR(Table4[[#This Row],[INSTALLMENT]]=3),3,0)</f>
        <v>0</v>
      </c>
    </row>
    <row r="2438" spans="1:7">
      <c r="A2438" s="1">
        <v>3036</v>
      </c>
      <c r="B2438" s="1" t="s">
        <v>3737</v>
      </c>
      <c r="C2438" s="1" t="s">
        <v>20</v>
      </c>
      <c r="D2438" s="1">
        <f>COUNTIFS('Raw Entries'!B:B,Table4[[#This Row],[Name]],'Raw Entries'!I:I,Table4[[#This Row],[BOOK No.]])</f>
        <v>0</v>
      </c>
      <c r="E2438" s="1">
        <f t="array" ref="E2438">IF(OR(Table4[[#This Row],[INSTALLMENT]]=1,Table4[[#This Row],[INSTALLMENT]]=2,Table4[[#This Row],[INSTALLMENT]]=3),1,0)</f>
        <v>0</v>
      </c>
      <c r="F2438" s="1">
        <f>IF(OR(Table4[[#This Row],[INSTALLMENT]]=2,Table4[[#This Row],[INSTALLMENT]]=3),2,0)</f>
        <v>0</v>
      </c>
      <c r="G2438" s="1">
        <f>IF(OR(Table4[[#This Row],[INSTALLMENT]]=3),3,0)</f>
        <v>0</v>
      </c>
    </row>
    <row r="2439" spans="1:7">
      <c r="A2439" s="1">
        <v>3037</v>
      </c>
      <c r="B2439" s="1" t="s">
        <v>3738</v>
      </c>
      <c r="C2439" s="1" t="s">
        <v>20</v>
      </c>
      <c r="D2439" s="1">
        <f>COUNTIFS('Raw Entries'!B:B,Table4[[#This Row],[Name]],'Raw Entries'!I:I,Table4[[#This Row],[BOOK No.]])</f>
        <v>0</v>
      </c>
      <c r="E2439" s="1">
        <f t="array" ref="E2439">IF(OR(Table4[[#This Row],[INSTALLMENT]]=1,Table4[[#This Row],[INSTALLMENT]]=2,Table4[[#This Row],[INSTALLMENT]]=3),1,0)</f>
        <v>0</v>
      </c>
      <c r="F2439" s="1">
        <f>IF(OR(Table4[[#This Row],[INSTALLMENT]]=2,Table4[[#This Row],[INSTALLMENT]]=3),2,0)</f>
        <v>0</v>
      </c>
      <c r="G2439" s="1">
        <f>IF(OR(Table4[[#This Row],[INSTALLMENT]]=3),3,0)</f>
        <v>0</v>
      </c>
    </row>
    <row r="2440" spans="1:7">
      <c r="A2440" s="1">
        <v>3038</v>
      </c>
      <c r="B2440" s="1" t="s">
        <v>3739</v>
      </c>
      <c r="C2440" s="1" t="s">
        <v>20</v>
      </c>
      <c r="D2440" s="1">
        <f>COUNTIFS('Raw Entries'!B:B,Table4[[#This Row],[Name]],'Raw Entries'!I:I,Table4[[#This Row],[BOOK No.]])</f>
        <v>0</v>
      </c>
      <c r="E2440" s="1">
        <f t="array" ref="E2440">IF(OR(Table4[[#This Row],[INSTALLMENT]]=1,Table4[[#This Row],[INSTALLMENT]]=2,Table4[[#This Row],[INSTALLMENT]]=3),1,0)</f>
        <v>0</v>
      </c>
      <c r="F2440" s="1">
        <f>IF(OR(Table4[[#This Row],[INSTALLMENT]]=2,Table4[[#This Row],[INSTALLMENT]]=3),2,0)</f>
        <v>0</v>
      </c>
      <c r="G2440" s="1">
        <f>IF(OR(Table4[[#This Row],[INSTALLMENT]]=3),3,0)</f>
        <v>0</v>
      </c>
    </row>
    <row r="2441" spans="1:7">
      <c r="A2441" s="1">
        <v>3039</v>
      </c>
      <c r="B2441" s="1" t="s">
        <v>3740</v>
      </c>
      <c r="C2441" s="1" t="s">
        <v>20</v>
      </c>
      <c r="D2441" s="1">
        <f>COUNTIFS('Raw Entries'!B:B,Table4[[#This Row],[Name]],'Raw Entries'!I:I,Table4[[#This Row],[BOOK No.]])</f>
        <v>0</v>
      </c>
      <c r="E2441" s="1">
        <f t="array" ref="E2441">IF(OR(Table4[[#This Row],[INSTALLMENT]]=1,Table4[[#This Row],[INSTALLMENT]]=2,Table4[[#This Row],[INSTALLMENT]]=3),1,0)</f>
        <v>0</v>
      </c>
      <c r="F2441" s="1">
        <f>IF(OR(Table4[[#This Row],[INSTALLMENT]]=2,Table4[[#This Row],[INSTALLMENT]]=3),2,0)</f>
        <v>0</v>
      </c>
      <c r="G2441" s="1">
        <f>IF(OR(Table4[[#This Row],[INSTALLMENT]]=3),3,0)</f>
        <v>0</v>
      </c>
    </row>
    <row r="2442" spans="1:7">
      <c r="A2442" s="1">
        <v>3040</v>
      </c>
      <c r="B2442" s="1" t="s">
        <v>21</v>
      </c>
      <c r="C2442" s="1" t="s">
        <v>20</v>
      </c>
      <c r="D2442" s="1">
        <f>COUNTIFS('Raw Entries'!B:B,Table4[[#This Row],[Name]],'Raw Entries'!I:I,Table4[[#This Row],[BOOK No.]])</f>
        <v>3</v>
      </c>
      <c r="E2442" s="1">
        <f t="array" ref="E2442">IF(OR(Table4[[#This Row],[INSTALLMENT]]=1,Table4[[#This Row],[INSTALLMENT]]=2,Table4[[#This Row],[INSTALLMENT]]=3),1,0)</f>
        <v>1</v>
      </c>
      <c r="F2442" s="1">
        <f>IF(OR(Table4[[#This Row],[INSTALLMENT]]=2,Table4[[#This Row],[INSTALLMENT]]=3),2,0)</f>
        <v>2</v>
      </c>
      <c r="G2442" s="1">
        <f>IF(OR(Table4[[#This Row],[INSTALLMENT]]=3),3,0)</f>
        <v>3</v>
      </c>
    </row>
    <row r="2443" spans="1:7">
      <c r="A2443" s="1">
        <v>3041</v>
      </c>
      <c r="B2443" s="1" t="s">
        <v>30</v>
      </c>
      <c r="C2443" s="1" t="s">
        <v>20</v>
      </c>
      <c r="D2443" s="1">
        <f>COUNTIFS('Raw Entries'!B:B,Table4[[#This Row],[Name]],'Raw Entries'!I:I,Table4[[#This Row],[BOOK No.]])</f>
        <v>1</v>
      </c>
      <c r="E2443" s="1">
        <f t="array" ref="E2443">IF(OR(Table4[[#This Row],[INSTALLMENT]]=1,Table4[[#This Row],[INSTALLMENT]]=2,Table4[[#This Row],[INSTALLMENT]]=3),1,0)</f>
        <v>1</v>
      </c>
      <c r="F2443" s="1">
        <f>IF(OR(Table4[[#This Row],[INSTALLMENT]]=2,Table4[[#This Row],[INSTALLMENT]]=3),2,0)</f>
        <v>0</v>
      </c>
      <c r="G2443" s="1">
        <f>IF(OR(Table4[[#This Row],[INSTALLMENT]]=3),3,0)</f>
        <v>0</v>
      </c>
    </row>
    <row r="2444" spans="1:7">
      <c r="A2444" s="1">
        <v>3042</v>
      </c>
      <c r="B2444" s="1" t="s">
        <v>3741</v>
      </c>
      <c r="C2444" s="1" t="s">
        <v>20</v>
      </c>
      <c r="D2444" s="1">
        <f>COUNTIFS('Raw Entries'!B:B,Table4[[#This Row],[Name]],'Raw Entries'!I:I,Table4[[#This Row],[BOOK No.]])</f>
        <v>0</v>
      </c>
      <c r="E2444" s="1">
        <f t="array" ref="E2444">IF(OR(Table4[[#This Row],[INSTALLMENT]]=1,Table4[[#This Row],[INSTALLMENT]]=2,Table4[[#This Row],[INSTALLMENT]]=3),1,0)</f>
        <v>0</v>
      </c>
      <c r="F2444" s="1">
        <f>IF(OR(Table4[[#This Row],[INSTALLMENT]]=2,Table4[[#This Row],[INSTALLMENT]]=3),2,0)</f>
        <v>0</v>
      </c>
      <c r="G2444" s="1">
        <f>IF(OR(Table4[[#This Row],[INSTALLMENT]]=3),3,0)</f>
        <v>0</v>
      </c>
    </row>
    <row r="2445" spans="1:7">
      <c r="A2445" s="1">
        <v>3043</v>
      </c>
      <c r="B2445" s="1" t="s">
        <v>3742</v>
      </c>
      <c r="C2445" s="1" t="s">
        <v>20</v>
      </c>
      <c r="D2445" s="1">
        <f>COUNTIFS('Raw Entries'!B:B,Table4[[#This Row],[Name]],'Raw Entries'!I:I,Table4[[#This Row],[BOOK No.]])</f>
        <v>0</v>
      </c>
      <c r="E2445" s="1">
        <f t="array" ref="E2445">IF(OR(Table4[[#This Row],[INSTALLMENT]]=1,Table4[[#This Row],[INSTALLMENT]]=2,Table4[[#This Row],[INSTALLMENT]]=3),1,0)</f>
        <v>0</v>
      </c>
      <c r="F2445" s="1">
        <f>IF(OR(Table4[[#This Row],[INSTALLMENT]]=2,Table4[[#This Row],[INSTALLMENT]]=3),2,0)</f>
        <v>0</v>
      </c>
      <c r="G2445" s="1">
        <f>IF(OR(Table4[[#This Row],[INSTALLMENT]]=3),3,0)</f>
        <v>0</v>
      </c>
    </row>
    <row r="2446" spans="1:7">
      <c r="A2446" s="1">
        <v>3044</v>
      </c>
      <c r="B2446" s="1" t="s">
        <v>3743</v>
      </c>
      <c r="C2446" s="1" t="s">
        <v>20</v>
      </c>
      <c r="D2446" s="1">
        <f>COUNTIFS('Raw Entries'!B:B,Table4[[#This Row],[Name]],'Raw Entries'!I:I,Table4[[#This Row],[BOOK No.]])</f>
        <v>0</v>
      </c>
      <c r="E2446" s="1">
        <f t="array" ref="E2446">IF(OR(Table4[[#This Row],[INSTALLMENT]]=1,Table4[[#This Row],[INSTALLMENT]]=2,Table4[[#This Row],[INSTALLMENT]]=3),1,0)</f>
        <v>0</v>
      </c>
      <c r="F2446" s="1">
        <f>IF(OR(Table4[[#This Row],[INSTALLMENT]]=2,Table4[[#This Row],[INSTALLMENT]]=3),2,0)</f>
        <v>0</v>
      </c>
      <c r="G2446" s="1">
        <f>IF(OR(Table4[[#This Row],[INSTALLMENT]]=3),3,0)</f>
        <v>0</v>
      </c>
    </row>
    <row r="2447" spans="1:7">
      <c r="A2447" s="1">
        <v>3045</v>
      </c>
      <c r="B2447" s="1" t="s">
        <v>29</v>
      </c>
      <c r="C2447" s="1" t="s">
        <v>20</v>
      </c>
      <c r="D2447" s="1">
        <f>COUNTIFS('Raw Entries'!B:B,Table4[[#This Row],[Name]],'Raw Entries'!I:I,Table4[[#This Row],[BOOK No.]])</f>
        <v>3</v>
      </c>
      <c r="E2447" s="1">
        <f t="array" ref="E2447">IF(OR(Table4[[#This Row],[INSTALLMENT]]=1,Table4[[#This Row],[INSTALLMENT]]=2,Table4[[#This Row],[INSTALLMENT]]=3),1,0)</f>
        <v>1</v>
      </c>
      <c r="F2447" s="1">
        <f>IF(OR(Table4[[#This Row],[INSTALLMENT]]=2,Table4[[#This Row],[INSTALLMENT]]=3),2,0)</f>
        <v>2</v>
      </c>
      <c r="G2447" s="1">
        <f>IF(OR(Table4[[#This Row],[INSTALLMENT]]=3),3,0)</f>
        <v>3</v>
      </c>
    </row>
    <row r="2448" spans="1:7">
      <c r="A2448" s="1">
        <v>3046</v>
      </c>
      <c r="B2448" s="1" t="s">
        <v>25</v>
      </c>
      <c r="C2448" s="1" t="s">
        <v>20</v>
      </c>
      <c r="D2448" s="1">
        <f>COUNTIFS('Raw Entries'!B:B,Table4[[#This Row],[Name]],'Raw Entries'!I:I,Table4[[#This Row],[BOOK No.]])</f>
        <v>3</v>
      </c>
      <c r="E2448" s="1">
        <f t="array" ref="E2448">IF(OR(Table4[[#This Row],[INSTALLMENT]]=1,Table4[[#This Row],[INSTALLMENT]]=2,Table4[[#This Row],[INSTALLMENT]]=3),1,0)</f>
        <v>1</v>
      </c>
      <c r="F2448" s="1">
        <f>IF(OR(Table4[[#This Row],[INSTALLMENT]]=2,Table4[[#This Row],[INSTALLMENT]]=3),2,0)</f>
        <v>2</v>
      </c>
      <c r="G2448" s="1">
        <f>IF(OR(Table4[[#This Row],[INSTALLMENT]]=3),3,0)</f>
        <v>3</v>
      </c>
    </row>
    <row r="2449" spans="1:7">
      <c r="A2449" s="1">
        <v>3047</v>
      </c>
      <c r="B2449" s="1" t="s">
        <v>3744</v>
      </c>
      <c r="C2449" s="1" t="s">
        <v>20</v>
      </c>
      <c r="D2449" s="1">
        <f>COUNTIFS('Raw Entries'!B:B,Table4[[#This Row],[Name]],'Raw Entries'!I:I,Table4[[#This Row],[BOOK No.]])</f>
        <v>0</v>
      </c>
      <c r="E2449" s="1">
        <f t="array" ref="E2449">IF(OR(Table4[[#This Row],[INSTALLMENT]]=1,Table4[[#This Row],[INSTALLMENT]]=2,Table4[[#This Row],[INSTALLMENT]]=3),1,0)</f>
        <v>0</v>
      </c>
      <c r="F2449" s="1">
        <f>IF(OR(Table4[[#This Row],[INSTALLMENT]]=2,Table4[[#This Row],[INSTALLMENT]]=3),2,0)</f>
        <v>0</v>
      </c>
      <c r="G2449" s="1">
        <f>IF(OR(Table4[[#This Row],[INSTALLMENT]]=3),3,0)</f>
        <v>0</v>
      </c>
    </row>
    <row r="2450" spans="1:7">
      <c r="A2450" s="1">
        <v>3048</v>
      </c>
      <c r="B2450" s="1" t="s">
        <v>50</v>
      </c>
      <c r="C2450" s="1" t="s">
        <v>20</v>
      </c>
      <c r="D2450" s="1">
        <f>COUNTIFS('Raw Entries'!B:B,Table4[[#This Row],[Name]],'Raw Entries'!I:I,Table4[[#This Row],[BOOK No.]])</f>
        <v>1</v>
      </c>
      <c r="E2450" s="1">
        <f t="array" ref="E2450">IF(OR(Table4[[#This Row],[INSTALLMENT]]=1,Table4[[#This Row],[INSTALLMENT]]=2,Table4[[#This Row],[INSTALLMENT]]=3),1,0)</f>
        <v>1</v>
      </c>
      <c r="F2450" s="1">
        <f>IF(OR(Table4[[#This Row],[INSTALLMENT]]=2,Table4[[#This Row],[INSTALLMENT]]=3),2,0)</f>
        <v>0</v>
      </c>
      <c r="G2450" s="1">
        <f>IF(OR(Table4[[#This Row],[INSTALLMENT]]=3),3,0)</f>
        <v>0</v>
      </c>
    </row>
    <row r="2451" spans="1:7">
      <c r="A2451" s="1">
        <v>3049</v>
      </c>
      <c r="B2451" s="1" t="s">
        <v>59</v>
      </c>
      <c r="C2451" s="1" t="s">
        <v>20</v>
      </c>
      <c r="D2451" s="1">
        <f>COUNTIFS('Raw Entries'!B:B,Table4[[#This Row],[Name]],'Raw Entries'!I:I,Table4[[#This Row],[BOOK No.]])</f>
        <v>0</v>
      </c>
      <c r="E2451" s="1">
        <f t="array" ref="E2451">IF(OR(Table4[[#This Row],[INSTALLMENT]]=1,Table4[[#This Row],[INSTALLMENT]]=2,Table4[[#This Row],[INSTALLMENT]]=3),1,0)</f>
        <v>0</v>
      </c>
      <c r="F2451" s="1">
        <f>IF(OR(Table4[[#This Row],[INSTALLMENT]]=2,Table4[[#This Row],[INSTALLMENT]]=3),2,0)</f>
        <v>0</v>
      </c>
      <c r="G2451" s="1">
        <f>IF(OR(Table4[[#This Row],[INSTALLMENT]]=3),3,0)</f>
        <v>0</v>
      </c>
    </row>
    <row r="2452" spans="1:7">
      <c r="A2452" s="1">
        <v>3050</v>
      </c>
      <c r="B2452" s="1" t="s">
        <v>3745</v>
      </c>
      <c r="C2452" s="1" t="s">
        <v>20</v>
      </c>
      <c r="D2452" s="1">
        <f>COUNTIFS('Raw Entries'!B:B,Table4[[#This Row],[Name]],'Raw Entries'!I:I,Table4[[#This Row],[BOOK No.]])</f>
        <v>0</v>
      </c>
      <c r="E2452" s="1">
        <f t="array" ref="E2452">IF(OR(Table4[[#This Row],[INSTALLMENT]]=1,Table4[[#This Row],[INSTALLMENT]]=2,Table4[[#This Row],[INSTALLMENT]]=3),1,0)</f>
        <v>0</v>
      </c>
      <c r="F2452" s="1">
        <f>IF(OR(Table4[[#This Row],[INSTALLMENT]]=2,Table4[[#This Row],[INSTALLMENT]]=3),2,0)</f>
        <v>0</v>
      </c>
      <c r="G2452" s="1">
        <f>IF(OR(Table4[[#This Row],[INSTALLMENT]]=3),3,0)</f>
        <v>0</v>
      </c>
    </row>
    <row r="2453" spans="1:7">
      <c r="A2453" s="1">
        <v>3051</v>
      </c>
      <c r="B2453" s="1" t="s">
        <v>23</v>
      </c>
      <c r="C2453" s="1" t="s">
        <v>20</v>
      </c>
      <c r="D2453" s="1">
        <f>COUNTIFS('Raw Entries'!B:B,Table4[[#This Row],[Name]],'Raw Entries'!I:I,Table4[[#This Row],[BOOK No.]])</f>
        <v>2</v>
      </c>
      <c r="E2453" s="1">
        <f t="array" ref="E2453">IF(OR(Table4[[#This Row],[INSTALLMENT]]=1,Table4[[#This Row],[INSTALLMENT]]=2,Table4[[#This Row],[INSTALLMENT]]=3),1,0)</f>
        <v>1</v>
      </c>
      <c r="F2453" s="1">
        <f>IF(OR(Table4[[#This Row],[INSTALLMENT]]=2,Table4[[#This Row],[INSTALLMENT]]=3),2,0)</f>
        <v>2</v>
      </c>
      <c r="G2453" s="1">
        <f>IF(OR(Table4[[#This Row],[INSTALLMENT]]=3),3,0)</f>
        <v>0</v>
      </c>
    </row>
    <row r="2454" spans="1:7">
      <c r="A2454" s="1">
        <v>3052</v>
      </c>
      <c r="B2454" s="1" t="s">
        <v>22</v>
      </c>
      <c r="C2454" s="1" t="s">
        <v>20</v>
      </c>
      <c r="D2454" s="1">
        <f>COUNTIFS('Raw Entries'!B:B,Table4[[#This Row],[Name]],'Raw Entries'!I:I,Table4[[#This Row],[BOOK No.]])</f>
        <v>1</v>
      </c>
      <c r="E2454" s="1">
        <f t="array" ref="E2454">IF(OR(Table4[[#This Row],[INSTALLMENT]]=1,Table4[[#This Row],[INSTALLMENT]]=2,Table4[[#This Row],[INSTALLMENT]]=3),1,0)</f>
        <v>1</v>
      </c>
      <c r="F2454" s="1">
        <f>IF(OR(Table4[[#This Row],[INSTALLMENT]]=2,Table4[[#This Row],[INSTALLMENT]]=3),2,0)</f>
        <v>0</v>
      </c>
      <c r="G2454" s="1">
        <f>IF(OR(Table4[[#This Row],[INSTALLMENT]]=3),3,0)</f>
        <v>0</v>
      </c>
    </row>
    <row r="2455" spans="1:7">
      <c r="A2455" s="1">
        <v>3053</v>
      </c>
      <c r="B2455" s="1" t="s">
        <v>31</v>
      </c>
      <c r="C2455" s="1" t="s">
        <v>20</v>
      </c>
      <c r="D2455" s="1">
        <f>COUNTIFS('Raw Entries'!B:B,Table4[[#This Row],[Name]],'Raw Entries'!I:I,Table4[[#This Row],[BOOK No.]])</f>
        <v>3</v>
      </c>
      <c r="E2455" s="1">
        <f t="array" ref="E2455">IF(OR(Table4[[#This Row],[INSTALLMENT]]=1,Table4[[#This Row],[INSTALLMENT]]=2,Table4[[#This Row],[INSTALLMENT]]=3),1,0)</f>
        <v>1</v>
      </c>
      <c r="F2455" s="1">
        <f>IF(OR(Table4[[#This Row],[INSTALLMENT]]=2,Table4[[#This Row],[INSTALLMENT]]=3),2,0)</f>
        <v>2</v>
      </c>
      <c r="G2455" s="1">
        <f>IF(OR(Table4[[#This Row],[INSTALLMENT]]=3),3,0)</f>
        <v>3</v>
      </c>
    </row>
    <row r="2456" spans="1:7">
      <c r="A2456" s="1">
        <v>3054</v>
      </c>
      <c r="B2456" s="1" t="s">
        <v>3746</v>
      </c>
      <c r="C2456" s="1" t="s">
        <v>20</v>
      </c>
      <c r="D2456" s="1">
        <f>COUNTIFS('Raw Entries'!B:B,Table4[[#This Row],[Name]],'Raw Entries'!I:I,Table4[[#This Row],[BOOK No.]])</f>
        <v>0</v>
      </c>
      <c r="E2456" s="1">
        <f t="array" ref="E2456">IF(OR(Table4[[#This Row],[INSTALLMENT]]=1,Table4[[#This Row],[INSTALLMENT]]=2,Table4[[#This Row],[INSTALLMENT]]=3),1,0)</f>
        <v>0</v>
      </c>
      <c r="F2456" s="1">
        <f>IF(OR(Table4[[#This Row],[INSTALLMENT]]=2,Table4[[#This Row],[INSTALLMENT]]=3),2,0)</f>
        <v>0</v>
      </c>
      <c r="G2456" s="1">
        <f>IF(OR(Table4[[#This Row],[INSTALLMENT]]=3),3,0)</f>
        <v>0</v>
      </c>
    </row>
    <row r="2457" spans="1:7">
      <c r="A2457" s="1">
        <v>3055</v>
      </c>
      <c r="B2457" s="1" t="s">
        <v>28</v>
      </c>
      <c r="C2457" s="1" t="s">
        <v>20</v>
      </c>
      <c r="D2457" s="1">
        <f>COUNTIFS('Raw Entries'!B:B,Table4[[#This Row],[Name]],'Raw Entries'!I:I,Table4[[#This Row],[BOOK No.]])</f>
        <v>1</v>
      </c>
      <c r="E2457" s="1">
        <f t="array" ref="E2457">IF(OR(Table4[[#This Row],[INSTALLMENT]]=1,Table4[[#This Row],[INSTALLMENT]]=2,Table4[[#This Row],[INSTALLMENT]]=3),1,0)</f>
        <v>1</v>
      </c>
      <c r="F2457" s="1">
        <f>IF(OR(Table4[[#This Row],[INSTALLMENT]]=2,Table4[[#This Row],[INSTALLMENT]]=3),2,0)</f>
        <v>0</v>
      </c>
      <c r="G2457" s="1">
        <f>IF(OR(Table4[[#This Row],[INSTALLMENT]]=3),3,0)</f>
        <v>0</v>
      </c>
    </row>
    <row r="2458" spans="1:7">
      <c r="A2458" s="1">
        <v>3056</v>
      </c>
      <c r="B2458" s="1" t="s">
        <v>680</v>
      </c>
      <c r="C2458" s="1" t="s">
        <v>20</v>
      </c>
      <c r="D2458" s="1">
        <f>COUNTIFS('Raw Entries'!B:B,Table4[[#This Row],[Name]],'Raw Entries'!I:I,Table4[[#This Row],[BOOK No.]])</f>
        <v>3</v>
      </c>
      <c r="E2458" s="1">
        <f t="array" ref="E2458">IF(OR(Table4[[#This Row],[INSTALLMENT]]=1,Table4[[#This Row],[INSTALLMENT]]=2,Table4[[#This Row],[INSTALLMENT]]=3),1,0)</f>
        <v>1</v>
      </c>
      <c r="F2458" s="1">
        <f>IF(OR(Table4[[#This Row],[INSTALLMENT]]=2,Table4[[#This Row],[INSTALLMENT]]=3),2,0)</f>
        <v>2</v>
      </c>
      <c r="G2458" s="1">
        <f>IF(OR(Table4[[#This Row],[INSTALLMENT]]=3),3,0)</f>
        <v>3</v>
      </c>
    </row>
    <row r="2459" spans="1:7">
      <c r="A2459" s="1">
        <v>3057</v>
      </c>
      <c r="B2459" s="1" t="s">
        <v>3747</v>
      </c>
      <c r="C2459" s="1" t="s">
        <v>20</v>
      </c>
      <c r="D2459" s="1">
        <f>COUNTIFS('Raw Entries'!B:B,Table4[[#This Row],[Name]],'Raw Entries'!I:I,Table4[[#This Row],[BOOK No.]])</f>
        <v>0</v>
      </c>
      <c r="E2459" s="1">
        <f t="array" ref="E2459">IF(OR(Table4[[#This Row],[INSTALLMENT]]=1,Table4[[#This Row],[INSTALLMENT]]=2,Table4[[#This Row],[INSTALLMENT]]=3),1,0)</f>
        <v>0</v>
      </c>
      <c r="F2459" s="1">
        <f>IF(OR(Table4[[#This Row],[INSTALLMENT]]=2,Table4[[#This Row],[INSTALLMENT]]=3),2,0)</f>
        <v>0</v>
      </c>
      <c r="G2459" s="1">
        <f>IF(OR(Table4[[#This Row],[INSTALLMENT]]=3),3,0)</f>
        <v>0</v>
      </c>
    </row>
    <row r="2460" spans="1:7">
      <c r="A2460" s="1">
        <v>3058</v>
      </c>
      <c r="B2460" s="1" t="s">
        <v>3748</v>
      </c>
      <c r="C2460" s="1" t="s">
        <v>20</v>
      </c>
      <c r="D2460" s="1">
        <f>COUNTIFS('Raw Entries'!B:B,Table4[[#This Row],[Name]],'Raw Entries'!I:I,Table4[[#This Row],[BOOK No.]])</f>
        <v>1</v>
      </c>
      <c r="E2460" s="1">
        <f t="array" ref="E2460">IF(OR(Table4[[#This Row],[INSTALLMENT]]=1,Table4[[#This Row],[INSTALLMENT]]=2,Table4[[#This Row],[INSTALLMENT]]=3),1,0)</f>
        <v>1</v>
      </c>
      <c r="F2460" s="1">
        <f>IF(OR(Table4[[#This Row],[INSTALLMENT]]=2,Table4[[#This Row],[INSTALLMENT]]=3),2,0)</f>
        <v>0</v>
      </c>
      <c r="G2460" s="1">
        <f>IF(OR(Table4[[#This Row],[INSTALLMENT]]=3),3,0)</f>
        <v>0</v>
      </c>
    </row>
    <row r="2461" spans="1:7">
      <c r="A2461" s="1">
        <v>3059</v>
      </c>
      <c r="B2461" s="1" t="s">
        <v>3749</v>
      </c>
      <c r="C2461" s="1" t="s">
        <v>20</v>
      </c>
      <c r="D2461" s="1">
        <f>COUNTIFS('Raw Entries'!B:B,Table4[[#This Row],[Name]],'Raw Entries'!I:I,Table4[[#This Row],[BOOK No.]])</f>
        <v>0</v>
      </c>
      <c r="E2461" s="1">
        <f t="array" ref="E2461">IF(OR(Table4[[#This Row],[INSTALLMENT]]=1,Table4[[#This Row],[INSTALLMENT]]=2,Table4[[#This Row],[INSTALLMENT]]=3),1,0)</f>
        <v>0</v>
      </c>
      <c r="F2461" s="1">
        <f>IF(OR(Table4[[#This Row],[INSTALLMENT]]=2,Table4[[#This Row],[INSTALLMENT]]=3),2,0)</f>
        <v>0</v>
      </c>
      <c r="G2461" s="1">
        <f>IF(OR(Table4[[#This Row],[INSTALLMENT]]=3),3,0)</f>
        <v>0</v>
      </c>
    </row>
    <row r="2462" spans="1:7">
      <c r="A2462" s="1">
        <v>3060</v>
      </c>
      <c r="B2462" s="1" t="s">
        <v>3750</v>
      </c>
      <c r="C2462" s="1" t="s">
        <v>20</v>
      </c>
      <c r="D2462" s="1">
        <f>COUNTIFS('Raw Entries'!B:B,Table4[[#This Row],[Name]],'Raw Entries'!I:I,Table4[[#This Row],[BOOK No.]])</f>
        <v>0</v>
      </c>
      <c r="E2462" s="1">
        <f t="array" ref="E2462">IF(OR(Table4[[#This Row],[INSTALLMENT]]=1,Table4[[#This Row],[INSTALLMENT]]=2,Table4[[#This Row],[INSTALLMENT]]=3),1,0)</f>
        <v>0</v>
      </c>
      <c r="F2462" s="1">
        <f>IF(OR(Table4[[#This Row],[INSTALLMENT]]=2,Table4[[#This Row],[INSTALLMENT]]=3),2,0)</f>
        <v>0</v>
      </c>
      <c r="G2462" s="1">
        <f>IF(OR(Table4[[#This Row],[INSTALLMENT]]=3),3,0)</f>
        <v>0</v>
      </c>
    </row>
    <row r="2463" spans="1:7">
      <c r="A2463" s="1">
        <v>3061</v>
      </c>
      <c r="B2463" s="1" t="s">
        <v>3751</v>
      </c>
      <c r="C2463" s="1" t="s">
        <v>20</v>
      </c>
      <c r="D2463" s="1">
        <f>COUNTIFS('Raw Entries'!B:B,Table4[[#This Row],[Name]],'Raw Entries'!I:I,Table4[[#This Row],[BOOK No.]])</f>
        <v>0</v>
      </c>
      <c r="E2463" s="1">
        <f t="array" ref="E2463">IF(OR(Table4[[#This Row],[INSTALLMENT]]=1,Table4[[#This Row],[INSTALLMENT]]=2,Table4[[#This Row],[INSTALLMENT]]=3),1,0)</f>
        <v>0</v>
      </c>
      <c r="F2463" s="1">
        <f>IF(OR(Table4[[#This Row],[INSTALLMENT]]=2,Table4[[#This Row],[INSTALLMENT]]=3),2,0)</f>
        <v>0</v>
      </c>
      <c r="G2463" s="1">
        <f>IF(OR(Table4[[#This Row],[INSTALLMENT]]=3),3,0)</f>
        <v>0</v>
      </c>
    </row>
    <row r="2464" spans="1:7">
      <c r="A2464" s="1">
        <v>3062</v>
      </c>
      <c r="B2464" s="1" t="s">
        <v>27</v>
      </c>
      <c r="C2464" s="1" t="s">
        <v>20</v>
      </c>
      <c r="D2464" s="1">
        <f>COUNTIFS('Raw Entries'!B:B,Table4[[#This Row],[Name]],'Raw Entries'!I:I,Table4[[#This Row],[BOOK No.]])</f>
        <v>1</v>
      </c>
      <c r="E2464" s="1">
        <f t="array" ref="E2464">IF(OR(Table4[[#This Row],[INSTALLMENT]]=1,Table4[[#This Row],[INSTALLMENT]]=2,Table4[[#This Row],[INSTALLMENT]]=3),1,0)</f>
        <v>1</v>
      </c>
      <c r="F2464" s="1">
        <f>IF(OR(Table4[[#This Row],[INSTALLMENT]]=2,Table4[[#This Row],[INSTALLMENT]]=3),2,0)</f>
        <v>0</v>
      </c>
      <c r="G2464" s="1">
        <f>IF(OR(Table4[[#This Row],[INSTALLMENT]]=3),3,0)</f>
        <v>0</v>
      </c>
    </row>
    <row r="2465" spans="1:7">
      <c r="A2465" s="1">
        <v>3063</v>
      </c>
      <c r="B2465" s="1" t="s">
        <v>3752</v>
      </c>
      <c r="C2465" s="1" t="s">
        <v>20</v>
      </c>
      <c r="D2465" s="1">
        <f>COUNTIFS('Raw Entries'!B:B,Table4[[#This Row],[Name]],'Raw Entries'!I:I,Table4[[#This Row],[BOOK No.]])</f>
        <v>3</v>
      </c>
      <c r="E2465" s="1">
        <f t="array" ref="E2465">IF(OR(Table4[[#This Row],[INSTALLMENT]]=1,Table4[[#This Row],[INSTALLMENT]]=2,Table4[[#This Row],[INSTALLMENT]]=3),1,0)</f>
        <v>1</v>
      </c>
      <c r="F2465" s="1">
        <f>IF(OR(Table4[[#This Row],[INSTALLMENT]]=2,Table4[[#This Row],[INSTALLMENT]]=3),2,0)</f>
        <v>2</v>
      </c>
      <c r="G2465" s="1">
        <f>IF(OR(Table4[[#This Row],[INSTALLMENT]]=3),3,0)</f>
        <v>3</v>
      </c>
    </row>
    <row r="2466" spans="1:7">
      <c r="A2466" s="1">
        <v>3064</v>
      </c>
      <c r="B2466" s="41" t="s">
        <v>24</v>
      </c>
      <c r="C2466" s="1" t="s">
        <v>20</v>
      </c>
      <c r="D2466" s="1">
        <f>COUNTIFS('Raw Entries'!B:B,Table4[[#This Row],[Name]],'Raw Entries'!I:I,Table4[[#This Row],[BOOK No.]])</f>
        <v>3</v>
      </c>
      <c r="E2466" s="1">
        <f t="array" ref="E2466">IF(OR(Table4[[#This Row],[INSTALLMENT]]=1,Table4[[#This Row],[INSTALLMENT]]=2,Table4[[#This Row],[INSTALLMENT]]=3),1,0)</f>
        <v>1</v>
      </c>
      <c r="F2466" s="1">
        <f>IF(OR(Table4[[#This Row],[INSTALLMENT]]=2,Table4[[#This Row],[INSTALLMENT]]=3),2,0)</f>
        <v>2</v>
      </c>
      <c r="G2466" s="1">
        <f>IF(OR(Table4[[#This Row],[INSTALLMENT]]=3),3,0)</f>
        <v>3</v>
      </c>
    </row>
    <row r="2467" spans="1:7">
      <c r="A2467" s="1">
        <v>3065</v>
      </c>
      <c r="B2467" s="1" t="s">
        <v>3753</v>
      </c>
      <c r="C2467" s="1" t="s">
        <v>20</v>
      </c>
      <c r="D2467" s="1">
        <f>COUNTIFS('Raw Entries'!B:B,Table4[[#This Row],[Name]],'Raw Entries'!I:I,Table4[[#This Row],[BOOK No.]])</f>
        <v>0</v>
      </c>
      <c r="E2467" s="1">
        <f t="array" ref="E2467">IF(OR(Table4[[#This Row],[INSTALLMENT]]=1,Table4[[#This Row],[INSTALLMENT]]=2,Table4[[#This Row],[INSTALLMENT]]=3),1,0)</f>
        <v>0</v>
      </c>
      <c r="F2467" s="1">
        <f>IF(OR(Table4[[#This Row],[INSTALLMENT]]=2,Table4[[#This Row],[INSTALLMENT]]=3),2,0)</f>
        <v>0</v>
      </c>
      <c r="G2467" s="1">
        <f>IF(OR(Table4[[#This Row],[INSTALLMENT]]=3),3,0)</f>
        <v>0</v>
      </c>
    </row>
    <row r="2468" spans="1:7">
      <c r="A2468" s="1">
        <v>3066</v>
      </c>
      <c r="B2468" s="1" t="s">
        <v>26</v>
      </c>
      <c r="C2468" s="1" t="s">
        <v>20</v>
      </c>
      <c r="D2468" s="1">
        <f>COUNTIFS('Raw Entries'!B:B,Table4[[#This Row],[Name]],'Raw Entries'!I:I,Table4[[#This Row],[BOOK No.]])</f>
        <v>3</v>
      </c>
      <c r="E2468" s="1">
        <f t="array" ref="E2468">IF(OR(Table4[[#This Row],[INSTALLMENT]]=1,Table4[[#This Row],[INSTALLMENT]]=2,Table4[[#This Row],[INSTALLMENT]]=3),1,0)</f>
        <v>1</v>
      </c>
      <c r="F2468" s="1">
        <f>IF(OR(Table4[[#This Row],[INSTALLMENT]]=2,Table4[[#This Row],[INSTALLMENT]]=3),2,0)</f>
        <v>2</v>
      </c>
      <c r="G2468" s="1">
        <f>IF(OR(Table4[[#This Row],[INSTALLMENT]]=3),3,0)</f>
        <v>3</v>
      </c>
    </row>
    <row r="2469" spans="1:7">
      <c r="A2469" s="1">
        <v>3067</v>
      </c>
      <c r="B2469" s="1" t="s">
        <v>42</v>
      </c>
      <c r="C2469" s="1" t="s">
        <v>32</v>
      </c>
      <c r="D2469" s="1">
        <f>COUNTIFS('Raw Entries'!B:B,Table4[[#This Row],[Name]],'Raw Entries'!I:I,Table4[[#This Row],[BOOK No.]])</f>
        <v>2</v>
      </c>
      <c r="E2469" s="1">
        <f t="array" ref="E2469">IF(OR(Table4[[#This Row],[INSTALLMENT]]=1,Table4[[#This Row],[INSTALLMENT]]=2,Table4[[#This Row],[INSTALLMENT]]=3),1,0)</f>
        <v>1</v>
      </c>
      <c r="F2469" s="1">
        <f>IF(OR(Table4[[#This Row],[INSTALLMENT]]=2,Table4[[#This Row],[INSTALLMENT]]=3),2,0)</f>
        <v>2</v>
      </c>
      <c r="G2469" s="1">
        <f>IF(OR(Table4[[#This Row],[INSTALLMENT]]=3),3,0)</f>
        <v>0</v>
      </c>
    </row>
    <row r="2470" spans="1:7">
      <c r="A2470" s="1">
        <v>3068</v>
      </c>
      <c r="B2470" s="1" t="s">
        <v>3754</v>
      </c>
      <c r="C2470" s="1" t="s">
        <v>32</v>
      </c>
      <c r="D2470" s="1">
        <f>COUNTIFS('Raw Entries'!B:B,Table4[[#This Row],[Name]],'Raw Entries'!I:I,Table4[[#This Row],[BOOK No.]])</f>
        <v>0</v>
      </c>
      <c r="E2470" s="1">
        <f t="array" ref="E2470">IF(OR(Table4[[#This Row],[INSTALLMENT]]=1,Table4[[#This Row],[INSTALLMENT]]=2,Table4[[#This Row],[INSTALLMENT]]=3),1,0)</f>
        <v>0</v>
      </c>
      <c r="F2470" s="1">
        <f>IF(OR(Table4[[#This Row],[INSTALLMENT]]=2,Table4[[#This Row],[INSTALLMENT]]=3),2,0)</f>
        <v>0</v>
      </c>
      <c r="G2470" s="1">
        <f>IF(OR(Table4[[#This Row],[INSTALLMENT]]=3),3,0)</f>
        <v>0</v>
      </c>
    </row>
    <row r="2471" spans="1:7">
      <c r="A2471" s="1">
        <v>3069</v>
      </c>
      <c r="B2471" s="1" t="s">
        <v>41</v>
      </c>
      <c r="C2471" s="1" t="s">
        <v>32</v>
      </c>
      <c r="D2471" s="1">
        <f>COUNTIFS('Raw Entries'!B:B,Table4[[#This Row],[Name]],'Raw Entries'!I:I,Table4[[#This Row],[BOOK No.]])</f>
        <v>3</v>
      </c>
      <c r="E2471" s="1">
        <f t="array" ref="E2471">IF(OR(Table4[[#This Row],[INSTALLMENT]]=1,Table4[[#This Row],[INSTALLMENT]]=2,Table4[[#This Row],[INSTALLMENT]]=3),1,0)</f>
        <v>1</v>
      </c>
      <c r="F2471" s="1">
        <f>IF(OR(Table4[[#This Row],[INSTALLMENT]]=2,Table4[[#This Row],[INSTALLMENT]]=3),2,0)</f>
        <v>2</v>
      </c>
      <c r="G2471" s="1">
        <f>IF(OR(Table4[[#This Row],[INSTALLMENT]]=3),3,0)</f>
        <v>3</v>
      </c>
    </row>
    <row r="2472" spans="1:7">
      <c r="A2472" s="1">
        <v>3070</v>
      </c>
      <c r="B2472" s="42" t="s">
        <v>49</v>
      </c>
      <c r="C2472" s="1" t="s">
        <v>32</v>
      </c>
      <c r="D2472" s="1">
        <f>COUNTIFS('Raw Entries'!B:B,Table4[[#This Row],[Name]],'Raw Entries'!I:I,Table4[[#This Row],[BOOK No.]])</f>
        <v>3</v>
      </c>
      <c r="E2472" s="1">
        <f t="array" ref="E2472">IF(OR(Table4[[#This Row],[INSTALLMENT]]=1,Table4[[#This Row],[INSTALLMENT]]=2,Table4[[#This Row],[INSTALLMENT]]=3),1,0)</f>
        <v>1</v>
      </c>
      <c r="F2472" s="1">
        <f>IF(OR(Table4[[#This Row],[INSTALLMENT]]=2,Table4[[#This Row],[INSTALLMENT]]=3),2,0)</f>
        <v>2</v>
      </c>
      <c r="G2472" s="1">
        <f>IF(OR(Table4[[#This Row],[INSTALLMENT]]=3),3,0)</f>
        <v>3</v>
      </c>
    </row>
    <row r="2473" spans="1:7">
      <c r="A2473" s="1">
        <v>3071</v>
      </c>
      <c r="B2473" s="1" t="s">
        <v>3755</v>
      </c>
      <c r="C2473" s="1" t="s">
        <v>32</v>
      </c>
      <c r="D2473" s="1">
        <f>COUNTIFS('Raw Entries'!B:B,Table4[[#This Row],[Name]],'Raw Entries'!I:I,Table4[[#This Row],[BOOK No.]])</f>
        <v>0</v>
      </c>
      <c r="E2473" s="1">
        <f t="array" ref="E2473">IF(OR(Table4[[#This Row],[INSTALLMENT]]=1,Table4[[#This Row],[INSTALLMENT]]=2,Table4[[#This Row],[INSTALLMENT]]=3),1,0)</f>
        <v>0</v>
      </c>
      <c r="F2473" s="1">
        <f>IF(OR(Table4[[#This Row],[INSTALLMENT]]=2,Table4[[#This Row],[INSTALLMENT]]=3),2,0)</f>
        <v>0</v>
      </c>
      <c r="G2473" s="1">
        <f>IF(OR(Table4[[#This Row],[INSTALLMENT]]=3),3,0)</f>
        <v>0</v>
      </c>
    </row>
    <row r="2474" spans="1:7">
      <c r="A2474" s="1">
        <v>3072</v>
      </c>
      <c r="B2474" s="42" t="s">
        <v>37</v>
      </c>
      <c r="C2474" s="1" t="s">
        <v>32</v>
      </c>
      <c r="D2474" s="1">
        <f>COUNTIFS('Raw Entries'!B:B,Table4[[#This Row],[Name]],'Raw Entries'!I:I,Table4[[#This Row],[BOOK No.]])</f>
        <v>3</v>
      </c>
      <c r="E2474" s="1">
        <f t="array" ref="E2474">IF(OR(Table4[[#This Row],[INSTALLMENT]]=1,Table4[[#This Row],[INSTALLMENT]]=2,Table4[[#This Row],[INSTALLMENT]]=3),1,0)</f>
        <v>1</v>
      </c>
      <c r="F2474" s="1">
        <f>IF(OR(Table4[[#This Row],[INSTALLMENT]]=2,Table4[[#This Row],[INSTALLMENT]]=3),2,0)</f>
        <v>2</v>
      </c>
      <c r="G2474" s="1">
        <f>IF(OR(Table4[[#This Row],[INSTALLMENT]]=3),3,0)</f>
        <v>3</v>
      </c>
    </row>
    <row r="2475" spans="1:7">
      <c r="A2475" s="1">
        <v>3073</v>
      </c>
      <c r="B2475" s="1" t="s">
        <v>48</v>
      </c>
      <c r="C2475" s="1" t="s">
        <v>32</v>
      </c>
      <c r="D2475" s="1">
        <f>COUNTIFS('Raw Entries'!B:B,Table4[[#This Row],[Name]],'Raw Entries'!I:I,Table4[[#This Row],[BOOK No.]])</f>
        <v>2</v>
      </c>
      <c r="E2475" s="1">
        <f t="array" ref="E2475">IF(OR(Table4[[#This Row],[INSTALLMENT]]=1,Table4[[#This Row],[INSTALLMENT]]=2,Table4[[#This Row],[INSTALLMENT]]=3),1,0)</f>
        <v>1</v>
      </c>
      <c r="F2475" s="1">
        <f>IF(OR(Table4[[#This Row],[INSTALLMENT]]=2,Table4[[#This Row],[INSTALLMENT]]=3),2,0)</f>
        <v>2</v>
      </c>
      <c r="G2475" s="1">
        <f>IF(OR(Table4[[#This Row],[INSTALLMENT]]=3),3,0)</f>
        <v>0</v>
      </c>
    </row>
    <row r="2476" spans="1:7">
      <c r="A2476" s="1">
        <v>3074</v>
      </c>
      <c r="B2476" s="41" t="s">
        <v>33</v>
      </c>
      <c r="C2476" s="1" t="s">
        <v>32</v>
      </c>
      <c r="D2476" s="1">
        <f>COUNTIFS('Raw Entries'!B:B,Table4[[#This Row],[Name]],'Raw Entries'!I:I,Table4[[#This Row],[BOOK No.]])</f>
        <v>3</v>
      </c>
      <c r="E2476" s="1">
        <f t="array" ref="E2476">IF(OR(Table4[[#This Row],[INSTALLMENT]]=1,Table4[[#This Row],[INSTALLMENT]]=2,Table4[[#This Row],[INSTALLMENT]]=3),1,0)</f>
        <v>1</v>
      </c>
      <c r="F2476" s="1">
        <f>IF(OR(Table4[[#This Row],[INSTALLMENT]]=2,Table4[[#This Row],[INSTALLMENT]]=3),2,0)</f>
        <v>2</v>
      </c>
      <c r="G2476" s="1">
        <f>IF(OR(Table4[[#This Row],[INSTALLMENT]]=3),3,0)</f>
        <v>3</v>
      </c>
    </row>
    <row r="2477" spans="1:7">
      <c r="A2477" s="1">
        <v>3075</v>
      </c>
      <c r="B2477" s="1" t="s">
        <v>47</v>
      </c>
      <c r="C2477" s="1" t="s">
        <v>32</v>
      </c>
      <c r="D2477" s="1">
        <f>COUNTIFS('Raw Entries'!B:B,Table4[[#This Row],[Name]],'Raw Entries'!I:I,Table4[[#This Row],[BOOK No.]])</f>
        <v>3</v>
      </c>
      <c r="E2477" s="1">
        <f t="array" ref="E2477">IF(OR(Table4[[#This Row],[INSTALLMENT]]=1,Table4[[#This Row],[INSTALLMENT]]=2,Table4[[#This Row],[INSTALLMENT]]=3),1,0)</f>
        <v>1</v>
      </c>
      <c r="F2477" s="1">
        <f>IF(OR(Table4[[#This Row],[INSTALLMENT]]=2,Table4[[#This Row],[INSTALLMENT]]=3),2,0)</f>
        <v>2</v>
      </c>
      <c r="G2477" s="1">
        <f>IF(OR(Table4[[#This Row],[INSTALLMENT]]=3),3,0)</f>
        <v>3</v>
      </c>
    </row>
    <row r="2478" spans="1:7">
      <c r="A2478" s="1">
        <v>3076</v>
      </c>
      <c r="B2478" s="1" t="s">
        <v>34</v>
      </c>
      <c r="C2478" s="1" t="s">
        <v>32</v>
      </c>
      <c r="D2478" s="1">
        <f>COUNTIFS('Raw Entries'!B:B,Table4[[#This Row],[Name]],'Raw Entries'!I:I,Table4[[#This Row],[BOOK No.]])</f>
        <v>3</v>
      </c>
      <c r="E2478" s="1">
        <f t="array" ref="E2478">IF(OR(Table4[[#This Row],[INSTALLMENT]]=1,Table4[[#This Row],[INSTALLMENT]]=2,Table4[[#This Row],[INSTALLMENT]]=3),1,0)</f>
        <v>1</v>
      </c>
      <c r="F2478" s="1">
        <f>IF(OR(Table4[[#This Row],[INSTALLMENT]]=2,Table4[[#This Row],[INSTALLMENT]]=3),2,0)</f>
        <v>2</v>
      </c>
      <c r="G2478" s="1">
        <f>IF(OR(Table4[[#This Row],[INSTALLMENT]]=3),3,0)</f>
        <v>3</v>
      </c>
    </row>
    <row r="2479" spans="1:7">
      <c r="A2479" s="1">
        <v>3077</v>
      </c>
      <c r="B2479" s="1" t="s">
        <v>3756</v>
      </c>
      <c r="C2479" s="1" t="s">
        <v>32</v>
      </c>
      <c r="D2479" s="1">
        <f>COUNTIFS('Raw Entries'!B:B,Table4[[#This Row],[Name]],'Raw Entries'!I:I,Table4[[#This Row],[BOOK No.]])</f>
        <v>0</v>
      </c>
      <c r="E2479" s="1">
        <f t="array" ref="E2479">IF(OR(Table4[[#This Row],[INSTALLMENT]]=1,Table4[[#This Row],[INSTALLMENT]]=2,Table4[[#This Row],[INSTALLMENT]]=3),1,0)</f>
        <v>0</v>
      </c>
      <c r="F2479" s="1">
        <f>IF(OR(Table4[[#This Row],[INSTALLMENT]]=2,Table4[[#This Row],[INSTALLMENT]]=3),2,0)</f>
        <v>0</v>
      </c>
      <c r="G2479" s="1">
        <f>IF(OR(Table4[[#This Row],[INSTALLMENT]]=3),3,0)</f>
        <v>0</v>
      </c>
    </row>
    <row r="2480" spans="1:7">
      <c r="A2480" s="1">
        <v>3078</v>
      </c>
      <c r="B2480" s="1" t="s">
        <v>667</v>
      </c>
      <c r="C2480" s="1" t="s">
        <v>32</v>
      </c>
      <c r="D2480" s="1">
        <f>COUNTIFS('Raw Entries'!B:B,Table4[[#This Row],[Name]],'Raw Entries'!I:I,Table4[[#This Row],[BOOK No.]])</f>
        <v>3</v>
      </c>
      <c r="E2480" s="1">
        <f t="array" ref="E2480">IF(OR(Table4[[#This Row],[INSTALLMENT]]=1,Table4[[#This Row],[INSTALLMENT]]=2,Table4[[#This Row],[INSTALLMENT]]=3),1,0)</f>
        <v>1</v>
      </c>
      <c r="F2480" s="1">
        <f>IF(OR(Table4[[#This Row],[INSTALLMENT]]=2,Table4[[#This Row],[INSTALLMENT]]=3),2,0)</f>
        <v>2</v>
      </c>
      <c r="G2480" s="1">
        <f>IF(OR(Table4[[#This Row],[INSTALLMENT]]=3),3,0)</f>
        <v>3</v>
      </c>
    </row>
    <row r="2481" spans="1:7">
      <c r="A2481" s="1">
        <v>3079</v>
      </c>
      <c r="B2481" s="1" t="s">
        <v>44</v>
      </c>
      <c r="C2481" s="1" t="s">
        <v>32</v>
      </c>
      <c r="D2481" s="1">
        <f>COUNTIFS('Raw Entries'!B:B,Table4[[#This Row],[Name]],'Raw Entries'!I:I,Table4[[#This Row],[BOOK No.]])</f>
        <v>3</v>
      </c>
      <c r="E2481" s="1">
        <f t="array" ref="E2481">IF(OR(Table4[[#This Row],[INSTALLMENT]]=1,Table4[[#This Row],[INSTALLMENT]]=2,Table4[[#This Row],[INSTALLMENT]]=3),1,0)</f>
        <v>1</v>
      </c>
      <c r="F2481" s="1">
        <f>IF(OR(Table4[[#This Row],[INSTALLMENT]]=2,Table4[[#This Row],[INSTALLMENT]]=3),2,0)</f>
        <v>2</v>
      </c>
      <c r="G2481" s="1">
        <f>IF(OR(Table4[[#This Row],[INSTALLMENT]]=3),3,0)</f>
        <v>3</v>
      </c>
    </row>
    <row r="2482" spans="1:7">
      <c r="A2482" s="1">
        <v>3080</v>
      </c>
      <c r="B2482" s="1" t="s">
        <v>50</v>
      </c>
      <c r="C2482" s="1" t="s">
        <v>32</v>
      </c>
      <c r="D2482" s="1">
        <f>COUNTIFS('Raw Entries'!B:B,Table4[[#This Row],[Name]],'Raw Entries'!I:I,Table4[[#This Row],[BOOK No.]])</f>
        <v>2</v>
      </c>
      <c r="E2482" s="1">
        <f t="array" ref="E2482">IF(OR(Table4[[#This Row],[INSTALLMENT]]=1,Table4[[#This Row],[INSTALLMENT]]=2,Table4[[#This Row],[INSTALLMENT]]=3),1,0)</f>
        <v>1</v>
      </c>
      <c r="F2482" s="1">
        <f>IF(OR(Table4[[#This Row],[INSTALLMENT]]=2,Table4[[#This Row],[INSTALLMENT]]=3),2,0)</f>
        <v>2</v>
      </c>
      <c r="G2482" s="1">
        <f>IF(OR(Table4[[#This Row],[INSTALLMENT]]=3),3,0)</f>
        <v>0</v>
      </c>
    </row>
    <row r="2483" spans="1:7">
      <c r="A2483" s="1">
        <v>3081</v>
      </c>
      <c r="B2483" s="1" t="s">
        <v>36</v>
      </c>
      <c r="C2483" s="1" t="s">
        <v>32</v>
      </c>
      <c r="D2483" s="1">
        <f>COUNTIFS('Raw Entries'!B:B,Table4[[#This Row],[Name]],'Raw Entries'!I:I,Table4[[#This Row],[BOOK No.]])</f>
        <v>2</v>
      </c>
      <c r="E2483" s="1">
        <f t="array" ref="E2483">IF(OR(Table4[[#This Row],[INSTALLMENT]]=1,Table4[[#This Row],[INSTALLMENT]]=2,Table4[[#This Row],[INSTALLMENT]]=3),1,0)</f>
        <v>1</v>
      </c>
      <c r="F2483" s="1">
        <f>IF(OR(Table4[[#This Row],[INSTALLMENT]]=2,Table4[[#This Row],[INSTALLMENT]]=3),2,0)</f>
        <v>2</v>
      </c>
      <c r="G2483" s="1">
        <f>IF(OR(Table4[[#This Row],[INSTALLMENT]]=3),3,0)</f>
        <v>0</v>
      </c>
    </row>
    <row r="2484" spans="1:7">
      <c r="A2484" s="1">
        <v>3097</v>
      </c>
      <c r="B2484" s="41" t="s">
        <v>45</v>
      </c>
      <c r="C2484" s="1" t="s">
        <v>32</v>
      </c>
      <c r="D2484" s="1">
        <f>COUNTIFS('Raw Entries'!B:B,Table4[[#This Row],[Name]],'Raw Entries'!I:I,Table4[[#This Row],[BOOK No.]])</f>
        <v>2</v>
      </c>
      <c r="E2484" s="1">
        <f t="array" ref="E2484">IF(OR(Table4[[#This Row],[INSTALLMENT]]=1,Table4[[#This Row],[INSTALLMENT]]=2,Table4[[#This Row],[INSTALLMENT]]=3),1,0)</f>
        <v>1</v>
      </c>
      <c r="F2484" s="1">
        <f>IF(OR(Table4[[#This Row],[INSTALLMENT]]=2,Table4[[#This Row],[INSTALLMENT]]=3),2,0)</f>
        <v>2</v>
      </c>
      <c r="G2484" s="1">
        <f>IF(OR(Table4[[#This Row],[INSTALLMENT]]=3),3,0)</f>
        <v>0</v>
      </c>
    </row>
    <row r="2485" spans="1:7">
      <c r="A2485" s="1">
        <v>3082</v>
      </c>
      <c r="B2485" s="1" t="s">
        <v>3757</v>
      </c>
      <c r="C2485" s="1" t="s">
        <v>32</v>
      </c>
      <c r="D2485" s="1">
        <f>COUNTIFS('Raw Entries'!B:B,Table4[[#This Row],[Name]],'Raw Entries'!I:I,Table4[[#This Row],[BOOK No.]])</f>
        <v>0</v>
      </c>
      <c r="E2485" s="1">
        <f t="array" ref="E2485">IF(OR(Table4[[#This Row],[INSTALLMENT]]=1,Table4[[#This Row],[INSTALLMENT]]=2,Table4[[#This Row],[INSTALLMENT]]=3),1,0)</f>
        <v>0</v>
      </c>
      <c r="F2485" s="1">
        <f>IF(OR(Table4[[#This Row],[INSTALLMENT]]=2,Table4[[#This Row],[INSTALLMENT]]=3),2,0)</f>
        <v>0</v>
      </c>
      <c r="G2485" s="1">
        <f>IF(OR(Table4[[#This Row],[INSTALLMENT]]=3),3,0)</f>
        <v>0</v>
      </c>
    </row>
    <row r="2486" spans="1:7">
      <c r="A2486" s="1">
        <v>3083</v>
      </c>
      <c r="B2486" s="1" t="s">
        <v>3758</v>
      </c>
      <c r="C2486" s="1" t="s">
        <v>32</v>
      </c>
      <c r="D2486" s="1">
        <f>COUNTIFS('Raw Entries'!B:B,Table4[[#This Row],[Name]],'Raw Entries'!I:I,Table4[[#This Row],[BOOK No.]])</f>
        <v>2</v>
      </c>
      <c r="E2486" s="1">
        <f t="array" ref="E2486">IF(OR(Table4[[#This Row],[INSTALLMENT]]=1,Table4[[#This Row],[INSTALLMENT]]=2,Table4[[#This Row],[INSTALLMENT]]=3),1,0)</f>
        <v>1</v>
      </c>
      <c r="F2486" s="1">
        <f>IF(OR(Table4[[#This Row],[INSTALLMENT]]=2,Table4[[#This Row],[INSTALLMENT]]=3),2,0)</f>
        <v>2</v>
      </c>
      <c r="G2486" s="1">
        <f>IF(OR(Table4[[#This Row],[INSTALLMENT]]=3),3,0)</f>
        <v>0</v>
      </c>
    </row>
    <row r="2487" spans="1:7">
      <c r="A2487" s="1">
        <v>3084</v>
      </c>
      <c r="B2487" s="41" t="s">
        <v>43</v>
      </c>
      <c r="C2487" s="1" t="s">
        <v>32</v>
      </c>
      <c r="D2487" s="1">
        <f>COUNTIFS('Raw Entries'!B:B,Table4[[#This Row],[Name]],'Raw Entries'!I:I,Table4[[#This Row],[BOOK No.]])</f>
        <v>1</v>
      </c>
      <c r="E2487" s="1">
        <f t="array" ref="E2487">IF(OR(Table4[[#This Row],[INSTALLMENT]]=1,Table4[[#This Row],[INSTALLMENT]]=2,Table4[[#This Row],[INSTALLMENT]]=3),1,0)</f>
        <v>1</v>
      </c>
      <c r="F2487" s="1">
        <f>IF(OR(Table4[[#This Row],[INSTALLMENT]]=2,Table4[[#This Row],[INSTALLMENT]]=3),2,0)</f>
        <v>0</v>
      </c>
      <c r="G2487" s="1">
        <f>IF(OR(Table4[[#This Row],[INSTALLMENT]]=3),3,0)</f>
        <v>0</v>
      </c>
    </row>
    <row r="2488" spans="1:7">
      <c r="A2488" s="1">
        <v>3085</v>
      </c>
      <c r="B2488" s="1" t="s">
        <v>3759</v>
      </c>
      <c r="C2488" s="1" t="s">
        <v>32</v>
      </c>
      <c r="D2488" s="1">
        <f>COUNTIFS('Raw Entries'!B:B,Table4[[#This Row],[Name]],'Raw Entries'!I:I,Table4[[#This Row],[BOOK No.]])</f>
        <v>3</v>
      </c>
      <c r="E2488" s="1">
        <f t="array" ref="E2488">IF(OR(Table4[[#This Row],[INSTALLMENT]]=1,Table4[[#This Row],[INSTALLMENT]]=2,Table4[[#This Row],[INSTALLMENT]]=3),1,0)</f>
        <v>1</v>
      </c>
      <c r="F2488" s="1">
        <f>IF(OR(Table4[[#This Row],[INSTALLMENT]]=2,Table4[[#This Row],[INSTALLMENT]]=3),2,0)</f>
        <v>2</v>
      </c>
      <c r="G2488" s="1">
        <f>IF(OR(Table4[[#This Row],[INSTALLMENT]]=3),3,0)</f>
        <v>3</v>
      </c>
    </row>
    <row r="2489" spans="1:7">
      <c r="A2489" s="1">
        <v>3086</v>
      </c>
      <c r="B2489" s="1" t="s">
        <v>38</v>
      </c>
      <c r="C2489" s="1" t="s">
        <v>32</v>
      </c>
      <c r="D2489" s="1">
        <f>COUNTIFS('Raw Entries'!B:B,Table4[[#This Row],[Name]],'Raw Entries'!I:I,Table4[[#This Row],[BOOK No.]])</f>
        <v>3</v>
      </c>
      <c r="E2489" s="1">
        <f t="array" ref="E2489">IF(OR(Table4[[#This Row],[INSTALLMENT]]=1,Table4[[#This Row],[INSTALLMENT]]=2,Table4[[#This Row],[INSTALLMENT]]=3),1,0)</f>
        <v>1</v>
      </c>
      <c r="F2489" s="1">
        <f>IF(OR(Table4[[#This Row],[INSTALLMENT]]=2,Table4[[#This Row],[INSTALLMENT]]=3),2,0)</f>
        <v>2</v>
      </c>
      <c r="G2489" s="1">
        <f>IF(OR(Table4[[#This Row],[INSTALLMENT]]=3),3,0)</f>
        <v>3</v>
      </c>
    </row>
    <row r="2490" spans="1:7">
      <c r="A2490" s="1">
        <v>3087</v>
      </c>
      <c r="B2490" s="1" t="s">
        <v>3760</v>
      </c>
      <c r="C2490" s="1" t="s">
        <v>32</v>
      </c>
      <c r="D2490" s="1">
        <f>COUNTIFS('Raw Entries'!B:B,Table4[[#This Row],[Name]],'Raw Entries'!I:I,Table4[[#This Row],[BOOK No.]])</f>
        <v>0</v>
      </c>
      <c r="E2490" s="1">
        <f t="array" ref="E2490">IF(OR(Table4[[#This Row],[INSTALLMENT]]=1,Table4[[#This Row],[INSTALLMENT]]=2,Table4[[#This Row],[INSTALLMENT]]=3),1,0)</f>
        <v>0</v>
      </c>
      <c r="F2490" s="1">
        <f>IF(OR(Table4[[#This Row],[INSTALLMENT]]=2,Table4[[#This Row],[INSTALLMENT]]=3),2,0)</f>
        <v>0</v>
      </c>
      <c r="G2490" s="1">
        <f>IF(OR(Table4[[#This Row],[INSTALLMENT]]=3),3,0)</f>
        <v>0</v>
      </c>
    </row>
    <row r="2491" spans="1:7">
      <c r="A2491" s="1">
        <v>3088</v>
      </c>
      <c r="B2491" s="1" t="s">
        <v>3761</v>
      </c>
      <c r="C2491" s="1" t="s">
        <v>32</v>
      </c>
      <c r="D2491" s="1">
        <f>COUNTIFS('Raw Entries'!B:B,Table4[[#This Row],[Name]],'Raw Entries'!I:I,Table4[[#This Row],[BOOK No.]])</f>
        <v>0</v>
      </c>
      <c r="E2491" s="1">
        <f t="array" ref="E2491">IF(OR(Table4[[#This Row],[INSTALLMENT]]=1,Table4[[#This Row],[INSTALLMENT]]=2,Table4[[#This Row],[INSTALLMENT]]=3),1,0)</f>
        <v>0</v>
      </c>
      <c r="F2491" s="1">
        <f>IF(OR(Table4[[#This Row],[INSTALLMENT]]=2,Table4[[#This Row],[INSTALLMENT]]=3),2,0)</f>
        <v>0</v>
      </c>
      <c r="G2491" s="1">
        <f>IF(OR(Table4[[#This Row],[INSTALLMENT]]=3),3,0)</f>
        <v>0</v>
      </c>
    </row>
    <row r="2492" spans="1:7">
      <c r="A2492" s="1">
        <v>3089</v>
      </c>
      <c r="B2492" s="1" t="s">
        <v>3762</v>
      </c>
      <c r="C2492" s="1" t="s">
        <v>32</v>
      </c>
      <c r="D2492" s="1">
        <f>COUNTIFS('Raw Entries'!B:B,Table4[[#This Row],[Name]],'Raw Entries'!I:I,Table4[[#This Row],[BOOK No.]])</f>
        <v>0</v>
      </c>
      <c r="E2492" s="1">
        <f t="array" ref="E2492">IF(OR(Table4[[#This Row],[INSTALLMENT]]=1,Table4[[#This Row],[INSTALLMENT]]=2,Table4[[#This Row],[INSTALLMENT]]=3),1,0)</f>
        <v>0</v>
      </c>
      <c r="F2492" s="1">
        <f>IF(OR(Table4[[#This Row],[INSTALLMENT]]=2,Table4[[#This Row],[INSTALLMENT]]=3),2,0)</f>
        <v>0</v>
      </c>
      <c r="G2492" s="1">
        <f>IF(OR(Table4[[#This Row],[INSTALLMENT]]=3),3,0)</f>
        <v>0</v>
      </c>
    </row>
    <row r="2493" spans="1:7">
      <c r="A2493" s="1">
        <v>3090</v>
      </c>
      <c r="B2493" s="1" t="s">
        <v>46</v>
      </c>
      <c r="C2493" s="1" t="s">
        <v>32</v>
      </c>
      <c r="D2493" s="1">
        <f>COUNTIFS('Raw Entries'!B:B,Table4[[#This Row],[Name]],'Raw Entries'!I:I,Table4[[#This Row],[BOOK No.]])</f>
        <v>1</v>
      </c>
      <c r="E2493" s="1">
        <f t="array" ref="E2493">IF(OR(Table4[[#This Row],[INSTALLMENT]]=1,Table4[[#This Row],[INSTALLMENT]]=2,Table4[[#This Row],[INSTALLMENT]]=3),1,0)</f>
        <v>1</v>
      </c>
      <c r="F2493" s="1">
        <f>IF(OR(Table4[[#This Row],[INSTALLMENT]]=2,Table4[[#This Row],[INSTALLMENT]]=3),2,0)</f>
        <v>0</v>
      </c>
      <c r="G2493" s="1">
        <f>IF(OR(Table4[[#This Row],[INSTALLMENT]]=3),3,0)</f>
        <v>0</v>
      </c>
    </row>
    <row r="2494" spans="1:7">
      <c r="A2494" s="1">
        <v>3091</v>
      </c>
      <c r="B2494" s="1" t="s">
        <v>666</v>
      </c>
      <c r="C2494" s="1" t="s">
        <v>32</v>
      </c>
      <c r="D2494" s="1">
        <f>COUNTIFS('Raw Entries'!B:B,Table4[[#This Row],[Name]],'Raw Entries'!I:I,Table4[[#This Row],[BOOK No.]])</f>
        <v>3</v>
      </c>
      <c r="E2494" s="1">
        <f t="array" ref="E2494">IF(OR(Table4[[#This Row],[INSTALLMENT]]=1,Table4[[#This Row],[INSTALLMENT]]=2,Table4[[#This Row],[INSTALLMENT]]=3),1,0)</f>
        <v>1</v>
      </c>
      <c r="F2494" s="1">
        <f>IF(OR(Table4[[#This Row],[INSTALLMENT]]=2,Table4[[#This Row],[INSTALLMENT]]=3),2,0)</f>
        <v>2</v>
      </c>
      <c r="G2494" s="1">
        <f>IF(OR(Table4[[#This Row],[INSTALLMENT]]=3),3,0)</f>
        <v>3</v>
      </c>
    </row>
    <row r="2495" spans="1:7">
      <c r="A2495" s="1">
        <v>3092</v>
      </c>
      <c r="B2495" s="1" t="s">
        <v>35</v>
      </c>
      <c r="C2495" s="1" t="s">
        <v>32</v>
      </c>
      <c r="D2495" s="1">
        <f>COUNTIFS('Raw Entries'!B:B,Table4[[#This Row],[Name]],'Raw Entries'!I:I,Table4[[#This Row],[BOOK No.]])</f>
        <v>1</v>
      </c>
      <c r="E2495" s="1">
        <f t="array" ref="E2495">IF(OR(Table4[[#This Row],[INSTALLMENT]]=1,Table4[[#This Row],[INSTALLMENT]]=2,Table4[[#This Row],[INSTALLMENT]]=3),1,0)</f>
        <v>1</v>
      </c>
      <c r="F2495" s="1">
        <f>IF(OR(Table4[[#This Row],[INSTALLMENT]]=2,Table4[[#This Row],[INSTALLMENT]]=3),2,0)</f>
        <v>0</v>
      </c>
      <c r="G2495" s="1">
        <f>IF(OR(Table4[[#This Row],[INSTALLMENT]]=3),3,0)</f>
        <v>0</v>
      </c>
    </row>
    <row r="2496" spans="1:7">
      <c r="A2496" s="1">
        <v>3093</v>
      </c>
      <c r="B2496" s="1" t="s">
        <v>3763</v>
      </c>
      <c r="C2496" s="1" t="s">
        <v>32</v>
      </c>
      <c r="D2496" s="1">
        <f>COUNTIFS('Raw Entries'!B:B,Table4[[#This Row],[Name]],'Raw Entries'!I:I,Table4[[#This Row],[BOOK No.]])</f>
        <v>0</v>
      </c>
      <c r="E2496" s="1">
        <f t="array" ref="E2496">IF(OR(Table4[[#This Row],[INSTALLMENT]]=1,Table4[[#This Row],[INSTALLMENT]]=2,Table4[[#This Row],[INSTALLMENT]]=3),1,0)</f>
        <v>0</v>
      </c>
      <c r="F2496" s="1">
        <f>IF(OR(Table4[[#This Row],[INSTALLMENT]]=2,Table4[[#This Row],[INSTALLMENT]]=3),2,0)</f>
        <v>0</v>
      </c>
      <c r="G2496" s="1">
        <f>IF(OR(Table4[[#This Row],[INSTALLMENT]]=3),3,0)</f>
        <v>0</v>
      </c>
    </row>
    <row r="2497" spans="1:7">
      <c r="A2497" s="1">
        <v>3094</v>
      </c>
      <c r="B2497" s="42" t="s">
        <v>39</v>
      </c>
      <c r="C2497" s="1" t="s">
        <v>32</v>
      </c>
      <c r="D2497" s="1">
        <f>COUNTIFS('Raw Entries'!B:B,Table4[[#This Row],[Name]],'Raw Entries'!I:I,Table4[[#This Row],[BOOK No.]])</f>
        <v>2</v>
      </c>
      <c r="E2497" s="1">
        <f t="array" ref="E2497">IF(OR(Table4[[#This Row],[INSTALLMENT]]=1,Table4[[#This Row],[INSTALLMENT]]=2,Table4[[#This Row],[INSTALLMENT]]=3),1,0)</f>
        <v>1</v>
      </c>
      <c r="F2497" s="1">
        <f>IF(OR(Table4[[#This Row],[INSTALLMENT]]=2,Table4[[#This Row],[INSTALLMENT]]=3),2,0)</f>
        <v>2</v>
      </c>
      <c r="G2497" s="1">
        <f>IF(OR(Table4[[#This Row],[INSTALLMENT]]=3),3,0)</f>
        <v>0</v>
      </c>
    </row>
    <row r="2498" spans="1:7">
      <c r="A2498" s="1">
        <v>3095</v>
      </c>
      <c r="B2498" s="1" t="s">
        <v>40</v>
      </c>
      <c r="C2498" s="1" t="s">
        <v>32</v>
      </c>
      <c r="D2498" s="1">
        <f>COUNTIFS('Raw Entries'!B:B,Table4[[#This Row],[Name]],'Raw Entries'!I:I,Table4[[#This Row],[BOOK No.]])</f>
        <v>2</v>
      </c>
      <c r="E2498" s="1">
        <f t="array" ref="E2498">IF(OR(Table4[[#This Row],[INSTALLMENT]]=1,Table4[[#This Row],[INSTALLMENT]]=2,Table4[[#This Row],[INSTALLMENT]]=3),1,0)</f>
        <v>1</v>
      </c>
      <c r="F2498" s="1">
        <f>IF(OR(Table4[[#This Row],[INSTALLMENT]]=2,Table4[[#This Row],[INSTALLMENT]]=3),2,0)</f>
        <v>2</v>
      </c>
      <c r="G2498" s="1">
        <f>IF(OR(Table4[[#This Row],[INSTALLMENT]]=3),3,0)</f>
        <v>0</v>
      </c>
    </row>
    <row r="2499" spans="1:7">
      <c r="A2499" s="1">
        <v>3096</v>
      </c>
      <c r="B2499" s="1" t="s">
        <v>3764</v>
      </c>
      <c r="C2499" s="1" t="s">
        <v>32</v>
      </c>
      <c r="D2499" s="1">
        <f>COUNTIFS('Raw Entries'!B:B,Table4[[#This Row],[Name]],'Raw Entries'!I:I,Table4[[#This Row],[BOOK No.]])</f>
        <v>0</v>
      </c>
      <c r="E2499" s="1">
        <f t="array" ref="E2499">IF(OR(Table4[[#This Row],[INSTALLMENT]]=1,Table4[[#This Row],[INSTALLMENT]]=2,Table4[[#This Row],[INSTALLMENT]]=3),1,0)</f>
        <v>0</v>
      </c>
      <c r="F2499" s="1">
        <f>IF(OR(Table4[[#This Row],[INSTALLMENT]]=2,Table4[[#This Row],[INSTALLMENT]]=3),2,0)</f>
        <v>0</v>
      </c>
      <c r="G2499" s="1">
        <f>IF(OR(Table4[[#This Row],[INSTALLMENT]]=3),3,0)</f>
        <v>0</v>
      </c>
    </row>
    <row r="2500" spans="1:7">
      <c r="A2500" s="1">
        <v>3098</v>
      </c>
      <c r="B2500" s="1" t="s">
        <v>55</v>
      </c>
      <c r="C2500" s="1" t="s">
        <v>51</v>
      </c>
      <c r="D2500" s="1">
        <f>COUNTIFS('Raw Entries'!B:B,Table4[[#This Row],[Name]],'Raw Entries'!I:I,Table4[[#This Row],[BOOK No.]])</f>
        <v>1</v>
      </c>
      <c r="E2500" s="1">
        <f t="array" ref="E2500">IF(OR(Table4[[#This Row],[INSTALLMENT]]=1,Table4[[#This Row],[INSTALLMENT]]=2,Table4[[#This Row],[INSTALLMENT]]=3),1,0)</f>
        <v>1</v>
      </c>
      <c r="F2500" s="1">
        <f>IF(OR(Table4[[#This Row],[INSTALLMENT]]=2,Table4[[#This Row],[INSTALLMENT]]=3),2,0)</f>
        <v>0</v>
      </c>
      <c r="G2500" s="1">
        <f>IF(OR(Table4[[#This Row],[INSTALLMENT]]=3),3,0)</f>
        <v>0</v>
      </c>
    </row>
    <row r="2501" spans="1:7">
      <c r="A2501" s="1">
        <v>3099</v>
      </c>
      <c r="B2501" s="1" t="s">
        <v>3765</v>
      </c>
      <c r="C2501" s="1" t="s">
        <v>51</v>
      </c>
      <c r="D2501" s="1">
        <f>COUNTIFS('Raw Entries'!B:B,Table4[[#This Row],[Name]],'Raw Entries'!I:I,Table4[[#This Row],[BOOK No.]])</f>
        <v>0</v>
      </c>
      <c r="E2501" s="1">
        <f t="array" ref="E2501">IF(OR(Table4[[#This Row],[INSTALLMENT]]=1,Table4[[#This Row],[INSTALLMENT]]=2,Table4[[#This Row],[INSTALLMENT]]=3),1,0)</f>
        <v>0</v>
      </c>
      <c r="F2501" s="1">
        <f>IF(OR(Table4[[#This Row],[INSTALLMENT]]=2,Table4[[#This Row],[INSTALLMENT]]=3),2,0)</f>
        <v>0</v>
      </c>
      <c r="G2501" s="1">
        <f>IF(OR(Table4[[#This Row],[INSTALLMENT]]=3),3,0)</f>
        <v>0</v>
      </c>
    </row>
    <row r="2502" spans="1:7">
      <c r="A2502" s="1">
        <v>3100</v>
      </c>
      <c r="B2502" s="1" t="s">
        <v>3766</v>
      </c>
      <c r="C2502" s="1" t="s">
        <v>51</v>
      </c>
      <c r="D2502" s="1">
        <f>COUNTIFS('Raw Entries'!B:B,Table4[[#This Row],[Name]],'Raw Entries'!I:I,Table4[[#This Row],[BOOK No.]])</f>
        <v>0</v>
      </c>
      <c r="E2502" s="1">
        <f t="array" ref="E2502">IF(OR(Table4[[#This Row],[INSTALLMENT]]=1,Table4[[#This Row],[INSTALLMENT]]=2,Table4[[#This Row],[INSTALLMENT]]=3),1,0)</f>
        <v>0</v>
      </c>
      <c r="F2502" s="1">
        <f>IF(OR(Table4[[#This Row],[INSTALLMENT]]=2,Table4[[#This Row],[INSTALLMENT]]=3),2,0)</f>
        <v>0</v>
      </c>
      <c r="G2502" s="1">
        <f>IF(OR(Table4[[#This Row],[INSTALLMENT]]=3),3,0)</f>
        <v>0</v>
      </c>
    </row>
    <row r="2503" spans="1:7">
      <c r="A2503" s="1">
        <v>3101</v>
      </c>
      <c r="B2503" s="1" t="s">
        <v>665</v>
      </c>
      <c r="C2503" s="1" t="s">
        <v>51</v>
      </c>
      <c r="D2503" s="1">
        <f>COUNTIFS('Raw Entries'!B:B,Table4[[#This Row],[Name]],'Raw Entries'!I:I,Table4[[#This Row],[BOOK No.]])</f>
        <v>1</v>
      </c>
      <c r="E2503" s="1">
        <f t="array" ref="E2503">IF(OR(Table4[[#This Row],[INSTALLMENT]]=1,Table4[[#This Row],[INSTALLMENT]]=2,Table4[[#This Row],[INSTALLMENT]]=3),1,0)</f>
        <v>1</v>
      </c>
      <c r="F2503" s="1">
        <f>IF(OR(Table4[[#This Row],[INSTALLMENT]]=2,Table4[[#This Row],[INSTALLMENT]]=3),2,0)</f>
        <v>0</v>
      </c>
      <c r="G2503" s="1">
        <f>IF(OR(Table4[[#This Row],[INSTALLMENT]]=3),3,0)</f>
        <v>0</v>
      </c>
    </row>
    <row r="2504" spans="1:7">
      <c r="A2504" s="1">
        <v>3102</v>
      </c>
      <c r="B2504" s="1" t="s">
        <v>3767</v>
      </c>
      <c r="C2504" s="1" t="s">
        <v>51</v>
      </c>
      <c r="D2504" s="1">
        <f>COUNTIFS('Raw Entries'!B:B,Table4[[#This Row],[Name]],'Raw Entries'!I:I,Table4[[#This Row],[BOOK No.]])</f>
        <v>1</v>
      </c>
      <c r="E2504" s="1">
        <f t="array" ref="E2504">IF(OR(Table4[[#This Row],[INSTALLMENT]]=1,Table4[[#This Row],[INSTALLMENT]]=2,Table4[[#This Row],[INSTALLMENT]]=3),1,0)</f>
        <v>1</v>
      </c>
      <c r="F2504" s="1">
        <f>IF(OR(Table4[[#This Row],[INSTALLMENT]]=2,Table4[[#This Row],[INSTALLMENT]]=3),2,0)</f>
        <v>0</v>
      </c>
      <c r="G2504" s="1">
        <f>IF(OR(Table4[[#This Row],[INSTALLMENT]]=3),3,0)</f>
        <v>0</v>
      </c>
    </row>
    <row r="2505" spans="1:7">
      <c r="A2505" s="1">
        <v>3103</v>
      </c>
      <c r="B2505" s="1" t="s">
        <v>3768</v>
      </c>
      <c r="C2505" s="1" t="s">
        <v>51</v>
      </c>
      <c r="D2505" s="1">
        <f>COUNTIFS('Raw Entries'!B:B,Table4[[#This Row],[Name]],'Raw Entries'!I:I,Table4[[#This Row],[BOOK No.]])</f>
        <v>0</v>
      </c>
      <c r="E2505" s="1">
        <f t="array" ref="E2505">IF(OR(Table4[[#This Row],[INSTALLMENT]]=1,Table4[[#This Row],[INSTALLMENT]]=2,Table4[[#This Row],[INSTALLMENT]]=3),1,0)</f>
        <v>0</v>
      </c>
      <c r="F2505" s="1">
        <f>IF(OR(Table4[[#This Row],[INSTALLMENT]]=2,Table4[[#This Row],[INSTALLMENT]]=3),2,0)</f>
        <v>0</v>
      </c>
      <c r="G2505" s="1">
        <f>IF(OR(Table4[[#This Row],[INSTALLMENT]]=3),3,0)</f>
        <v>0</v>
      </c>
    </row>
    <row r="2506" spans="1:7">
      <c r="A2506" s="1">
        <v>3104</v>
      </c>
      <c r="B2506" s="1" t="s">
        <v>53</v>
      </c>
      <c r="C2506" s="1" t="s">
        <v>51</v>
      </c>
      <c r="D2506" s="1">
        <f>COUNTIFS('Raw Entries'!B:B,Table4[[#This Row],[Name]],'Raw Entries'!I:I,Table4[[#This Row],[BOOK No.]])</f>
        <v>3</v>
      </c>
      <c r="E2506" s="1">
        <f t="array" ref="E2506">IF(OR(Table4[[#This Row],[INSTALLMENT]]=1,Table4[[#This Row],[INSTALLMENT]]=2,Table4[[#This Row],[INSTALLMENT]]=3),1,0)</f>
        <v>1</v>
      </c>
      <c r="F2506" s="1">
        <f>IF(OR(Table4[[#This Row],[INSTALLMENT]]=2,Table4[[#This Row],[INSTALLMENT]]=3),2,0)</f>
        <v>2</v>
      </c>
      <c r="G2506" s="1">
        <f>IF(OR(Table4[[#This Row],[INSTALLMENT]]=3),3,0)</f>
        <v>3</v>
      </c>
    </row>
    <row r="2507" spans="1:7">
      <c r="A2507" s="1">
        <v>3105</v>
      </c>
      <c r="B2507" s="1" t="s">
        <v>3769</v>
      </c>
      <c r="C2507" s="1" t="s">
        <v>51</v>
      </c>
      <c r="D2507" s="1">
        <f>COUNTIFS('Raw Entries'!B:B,Table4[[#This Row],[Name]],'Raw Entries'!I:I,Table4[[#This Row],[BOOK No.]])</f>
        <v>0</v>
      </c>
      <c r="E2507" s="1">
        <f t="array" ref="E2507">IF(OR(Table4[[#This Row],[INSTALLMENT]]=1,Table4[[#This Row],[INSTALLMENT]]=2,Table4[[#This Row],[INSTALLMENT]]=3),1,0)</f>
        <v>0</v>
      </c>
      <c r="F2507" s="1">
        <f>IF(OR(Table4[[#This Row],[INSTALLMENT]]=2,Table4[[#This Row],[INSTALLMENT]]=3),2,0)</f>
        <v>0</v>
      </c>
      <c r="G2507" s="1">
        <f>IF(OR(Table4[[#This Row],[INSTALLMENT]]=3),3,0)</f>
        <v>0</v>
      </c>
    </row>
    <row r="2508" spans="1:7">
      <c r="A2508" s="1">
        <v>3106</v>
      </c>
      <c r="B2508" s="42" t="s">
        <v>662</v>
      </c>
      <c r="C2508" s="1" t="s">
        <v>51</v>
      </c>
      <c r="D2508" s="1">
        <f>COUNTIFS('Raw Entries'!B:B,Table4[[#This Row],[Name]],'Raw Entries'!I:I,Table4[[#This Row],[BOOK No.]])</f>
        <v>1</v>
      </c>
      <c r="E2508" s="1">
        <f t="array" ref="E2508">IF(OR(Table4[[#This Row],[INSTALLMENT]]=1,Table4[[#This Row],[INSTALLMENT]]=2,Table4[[#This Row],[INSTALLMENT]]=3),1,0)</f>
        <v>1</v>
      </c>
      <c r="F2508" s="1">
        <f>IF(OR(Table4[[#This Row],[INSTALLMENT]]=2,Table4[[#This Row],[INSTALLMENT]]=3),2,0)</f>
        <v>0</v>
      </c>
      <c r="G2508" s="1">
        <f>IF(OR(Table4[[#This Row],[INSTALLMENT]]=3),3,0)</f>
        <v>0</v>
      </c>
    </row>
    <row r="2509" spans="1:7">
      <c r="A2509" s="1">
        <v>3107</v>
      </c>
      <c r="B2509" s="1" t="s">
        <v>3770</v>
      </c>
      <c r="C2509" s="1" t="s">
        <v>51</v>
      </c>
      <c r="D2509" s="1">
        <f>COUNTIFS('Raw Entries'!B:B,Table4[[#This Row],[Name]],'Raw Entries'!I:I,Table4[[#This Row],[BOOK No.]])</f>
        <v>0</v>
      </c>
      <c r="E2509" s="1">
        <f t="array" ref="E2509">IF(OR(Table4[[#This Row],[INSTALLMENT]]=1,Table4[[#This Row],[INSTALLMENT]]=2,Table4[[#This Row],[INSTALLMENT]]=3),1,0)</f>
        <v>0</v>
      </c>
      <c r="F2509" s="1">
        <f>IF(OR(Table4[[#This Row],[INSTALLMENT]]=2,Table4[[#This Row],[INSTALLMENT]]=3),2,0)</f>
        <v>0</v>
      </c>
      <c r="G2509" s="1">
        <f>IF(OR(Table4[[#This Row],[INSTALLMENT]]=3),3,0)</f>
        <v>0</v>
      </c>
    </row>
    <row r="2510" spans="1:7">
      <c r="A2510" s="1">
        <v>3108</v>
      </c>
      <c r="B2510" s="42" t="s">
        <v>54</v>
      </c>
      <c r="C2510" s="1" t="s">
        <v>51</v>
      </c>
      <c r="D2510" s="1">
        <f>COUNTIFS('Raw Entries'!B:B,Table4[[#This Row],[Name]],'Raw Entries'!I:I,Table4[[#This Row],[BOOK No.]])</f>
        <v>2</v>
      </c>
      <c r="E2510" s="1">
        <f t="array" ref="E2510">IF(OR(Table4[[#This Row],[INSTALLMENT]]=1,Table4[[#This Row],[INSTALLMENT]]=2,Table4[[#This Row],[INSTALLMENT]]=3),1,0)</f>
        <v>1</v>
      </c>
      <c r="F2510" s="1">
        <f>IF(OR(Table4[[#This Row],[INSTALLMENT]]=2,Table4[[#This Row],[INSTALLMENT]]=3),2,0)</f>
        <v>2</v>
      </c>
      <c r="G2510" s="1">
        <f>IF(OR(Table4[[#This Row],[INSTALLMENT]]=3),3,0)</f>
        <v>0</v>
      </c>
    </row>
    <row r="2511" spans="1:7">
      <c r="A2511" s="1">
        <v>3109</v>
      </c>
      <c r="B2511" s="41" t="s">
        <v>56</v>
      </c>
      <c r="C2511" s="1" t="s">
        <v>51</v>
      </c>
      <c r="D2511" s="1">
        <f>COUNTIFS('Raw Entries'!B:B,Table4[[#This Row],[Name]],'Raw Entries'!I:I,Table4[[#This Row],[BOOK No.]])</f>
        <v>1</v>
      </c>
      <c r="E2511" s="1">
        <f t="array" ref="E2511">IF(OR(Table4[[#This Row],[INSTALLMENT]]=1,Table4[[#This Row],[INSTALLMENT]]=2,Table4[[#This Row],[INSTALLMENT]]=3),1,0)</f>
        <v>1</v>
      </c>
      <c r="F2511" s="1">
        <f>IF(OR(Table4[[#This Row],[INSTALLMENT]]=2,Table4[[#This Row],[INSTALLMENT]]=3),2,0)</f>
        <v>0</v>
      </c>
      <c r="G2511" s="1">
        <f>IF(OR(Table4[[#This Row],[INSTALLMENT]]=3),3,0)</f>
        <v>0</v>
      </c>
    </row>
    <row r="2512" spans="1:7">
      <c r="A2512" s="1">
        <v>3110</v>
      </c>
      <c r="B2512" s="1" t="s">
        <v>3771</v>
      </c>
      <c r="C2512" s="1" t="s">
        <v>51</v>
      </c>
      <c r="D2512" s="1">
        <f>COUNTIFS('Raw Entries'!B:B,Table4[[#This Row],[Name]],'Raw Entries'!I:I,Table4[[#This Row],[BOOK No.]])</f>
        <v>0</v>
      </c>
      <c r="E2512" s="1">
        <f t="array" ref="E2512">IF(OR(Table4[[#This Row],[INSTALLMENT]]=1,Table4[[#This Row],[INSTALLMENT]]=2,Table4[[#This Row],[INSTALLMENT]]=3),1,0)</f>
        <v>0</v>
      </c>
      <c r="F2512" s="1">
        <f>IF(OR(Table4[[#This Row],[INSTALLMENT]]=2,Table4[[#This Row],[INSTALLMENT]]=3),2,0)</f>
        <v>0</v>
      </c>
      <c r="G2512" s="1">
        <f>IF(OR(Table4[[#This Row],[INSTALLMENT]]=3),3,0)</f>
        <v>0</v>
      </c>
    </row>
    <row r="2513" spans="1:7">
      <c r="A2513" s="1">
        <v>3111</v>
      </c>
      <c r="B2513" s="1" t="s">
        <v>3772</v>
      </c>
      <c r="C2513" s="1" t="s">
        <v>51</v>
      </c>
      <c r="D2513" s="1">
        <f>COUNTIFS('Raw Entries'!B:B,Table4[[#This Row],[Name]],'Raw Entries'!I:I,Table4[[#This Row],[BOOK No.]])</f>
        <v>0</v>
      </c>
      <c r="E2513" s="1">
        <f t="array" ref="E2513">IF(OR(Table4[[#This Row],[INSTALLMENT]]=1,Table4[[#This Row],[INSTALLMENT]]=2,Table4[[#This Row],[INSTALLMENT]]=3),1,0)</f>
        <v>0</v>
      </c>
      <c r="F2513" s="1">
        <f>IF(OR(Table4[[#This Row],[INSTALLMENT]]=2,Table4[[#This Row],[INSTALLMENT]]=3),2,0)</f>
        <v>0</v>
      </c>
      <c r="G2513" s="1">
        <f>IF(OR(Table4[[#This Row],[INSTALLMENT]]=3),3,0)</f>
        <v>0</v>
      </c>
    </row>
    <row r="2514" spans="1:7">
      <c r="A2514" s="1">
        <v>3112</v>
      </c>
      <c r="B2514" s="1" t="s">
        <v>52</v>
      </c>
      <c r="C2514" s="1" t="s">
        <v>51</v>
      </c>
      <c r="D2514" s="1">
        <f>COUNTIFS('Raw Entries'!B:B,Table4[[#This Row],[Name]],'Raw Entries'!I:I,Table4[[#This Row],[BOOK No.]])</f>
        <v>2</v>
      </c>
      <c r="E2514" s="1">
        <f t="array" ref="E2514">IF(OR(Table4[[#This Row],[INSTALLMENT]]=1,Table4[[#This Row],[INSTALLMENT]]=2,Table4[[#This Row],[INSTALLMENT]]=3),1,0)</f>
        <v>1</v>
      </c>
      <c r="F2514" s="1">
        <f>IF(OR(Table4[[#This Row],[INSTALLMENT]]=2,Table4[[#This Row],[INSTALLMENT]]=3),2,0)</f>
        <v>2</v>
      </c>
      <c r="G2514" s="1">
        <f>IF(OR(Table4[[#This Row],[INSTALLMENT]]=3),3,0)</f>
        <v>0</v>
      </c>
    </row>
    <row r="2515" spans="1:7">
      <c r="A2515" s="1">
        <v>3113</v>
      </c>
      <c r="B2515" s="1" t="s">
        <v>3773</v>
      </c>
      <c r="C2515" s="1" t="s">
        <v>51</v>
      </c>
      <c r="D2515" s="1">
        <f>COUNTIFS('Raw Entries'!B:B,Table4[[#This Row],[Name]],'Raw Entries'!I:I,Table4[[#This Row],[BOOK No.]])</f>
        <v>0</v>
      </c>
      <c r="E2515" s="1">
        <f t="array" ref="E2515">IF(OR(Table4[[#This Row],[INSTALLMENT]]=1,Table4[[#This Row],[INSTALLMENT]]=2,Table4[[#This Row],[INSTALLMENT]]=3),1,0)</f>
        <v>0</v>
      </c>
      <c r="F2515" s="1">
        <f>IF(OR(Table4[[#This Row],[INSTALLMENT]]=2,Table4[[#This Row],[INSTALLMENT]]=3),2,0)</f>
        <v>0</v>
      </c>
      <c r="G2515" s="1">
        <f>IF(OR(Table4[[#This Row],[INSTALLMENT]]=3),3,0)</f>
        <v>0</v>
      </c>
    </row>
    <row r="2516" spans="1:7">
      <c r="A2516" s="1">
        <v>3114</v>
      </c>
      <c r="B2516" s="1" t="s">
        <v>3774</v>
      </c>
      <c r="C2516" s="1" t="s">
        <v>51</v>
      </c>
      <c r="D2516" s="1">
        <f>COUNTIFS('Raw Entries'!B:B,Table4[[#This Row],[Name]],'Raw Entries'!I:I,Table4[[#This Row],[BOOK No.]])</f>
        <v>1</v>
      </c>
      <c r="E2516" s="1">
        <f t="array" ref="E2516">IF(OR(Table4[[#This Row],[INSTALLMENT]]=1,Table4[[#This Row],[INSTALLMENT]]=2,Table4[[#This Row],[INSTALLMENT]]=3),1,0)</f>
        <v>1</v>
      </c>
      <c r="F2516" s="1">
        <f>IF(OR(Table4[[#This Row],[INSTALLMENT]]=2,Table4[[#This Row],[INSTALLMENT]]=3),2,0)</f>
        <v>0</v>
      </c>
      <c r="G2516" s="1">
        <f>IF(OR(Table4[[#This Row],[INSTALLMENT]]=3),3,0)</f>
        <v>0</v>
      </c>
    </row>
    <row r="2517" spans="1:7">
      <c r="A2517" s="1">
        <v>3115</v>
      </c>
      <c r="B2517" s="1" t="s">
        <v>3775</v>
      </c>
      <c r="C2517" s="1" t="s">
        <v>51</v>
      </c>
      <c r="D2517" s="1">
        <f>COUNTIFS('Raw Entries'!B:B,Table4[[#This Row],[Name]],'Raw Entries'!I:I,Table4[[#This Row],[BOOK No.]])</f>
        <v>0</v>
      </c>
      <c r="E2517" s="1">
        <f t="array" ref="E2517">IF(OR(Table4[[#This Row],[INSTALLMENT]]=1,Table4[[#This Row],[INSTALLMENT]]=2,Table4[[#This Row],[INSTALLMENT]]=3),1,0)</f>
        <v>0</v>
      </c>
      <c r="F2517" s="1">
        <f>IF(OR(Table4[[#This Row],[INSTALLMENT]]=2,Table4[[#This Row],[INSTALLMENT]]=3),2,0)</f>
        <v>0</v>
      </c>
      <c r="G2517" s="1">
        <f>IF(OR(Table4[[#This Row],[INSTALLMENT]]=3),3,0)</f>
        <v>0</v>
      </c>
    </row>
    <row r="2518" spans="1:7">
      <c r="A2518" s="1">
        <v>3116</v>
      </c>
      <c r="B2518" s="1" t="s">
        <v>3776</v>
      </c>
      <c r="C2518" s="1" t="s">
        <v>51</v>
      </c>
      <c r="D2518" s="1">
        <f>COUNTIFS('Raw Entries'!B:B,Table4[[#This Row],[Name]],'Raw Entries'!I:I,Table4[[#This Row],[BOOK No.]])</f>
        <v>1</v>
      </c>
      <c r="E2518" s="1">
        <f t="array" ref="E2518">IF(OR(Table4[[#This Row],[INSTALLMENT]]=1,Table4[[#This Row],[INSTALLMENT]]=2,Table4[[#This Row],[INSTALLMENT]]=3),1,0)</f>
        <v>1</v>
      </c>
      <c r="F2518" s="1">
        <f>IF(OR(Table4[[#This Row],[INSTALLMENT]]=2,Table4[[#This Row],[INSTALLMENT]]=3),2,0)</f>
        <v>0</v>
      </c>
      <c r="G2518" s="1">
        <f>IF(OR(Table4[[#This Row],[INSTALLMENT]]=3),3,0)</f>
        <v>0</v>
      </c>
    </row>
    <row r="2519" spans="1:7">
      <c r="A2519" s="1">
        <v>3117</v>
      </c>
      <c r="B2519" s="1" t="s">
        <v>1850</v>
      </c>
      <c r="C2519" s="1" t="s">
        <v>51</v>
      </c>
      <c r="D2519" s="1">
        <f>COUNTIFS('Raw Entries'!B:B,Table4[[#This Row],[Name]],'Raw Entries'!I:I,Table4[[#This Row],[BOOK No.]])</f>
        <v>3</v>
      </c>
      <c r="E2519" s="1">
        <f t="array" ref="E2519">IF(OR(Table4[[#This Row],[INSTALLMENT]]=1,Table4[[#This Row],[INSTALLMENT]]=2,Table4[[#This Row],[INSTALLMENT]]=3),1,0)</f>
        <v>1</v>
      </c>
      <c r="F2519" s="1">
        <f>IF(OR(Table4[[#This Row],[INSTALLMENT]]=2,Table4[[#This Row],[INSTALLMENT]]=3),2,0)</f>
        <v>2</v>
      </c>
      <c r="G2519" s="1">
        <f>IF(OR(Table4[[#This Row],[INSTALLMENT]]=3),3,0)</f>
        <v>3</v>
      </c>
    </row>
    <row r="2520" spans="1:7">
      <c r="A2520" s="1">
        <v>3118</v>
      </c>
      <c r="B2520" s="1" t="s">
        <v>3777</v>
      </c>
      <c r="C2520" s="1" t="s">
        <v>51</v>
      </c>
      <c r="D2520" s="1">
        <f>COUNTIFS('Raw Entries'!B:B,Table4[[#This Row],[Name]],'Raw Entries'!I:I,Table4[[#This Row],[BOOK No.]])</f>
        <v>0</v>
      </c>
      <c r="E2520" s="1">
        <f t="array" ref="E2520">IF(OR(Table4[[#This Row],[INSTALLMENT]]=1,Table4[[#This Row],[INSTALLMENT]]=2,Table4[[#This Row],[INSTALLMENT]]=3),1,0)</f>
        <v>0</v>
      </c>
      <c r="F2520" s="1">
        <f>IF(OR(Table4[[#This Row],[INSTALLMENT]]=2,Table4[[#This Row],[INSTALLMENT]]=3),2,0)</f>
        <v>0</v>
      </c>
      <c r="G2520" s="1">
        <f>IF(OR(Table4[[#This Row],[INSTALLMENT]]=3),3,0)</f>
        <v>0</v>
      </c>
    </row>
    <row r="2521" spans="1:7">
      <c r="A2521" s="1">
        <v>3119</v>
      </c>
      <c r="B2521" s="1" t="s">
        <v>3778</v>
      </c>
      <c r="C2521" s="1" t="s">
        <v>51</v>
      </c>
      <c r="D2521" s="1">
        <f>COUNTIFS('Raw Entries'!B:B,Table4[[#This Row],[Name]],'Raw Entries'!I:I,Table4[[#This Row],[BOOK No.]])</f>
        <v>0</v>
      </c>
      <c r="E2521" s="1">
        <f t="array" ref="E2521">IF(OR(Table4[[#This Row],[INSTALLMENT]]=1,Table4[[#This Row],[INSTALLMENT]]=2,Table4[[#This Row],[INSTALLMENT]]=3),1,0)</f>
        <v>0</v>
      </c>
      <c r="F2521" s="1">
        <f>IF(OR(Table4[[#This Row],[INSTALLMENT]]=2,Table4[[#This Row],[INSTALLMENT]]=3),2,0)</f>
        <v>0</v>
      </c>
      <c r="G2521" s="1">
        <f>IF(OR(Table4[[#This Row],[INSTALLMENT]]=3),3,0)</f>
        <v>0</v>
      </c>
    </row>
    <row r="2522" spans="1:7">
      <c r="A2522" s="1">
        <v>3120</v>
      </c>
      <c r="B2522" s="1" t="s">
        <v>3779</v>
      </c>
      <c r="C2522" s="1" t="s">
        <v>51</v>
      </c>
      <c r="D2522" s="1">
        <f>COUNTIFS('Raw Entries'!B:B,Table4[[#This Row],[Name]],'Raw Entries'!I:I,Table4[[#This Row],[BOOK No.]])</f>
        <v>0</v>
      </c>
      <c r="E2522" s="1">
        <f t="array" ref="E2522">IF(OR(Table4[[#This Row],[INSTALLMENT]]=1,Table4[[#This Row],[INSTALLMENT]]=2,Table4[[#This Row],[INSTALLMENT]]=3),1,0)</f>
        <v>0</v>
      </c>
      <c r="F2522" s="1">
        <f>IF(OR(Table4[[#This Row],[INSTALLMENT]]=2,Table4[[#This Row],[INSTALLMENT]]=3),2,0)</f>
        <v>0</v>
      </c>
      <c r="G2522" s="1">
        <f>IF(OR(Table4[[#This Row],[INSTALLMENT]]=3),3,0)</f>
        <v>0</v>
      </c>
    </row>
    <row r="2523" spans="1:7">
      <c r="A2523" s="1">
        <v>3121</v>
      </c>
      <c r="B2523" s="1" t="s">
        <v>3780</v>
      </c>
      <c r="C2523" s="1" t="s">
        <v>51</v>
      </c>
      <c r="D2523" s="1">
        <f>COUNTIFS('Raw Entries'!B:B,Table4[[#This Row],[Name]],'Raw Entries'!I:I,Table4[[#This Row],[BOOK No.]])</f>
        <v>0</v>
      </c>
      <c r="E2523" s="1">
        <f t="array" ref="E2523">IF(OR(Table4[[#This Row],[INSTALLMENT]]=1,Table4[[#This Row],[INSTALLMENT]]=2,Table4[[#This Row],[INSTALLMENT]]=3),1,0)</f>
        <v>0</v>
      </c>
      <c r="F2523" s="1">
        <f>IF(OR(Table4[[#This Row],[INSTALLMENT]]=2,Table4[[#This Row],[INSTALLMENT]]=3),2,0)</f>
        <v>0</v>
      </c>
      <c r="G2523" s="1">
        <f>IF(OR(Table4[[#This Row],[INSTALLMENT]]=3),3,0)</f>
        <v>0</v>
      </c>
    </row>
    <row r="2524" spans="1:7">
      <c r="A2524" s="1">
        <v>3122</v>
      </c>
      <c r="B2524" s="1" t="s">
        <v>3781</v>
      </c>
      <c r="C2524" s="1" t="s">
        <v>51</v>
      </c>
      <c r="D2524" s="1">
        <f>COUNTIFS('Raw Entries'!B:B,Table4[[#This Row],[Name]],'Raw Entries'!I:I,Table4[[#This Row],[BOOK No.]])</f>
        <v>0</v>
      </c>
      <c r="E2524" s="1">
        <f t="array" ref="E2524">IF(OR(Table4[[#This Row],[INSTALLMENT]]=1,Table4[[#This Row],[INSTALLMENT]]=2,Table4[[#This Row],[INSTALLMENT]]=3),1,0)</f>
        <v>0</v>
      </c>
      <c r="F2524" s="1">
        <f>IF(OR(Table4[[#This Row],[INSTALLMENT]]=2,Table4[[#This Row],[INSTALLMENT]]=3),2,0)</f>
        <v>0</v>
      </c>
      <c r="G2524" s="1">
        <f>IF(OR(Table4[[#This Row],[INSTALLMENT]]=3),3,0)</f>
        <v>0</v>
      </c>
    </row>
    <row r="2525" spans="1:7">
      <c r="A2525" s="1">
        <v>3123</v>
      </c>
      <c r="B2525" s="1" t="s">
        <v>3782</v>
      </c>
      <c r="C2525" s="1" t="s">
        <v>51</v>
      </c>
      <c r="D2525" s="1">
        <f>COUNTIFS('Raw Entries'!B:B,Table4[[#This Row],[Name]],'Raw Entries'!I:I,Table4[[#This Row],[BOOK No.]])</f>
        <v>0</v>
      </c>
      <c r="E2525" s="1">
        <f t="array" ref="E2525">IF(OR(Table4[[#This Row],[INSTALLMENT]]=1,Table4[[#This Row],[INSTALLMENT]]=2,Table4[[#This Row],[INSTALLMENT]]=3),1,0)</f>
        <v>0</v>
      </c>
      <c r="F2525" s="1">
        <f>IF(OR(Table4[[#This Row],[INSTALLMENT]]=2,Table4[[#This Row],[INSTALLMENT]]=3),2,0)</f>
        <v>0</v>
      </c>
      <c r="G2525" s="1">
        <f>IF(OR(Table4[[#This Row],[INSTALLMENT]]=3),3,0)</f>
        <v>0</v>
      </c>
    </row>
    <row r="2526" spans="1:7">
      <c r="A2526" s="1">
        <v>3124</v>
      </c>
      <c r="B2526" s="1" t="s">
        <v>3783</v>
      </c>
      <c r="C2526" s="1" t="s">
        <v>51</v>
      </c>
      <c r="D2526" s="1">
        <f>COUNTIFS('Raw Entries'!B:B,Table4[[#This Row],[Name]],'Raw Entries'!I:I,Table4[[#This Row],[BOOK No.]])</f>
        <v>0</v>
      </c>
      <c r="E2526" s="1">
        <f t="array" ref="E2526">IF(OR(Table4[[#This Row],[INSTALLMENT]]=1,Table4[[#This Row],[INSTALLMENT]]=2,Table4[[#This Row],[INSTALLMENT]]=3),1,0)</f>
        <v>0</v>
      </c>
      <c r="F2526" s="1">
        <f>IF(OR(Table4[[#This Row],[INSTALLMENT]]=2,Table4[[#This Row],[INSTALLMENT]]=3),2,0)</f>
        <v>0</v>
      </c>
      <c r="G2526" s="1">
        <f>IF(OR(Table4[[#This Row],[INSTALLMENT]]=3),3,0)</f>
        <v>0</v>
      </c>
    </row>
    <row r="2527" spans="1:7">
      <c r="A2527" s="1">
        <v>3125</v>
      </c>
      <c r="B2527" s="1" t="s">
        <v>1905</v>
      </c>
      <c r="C2527" s="1" t="s">
        <v>51</v>
      </c>
      <c r="D2527" s="1">
        <f>COUNTIFS('Raw Entries'!B:B,Table4[[#This Row],[Name]],'Raw Entries'!I:I,Table4[[#This Row],[BOOK No.]])</f>
        <v>3</v>
      </c>
      <c r="E2527" s="1">
        <f t="array" ref="E2527">IF(OR(Table4[[#This Row],[INSTALLMENT]]=1,Table4[[#This Row],[INSTALLMENT]]=2,Table4[[#This Row],[INSTALLMENT]]=3),1,0)</f>
        <v>1</v>
      </c>
      <c r="F2527" s="1">
        <f>IF(OR(Table4[[#This Row],[INSTALLMENT]]=2,Table4[[#This Row],[INSTALLMENT]]=3),2,0)</f>
        <v>2</v>
      </c>
      <c r="G2527" s="1">
        <f>IF(OR(Table4[[#This Row],[INSTALLMENT]]=3),3,0)</f>
        <v>3</v>
      </c>
    </row>
    <row r="2528" spans="1:7">
      <c r="A2528" s="1">
        <v>3126</v>
      </c>
      <c r="B2528" s="1" t="s">
        <v>3784</v>
      </c>
      <c r="C2528" s="1" t="s">
        <v>51</v>
      </c>
      <c r="D2528" s="1">
        <f>COUNTIFS('Raw Entries'!B:B,Table4[[#This Row],[Name]],'Raw Entries'!I:I,Table4[[#This Row],[BOOK No.]])</f>
        <v>0</v>
      </c>
      <c r="E2528" s="1">
        <f t="array" ref="E2528">IF(OR(Table4[[#This Row],[INSTALLMENT]]=1,Table4[[#This Row],[INSTALLMENT]]=2,Table4[[#This Row],[INSTALLMENT]]=3),1,0)</f>
        <v>0</v>
      </c>
      <c r="F2528" s="1">
        <f>IF(OR(Table4[[#This Row],[INSTALLMENT]]=2,Table4[[#This Row],[INSTALLMENT]]=3),2,0)</f>
        <v>0</v>
      </c>
      <c r="G2528" s="1">
        <f>IF(OR(Table4[[#This Row],[INSTALLMENT]]=3),3,0)</f>
        <v>0</v>
      </c>
    </row>
    <row r="2529" spans="1:7">
      <c r="A2529" s="1">
        <v>3127</v>
      </c>
      <c r="B2529" s="1" t="s">
        <v>57</v>
      </c>
      <c r="C2529" s="1" t="s">
        <v>51</v>
      </c>
      <c r="D2529" s="1">
        <f>COUNTIFS('Raw Entries'!B:B,Table4[[#This Row],[Name]],'Raw Entries'!I:I,Table4[[#This Row],[BOOK No.]])</f>
        <v>1</v>
      </c>
      <c r="E2529" s="1">
        <f t="array" ref="E2529">IF(OR(Table4[[#This Row],[INSTALLMENT]]=1,Table4[[#This Row],[INSTALLMENT]]=2,Table4[[#This Row],[INSTALLMENT]]=3),1,0)</f>
        <v>1</v>
      </c>
      <c r="F2529" s="1">
        <f>IF(OR(Table4[[#This Row],[INSTALLMENT]]=2,Table4[[#This Row],[INSTALLMENT]]=3),2,0)</f>
        <v>0</v>
      </c>
      <c r="G2529" s="1">
        <f>IF(OR(Table4[[#This Row],[INSTALLMENT]]=3),3,0)</f>
        <v>0</v>
      </c>
    </row>
    <row r="2530" spans="1:7">
      <c r="A2530" s="1">
        <v>3128</v>
      </c>
      <c r="B2530" s="1" t="s">
        <v>3785</v>
      </c>
      <c r="C2530" s="1" t="s">
        <v>51</v>
      </c>
      <c r="D2530" s="1">
        <f>COUNTIFS('Raw Entries'!B:B,Table4[[#This Row],[Name]],'Raw Entries'!I:I,Table4[[#This Row],[BOOK No.]])</f>
        <v>1</v>
      </c>
      <c r="E2530" s="1">
        <f t="array" ref="E2530">IF(OR(Table4[[#This Row],[INSTALLMENT]]=1,Table4[[#This Row],[INSTALLMENT]]=2,Table4[[#This Row],[INSTALLMENT]]=3),1,0)</f>
        <v>1</v>
      </c>
      <c r="F2530" s="1">
        <f>IF(OR(Table4[[#This Row],[INSTALLMENT]]=2,Table4[[#This Row],[INSTALLMENT]]=3),2,0)</f>
        <v>0</v>
      </c>
      <c r="G2530" s="1">
        <f>IF(OR(Table4[[#This Row],[INSTALLMENT]]=3),3,0)</f>
        <v>0</v>
      </c>
    </row>
    <row r="2531" spans="1:7">
      <c r="A2531" s="1">
        <v>3129</v>
      </c>
      <c r="B2531" s="1" t="s">
        <v>3786</v>
      </c>
      <c r="C2531" s="1" t="s">
        <v>51</v>
      </c>
      <c r="D2531" s="1">
        <f>COUNTIFS('Raw Entries'!B:B,Table4[[#This Row],[Name]],'Raw Entries'!I:I,Table4[[#This Row],[BOOK No.]])</f>
        <v>0</v>
      </c>
      <c r="E2531" s="1">
        <f t="array" ref="E2531">IF(OR(Table4[[#This Row],[INSTALLMENT]]=1,Table4[[#This Row],[INSTALLMENT]]=2,Table4[[#This Row],[INSTALLMENT]]=3),1,0)</f>
        <v>0</v>
      </c>
      <c r="F2531" s="1">
        <f>IF(OR(Table4[[#This Row],[INSTALLMENT]]=2,Table4[[#This Row],[INSTALLMENT]]=3),2,0)</f>
        <v>0</v>
      </c>
      <c r="G2531" s="1">
        <f>IF(OR(Table4[[#This Row],[INSTALLMENT]]=3),3,0)</f>
        <v>0</v>
      </c>
    </row>
    <row r="2532" spans="1:7">
      <c r="A2532" s="1">
        <v>3130</v>
      </c>
      <c r="B2532" s="1" t="s">
        <v>3787</v>
      </c>
      <c r="C2532" s="1" t="s">
        <v>51</v>
      </c>
      <c r="D2532" s="1">
        <f>COUNTIFS('Raw Entries'!B:B,Table4[[#This Row],[Name]],'Raw Entries'!I:I,Table4[[#This Row],[BOOK No.]])</f>
        <v>0</v>
      </c>
      <c r="E2532" s="1">
        <f t="array" ref="E2532">IF(OR(Table4[[#This Row],[INSTALLMENT]]=1,Table4[[#This Row],[INSTALLMENT]]=2,Table4[[#This Row],[INSTALLMENT]]=3),1,0)</f>
        <v>0</v>
      </c>
      <c r="F2532" s="1">
        <f>IF(OR(Table4[[#This Row],[INSTALLMENT]]=2,Table4[[#This Row],[INSTALLMENT]]=3),2,0)</f>
        <v>0</v>
      </c>
      <c r="G2532" s="1">
        <f>IF(OR(Table4[[#This Row],[INSTALLMENT]]=3),3,0)</f>
        <v>0</v>
      </c>
    </row>
    <row r="2533" spans="1:7">
      <c r="A2533" s="1">
        <v>3131</v>
      </c>
      <c r="B2533" s="1" t="s">
        <v>3788</v>
      </c>
      <c r="C2533" s="1" t="s">
        <v>51</v>
      </c>
      <c r="D2533" s="1">
        <f>COUNTIFS('Raw Entries'!B:B,Table4[[#This Row],[Name]],'Raw Entries'!I:I,Table4[[#This Row],[BOOK No.]])</f>
        <v>0</v>
      </c>
      <c r="E2533" s="1">
        <f t="array" ref="E2533">IF(OR(Table4[[#This Row],[INSTALLMENT]]=1,Table4[[#This Row],[INSTALLMENT]]=2,Table4[[#This Row],[INSTALLMENT]]=3),1,0)</f>
        <v>0</v>
      </c>
      <c r="F2533" s="1">
        <f>IF(OR(Table4[[#This Row],[INSTALLMENT]]=2,Table4[[#This Row],[INSTALLMENT]]=3),2,0)</f>
        <v>0</v>
      </c>
      <c r="G2533" s="1">
        <f>IF(OR(Table4[[#This Row],[INSTALLMENT]]=3),3,0)</f>
        <v>0</v>
      </c>
    </row>
    <row r="2534" spans="1:7">
      <c r="A2534" s="1">
        <v>3133</v>
      </c>
      <c r="B2534" s="1" t="s">
        <v>301</v>
      </c>
      <c r="C2534" s="1" t="s">
        <v>58</v>
      </c>
      <c r="D2534" s="1">
        <f>COUNTIFS('Raw Entries'!B:B,Table4[[#This Row],[Name]],'Raw Entries'!I:I,Table4[[#This Row],[BOOK No.]])</f>
        <v>0</v>
      </c>
      <c r="E2534" s="1">
        <f t="array" ref="E2534">IF(OR(Table4[[#This Row],[INSTALLMENT]]=1,Table4[[#This Row],[INSTALLMENT]]=2,Table4[[#This Row],[INSTALLMENT]]=3),1,0)</f>
        <v>0</v>
      </c>
      <c r="F2534" s="1">
        <f>IF(OR(Table4[[#This Row],[INSTALLMENT]]=2,Table4[[#This Row],[INSTALLMENT]]=3),2,0)</f>
        <v>0</v>
      </c>
      <c r="G2534" s="1">
        <f>IF(OR(Table4[[#This Row],[INSTALLMENT]]=3),3,0)</f>
        <v>0</v>
      </c>
    </row>
    <row r="2535" spans="1:7">
      <c r="A2535" s="1">
        <v>3134</v>
      </c>
      <c r="B2535" s="1" t="s">
        <v>3789</v>
      </c>
      <c r="C2535" s="1" t="s">
        <v>58</v>
      </c>
      <c r="D2535" s="1">
        <f>COUNTIFS('Raw Entries'!B:B,Table4[[#This Row],[Name]],'Raw Entries'!I:I,Table4[[#This Row],[BOOK No.]])</f>
        <v>0</v>
      </c>
      <c r="E2535" s="1">
        <f t="array" ref="E2535">IF(OR(Table4[[#This Row],[INSTALLMENT]]=1,Table4[[#This Row],[INSTALLMENT]]=2,Table4[[#This Row],[INSTALLMENT]]=3),1,0)</f>
        <v>0</v>
      </c>
      <c r="F2535" s="1">
        <f>IF(OR(Table4[[#This Row],[INSTALLMENT]]=2,Table4[[#This Row],[INSTALLMENT]]=3),2,0)</f>
        <v>0</v>
      </c>
      <c r="G2535" s="1">
        <f>IF(OR(Table4[[#This Row],[INSTALLMENT]]=3),3,0)</f>
        <v>0</v>
      </c>
    </row>
    <row r="2536" spans="1:7">
      <c r="A2536" s="1">
        <v>3135</v>
      </c>
      <c r="B2536" s="41" t="s">
        <v>60</v>
      </c>
      <c r="C2536" s="1" t="s">
        <v>58</v>
      </c>
      <c r="D2536" s="1">
        <f>COUNTIFS('Raw Entries'!B:B,Table4[[#This Row],[Name]],'Raw Entries'!I:I,Table4[[#This Row],[BOOK No.]])</f>
        <v>3</v>
      </c>
      <c r="E2536" s="1">
        <f t="array" ref="E2536">IF(OR(Table4[[#This Row],[INSTALLMENT]]=1,Table4[[#This Row],[INSTALLMENT]]=2,Table4[[#This Row],[INSTALLMENT]]=3),1,0)</f>
        <v>1</v>
      </c>
      <c r="F2536" s="1">
        <f>IF(OR(Table4[[#This Row],[INSTALLMENT]]=2,Table4[[#This Row],[INSTALLMENT]]=3),2,0)</f>
        <v>2</v>
      </c>
      <c r="G2536" s="1">
        <f>IF(OR(Table4[[#This Row],[INSTALLMENT]]=3),3,0)</f>
        <v>3</v>
      </c>
    </row>
    <row r="2537" spans="1:7">
      <c r="A2537" s="1">
        <v>3136</v>
      </c>
      <c r="B2537" s="1" t="s">
        <v>3790</v>
      </c>
      <c r="C2537" s="1" t="s">
        <v>58</v>
      </c>
      <c r="D2537" s="1">
        <f>COUNTIFS('Raw Entries'!B:B,Table4[[#This Row],[Name]],'Raw Entries'!I:I,Table4[[#This Row],[BOOK No.]])</f>
        <v>1</v>
      </c>
      <c r="E2537" s="1">
        <f t="array" ref="E2537">IF(OR(Table4[[#This Row],[INSTALLMENT]]=1,Table4[[#This Row],[INSTALLMENT]]=2,Table4[[#This Row],[INSTALLMENT]]=3),1,0)</f>
        <v>1</v>
      </c>
      <c r="F2537" s="1">
        <f>IF(OR(Table4[[#This Row],[INSTALLMENT]]=2,Table4[[#This Row],[INSTALLMENT]]=3),2,0)</f>
        <v>0</v>
      </c>
      <c r="G2537" s="1">
        <f>IF(OR(Table4[[#This Row],[INSTALLMENT]]=3),3,0)</f>
        <v>0</v>
      </c>
    </row>
    <row r="2538" spans="1:7">
      <c r="A2538" s="1">
        <v>3137</v>
      </c>
      <c r="B2538" s="1" t="s">
        <v>3791</v>
      </c>
      <c r="C2538" s="1" t="s">
        <v>58</v>
      </c>
      <c r="D2538" s="1">
        <f>COUNTIFS('Raw Entries'!B:B,Table4[[#This Row],[Name]],'Raw Entries'!I:I,Table4[[#This Row],[BOOK No.]])</f>
        <v>0</v>
      </c>
      <c r="E2538" s="1">
        <f t="array" ref="E2538">IF(OR(Table4[[#This Row],[INSTALLMENT]]=1,Table4[[#This Row],[INSTALLMENT]]=2,Table4[[#This Row],[INSTALLMENT]]=3),1,0)</f>
        <v>0</v>
      </c>
      <c r="F2538" s="1">
        <f>IF(OR(Table4[[#This Row],[INSTALLMENT]]=2,Table4[[#This Row],[INSTALLMENT]]=3),2,0)</f>
        <v>0</v>
      </c>
      <c r="G2538" s="1">
        <f>IF(OR(Table4[[#This Row],[INSTALLMENT]]=3),3,0)</f>
        <v>0</v>
      </c>
    </row>
    <row r="2539" spans="1:7">
      <c r="A2539" s="1">
        <v>3138</v>
      </c>
      <c r="B2539" s="1" t="s">
        <v>3792</v>
      </c>
      <c r="C2539" s="1" t="s">
        <v>58</v>
      </c>
      <c r="D2539" s="1">
        <f>COUNTIFS('Raw Entries'!B:B,Table4[[#This Row],[Name]],'Raw Entries'!I:I,Table4[[#This Row],[BOOK No.]])</f>
        <v>1</v>
      </c>
      <c r="E2539" s="1">
        <f t="array" ref="E2539">IF(OR(Table4[[#This Row],[INSTALLMENT]]=1,Table4[[#This Row],[INSTALLMENT]]=2,Table4[[#This Row],[INSTALLMENT]]=3),1,0)</f>
        <v>1</v>
      </c>
      <c r="F2539" s="1">
        <f>IF(OR(Table4[[#This Row],[INSTALLMENT]]=2,Table4[[#This Row],[INSTALLMENT]]=3),2,0)</f>
        <v>0</v>
      </c>
      <c r="G2539" s="1">
        <f>IF(OR(Table4[[#This Row],[INSTALLMENT]]=3),3,0)</f>
        <v>0</v>
      </c>
    </row>
    <row r="2540" spans="1:7">
      <c r="A2540" s="1">
        <v>3139</v>
      </c>
      <c r="B2540" s="1" t="s">
        <v>3793</v>
      </c>
      <c r="C2540" s="1" t="s">
        <v>58</v>
      </c>
      <c r="D2540" s="1">
        <f>COUNTIFS('Raw Entries'!B:B,Table4[[#This Row],[Name]],'Raw Entries'!I:I,Table4[[#This Row],[BOOK No.]])</f>
        <v>0</v>
      </c>
      <c r="E2540" s="1">
        <f t="array" ref="E2540">IF(OR(Table4[[#This Row],[INSTALLMENT]]=1,Table4[[#This Row],[INSTALLMENT]]=2,Table4[[#This Row],[INSTALLMENT]]=3),1,0)</f>
        <v>0</v>
      </c>
      <c r="F2540" s="1">
        <f>IF(OR(Table4[[#This Row],[INSTALLMENT]]=2,Table4[[#This Row],[INSTALLMENT]]=3),2,0)</f>
        <v>0</v>
      </c>
      <c r="G2540" s="1">
        <f>IF(OR(Table4[[#This Row],[INSTALLMENT]]=3),3,0)</f>
        <v>0</v>
      </c>
    </row>
    <row r="2541" spans="1:7">
      <c r="A2541" s="1">
        <v>3140</v>
      </c>
      <c r="B2541" s="1" t="s">
        <v>3794</v>
      </c>
      <c r="C2541" s="1" t="s">
        <v>58</v>
      </c>
      <c r="D2541" s="1">
        <f>COUNTIFS('Raw Entries'!B:B,Table4[[#This Row],[Name]],'Raw Entries'!I:I,Table4[[#This Row],[BOOK No.]])</f>
        <v>0</v>
      </c>
      <c r="E2541" s="1">
        <f t="array" ref="E2541">IF(OR(Table4[[#This Row],[INSTALLMENT]]=1,Table4[[#This Row],[INSTALLMENT]]=2,Table4[[#This Row],[INSTALLMENT]]=3),1,0)</f>
        <v>0</v>
      </c>
      <c r="F2541" s="1">
        <f>IF(OR(Table4[[#This Row],[INSTALLMENT]]=2,Table4[[#This Row],[INSTALLMENT]]=3),2,0)</f>
        <v>0</v>
      </c>
      <c r="G2541" s="1">
        <f>IF(OR(Table4[[#This Row],[INSTALLMENT]]=3),3,0)</f>
        <v>0</v>
      </c>
    </row>
    <row r="2542" spans="1:7">
      <c r="A2542" s="1">
        <v>3141</v>
      </c>
      <c r="B2542" s="1" t="s">
        <v>3795</v>
      </c>
      <c r="C2542" s="1" t="s">
        <v>58</v>
      </c>
      <c r="D2542" s="1">
        <f>COUNTIFS('Raw Entries'!B:B,Table4[[#This Row],[Name]],'Raw Entries'!I:I,Table4[[#This Row],[BOOK No.]])</f>
        <v>0</v>
      </c>
      <c r="E2542" s="1">
        <f t="array" ref="E2542">IF(OR(Table4[[#This Row],[INSTALLMENT]]=1,Table4[[#This Row],[INSTALLMENT]]=2,Table4[[#This Row],[INSTALLMENT]]=3),1,0)</f>
        <v>0</v>
      </c>
      <c r="F2542" s="1">
        <f>IF(OR(Table4[[#This Row],[INSTALLMENT]]=2,Table4[[#This Row],[INSTALLMENT]]=3),2,0)</f>
        <v>0</v>
      </c>
      <c r="G2542" s="1">
        <f>IF(OR(Table4[[#This Row],[INSTALLMENT]]=3),3,0)</f>
        <v>0</v>
      </c>
    </row>
    <row r="2543" spans="1:7">
      <c r="A2543" s="1">
        <v>3142</v>
      </c>
      <c r="B2543" s="1" t="s">
        <v>123</v>
      </c>
      <c r="C2543" s="1" t="s">
        <v>58</v>
      </c>
      <c r="D2543" s="1">
        <f>COUNTIFS('Raw Entries'!B:B,Table4[[#This Row],[Name]],'Raw Entries'!I:I,Table4[[#This Row],[BOOK No.]])</f>
        <v>0</v>
      </c>
      <c r="E2543" s="1">
        <f t="array" ref="E2543">IF(OR(Table4[[#This Row],[INSTALLMENT]]=1,Table4[[#This Row],[INSTALLMENT]]=2,Table4[[#This Row],[INSTALLMENT]]=3),1,0)</f>
        <v>0</v>
      </c>
      <c r="F2543" s="1">
        <f>IF(OR(Table4[[#This Row],[INSTALLMENT]]=2,Table4[[#This Row],[INSTALLMENT]]=3),2,0)</f>
        <v>0</v>
      </c>
      <c r="G2543" s="1">
        <f>IF(OR(Table4[[#This Row],[INSTALLMENT]]=3),3,0)</f>
        <v>0</v>
      </c>
    </row>
    <row r="2544" spans="1:7">
      <c r="A2544" s="1">
        <v>3143</v>
      </c>
      <c r="B2544" s="1" t="s">
        <v>1985</v>
      </c>
      <c r="C2544" s="1" t="s">
        <v>58</v>
      </c>
      <c r="D2544" s="1">
        <f>COUNTIFS('Raw Entries'!B:B,Table4[[#This Row],[Name]],'Raw Entries'!I:I,Table4[[#This Row],[BOOK No.]])</f>
        <v>0</v>
      </c>
      <c r="E2544" s="1">
        <f t="array" ref="E2544">IF(OR(Table4[[#This Row],[INSTALLMENT]]=1,Table4[[#This Row],[INSTALLMENT]]=2,Table4[[#This Row],[INSTALLMENT]]=3),1,0)</f>
        <v>0</v>
      </c>
      <c r="F2544" s="1">
        <f>IF(OR(Table4[[#This Row],[INSTALLMENT]]=2,Table4[[#This Row],[INSTALLMENT]]=3),2,0)</f>
        <v>0</v>
      </c>
      <c r="G2544" s="1">
        <f>IF(OR(Table4[[#This Row],[INSTALLMENT]]=3),3,0)</f>
        <v>0</v>
      </c>
    </row>
    <row r="2545" spans="1:7">
      <c r="A2545" s="1">
        <v>3144</v>
      </c>
      <c r="B2545" s="1" t="s">
        <v>3796</v>
      </c>
      <c r="C2545" s="1" t="s">
        <v>58</v>
      </c>
      <c r="D2545" s="1">
        <f>COUNTIFS('Raw Entries'!B:B,Table4[[#This Row],[Name]],'Raw Entries'!I:I,Table4[[#This Row],[BOOK No.]])</f>
        <v>0</v>
      </c>
      <c r="E2545" s="1">
        <f t="array" ref="E2545">IF(OR(Table4[[#This Row],[INSTALLMENT]]=1,Table4[[#This Row],[INSTALLMENT]]=2,Table4[[#This Row],[INSTALLMENT]]=3),1,0)</f>
        <v>0</v>
      </c>
      <c r="F2545" s="1">
        <f>IF(OR(Table4[[#This Row],[INSTALLMENT]]=2,Table4[[#This Row],[INSTALLMENT]]=3),2,0)</f>
        <v>0</v>
      </c>
      <c r="G2545" s="1">
        <f>IF(OR(Table4[[#This Row],[INSTALLMENT]]=3),3,0)</f>
        <v>0</v>
      </c>
    </row>
    <row r="2546" spans="1:7">
      <c r="A2546" s="1">
        <v>3145</v>
      </c>
      <c r="B2546" s="1" t="s">
        <v>3797</v>
      </c>
      <c r="C2546" s="1" t="s">
        <v>58</v>
      </c>
      <c r="D2546" s="1">
        <f>COUNTIFS('Raw Entries'!B:B,Table4[[#This Row],[Name]],'Raw Entries'!I:I,Table4[[#This Row],[BOOK No.]])</f>
        <v>0</v>
      </c>
      <c r="E2546" s="1">
        <f t="array" ref="E2546">IF(OR(Table4[[#This Row],[INSTALLMENT]]=1,Table4[[#This Row],[INSTALLMENT]]=2,Table4[[#This Row],[INSTALLMENT]]=3),1,0)</f>
        <v>0</v>
      </c>
      <c r="F2546" s="1">
        <f>IF(OR(Table4[[#This Row],[INSTALLMENT]]=2,Table4[[#This Row],[INSTALLMENT]]=3),2,0)</f>
        <v>0</v>
      </c>
      <c r="G2546" s="1">
        <f>IF(OR(Table4[[#This Row],[INSTALLMENT]]=3),3,0)</f>
        <v>0</v>
      </c>
    </row>
    <row r="2547" spans="1:7">
      <c r="A2547" s="1">
        <v>3146</v>
      </c>
      <c r="B2547" s="1" t="s">
        <v>3798</v>
      </c>
      <c r="C2547" s="1" t="s">
        <v>58</v>
      </c>
      <c r="D2547" s="1">
        <f>COUNTIFS('Raw Entries'!B:B,Table4[[#This Row],[Name]],'Raw Entries'!I:I,Table4[[#This Row],[BOOK No.]])</f>
        <v>0</v>
      </c>
      <c r="E2547" s="1">
        <f t="array" ref="E2547">IF(OR(Table4[[#This Row],[INSTALLMENT]]=1,Table4[[#This Row],[INSTALLMENT]]=2,Table4[[#This Row],[INSTALLMENT]]=3),1,0)</f>
        <v>0</v>
      </c>
      <c r="F2547" s="1">
        <f>IF(OR(Table4[[#This Row],[INSTALLMENT]]=2,Table4[[#This Row],[INSTALLMENT]]=3),2,0)</f>
        <v>0</v>
      </c>
      <c r="G2547" s="1">
        <f>IF(OR(Table4[[#This Row],[INSTALLMENT]]=3),3,0)</f>
        <v>0</v>
      </c>
    </row>
    <row r="2548" spans="1:7">
      <c r="A2548" s="1">
        <v>3147</v>
      </c>
      <c r="B2548" s="1" t="s">
        <v>3799</v>
      </c>
      <c r="C2548" s="1" t="s">
        <v>58</v>
      </c>
      <c r="D2548" s="1">
        <f>COUNTIFS('Raw Entries'!B:B,Table4[[#This Row],[Name]],'Raw Entries'!I:I,Table4[[#This Row],[BOOK No.]])</f>
        <v>3</v>
      </c>
      <c r="E2548" s="1">
        <f t="array" ref="E2548">IF(OR(Table4[[#This Row],[INSTALLMENT]]=1,Table4[[#This Row],[INSTALLMENT]]=2,Table4[[#This Row],[INSTALLMENT]]=3),1,0)</f>
        <v>1</v>
      </c>
      <c r="F2548" s="1">
        <f>IF(OR(Table4[[#This Row],[INSTALLMENT]]=2,Table4[[#This Row],[INSTALLMENT]]=3),2,0)</f>
        <v>2</v>
      </c>
      <c r="G2548" s="1">
        <f>IF(OR(Table4[[#This Row],[INSTALLMENT]]=3),3,0)</f>
        <v>3</v>
      </c>
    </row>
    <row r="2549" spans="1:7">
      <c r="A2549" s="1">
        <v>3148</v>
      </c>
      <c r="B2549" s="1" t="s">
        <v>3800</v>
      </c>
      <c r="C2549" s="1" t="s">
        <v>58</v>
      </c>
      <c r="D2549" s="1">
        <f>COUNTIFS('Raw Entries'!B:B,Table4[[#This Row],[Name]],'Raw Entries'!I:I,Table4[[#This Row],[BOOK No.]])</f>
        <v>0</v>
      </c>
      <c r="E2549" s="1">
        <f t="array" ref="E2549">IF(OR(Table4[[#This Row],[INSTALLMENT]]=1,Table4[[#This Row],[INSTALLMENT]]=2,Table4[[#This Row],[INSTALLMENT]]=3),1,0)</f>
        <v>0</v>
      </c>
      <c r="F2549" s="1">
        <f>IF(OR(Table4[[#This Row],[INSTALLMENT]]=2,Table4[[#This Row],[INSTALLMENT]]=3),2,0)</f>
        <v>0</v>
      </c>
      <c r="G2549" s="1">
        <f>IF(OR(Table4[[#This Row],[INSTALLMENT]]=3),3,0)</f>
        <v>0</v>
      </c>
    </row>
    <row r="2550" spans="1:7">
      <c r="A2550" s="1">
        <v>3149</v>
      </c>
      <c r="B2550" s="1" t="s">
        <v>3801</v>
      </c>
      <c r="C2550" s="1" t="s">
        <v>58</v>
      </c>
      <c r="D2550" s="1">
        <f>COUNTIFS('Raw Entries'!B:B,Table4[[#This Row],[Name]],'Raw Entries'!I:I,Table4[[#This Row],[BOOK No.]])</f>
        <v>0</v>
      </c>
      <c r="E2550" s="1">
        <f t="array" ref="E2550">IF(OR(Table4[[#This Row],[INSTALLMENT]]=1,Table4[[#This Row],[INSTALLMENT]]=2,Table4[[#This Row],[INSTALLMENT]]=3),1,0)</f>
        <v>0</v>
      </c>
      <c r="F2550" s="1">
        <f>IF(OR(Table4[[#This Row],[INSTALLMENT]]=2,Table4[[#This Row],[INSTALLMENT]]=3),2,0)</f>
        <v>0</v>
      </c>
      <c r="G2550" s="1">
        <f>IF(OR(Table4[[#This Row],[INSTALLMENT]]=3),3,0)</f>
        <v>0</v>
      </c>
    </row>
    <row r="2551" spans="1:7">
      <c r="A2551" s="1">
        <v>3150</v>
      </c>
      <c r="B2551" s="1" t="s">
        <v>3802</v>
      </c>
      <c r="C2551" s="1" t="s">
        <v>58</v>
      </c>
      <c r="D2551" s="1">
        <f>COUNTIFS('Raw Entries'!B:B,Table4[[#This Row],[Name]],'Raw Entries'!I:I,Table4[[#This Row],[BOOK No.]])</f>
        <v>1</v>
      </c>
      <c r="E2551" s="1">
        <f t="array" ref="E2551">IF(OR(Table4[[#This Row],[INSTALLMENT]]=1,Table4[[#This Row],[INSTALLMENT]]=2,Table4[[#This Row],[INSTALLMENT]]=3),1,0)</f>
        <v>1</v>
      </c>
      <c r="F2551" s="1">
        <f>IF(OR(Table4[[#This Row],[INSTALLMENT]]=2,Table4[[#This Row],[INSTALLMENT]]=3),2,0)</f>
        <v>0</v>
      </c>
      <c r="G2551" s="1">
        <f>IF(OR(Table4[[#This Row],[INSTALLMENT]]=3),3,0)</f>
        <v>0</v>
      </c>
    </row>
    <row r="2552" spans="1:7">
      <c r="A2552" s="1">
        <v>3151</v>
      </c>
      <c r="B2552" s="1" t="s">
        <v>3803</v>
      </c>
      <c r="C2552" s="1" t="s">
        <v>58</v>
      </c>
      <c r="D2552" s="1">
        <f>COUNTIFS('Raw Entries'!B:B,Table4[[#This Row],[Name]],'Raw Entries'!I:I,Table4[[#This Row],[BOOK No.]])</f>
        <v>0</v>
      </c>
      <c r="E2552" s="1">
        <f t="array" ref="E2552">IF(OR(Table4[[#This Row],[INSTALLMENT]]=1,Table4[[#This Row],[INSTALLMENT]]=2,Table4[[#This Row],[INSTALLMENT]]=3),1,0)</f>
        <v>0</v>
      </c>
      <c r="F2552" s="1">
        <f>IF(OR(Table4[[#This Row],[INSTALLMENT]]=2,Table4[[#This Row],[INSTALLMENT]]=3),2,0)</f>
        <v>0</v>
      </c>
      <c r="G2552" s="1">
        <f>IF(OR(Table4[[#This Row],[INSTALLMENT]]=3),3,0)</f>
        <v>0</v>
      </c>
    </row>
    <row r="2553" spans="1:7">
      <c r="A2553" s="1">
        <v>3152</v>
      </c>
      <c r="B2553" s="1" t="s">
        <v>3804</v>
      </c>
      <c r="C2553" s="1" t="s">
        <v>58</v>
      </c>
      <c r="D2553" s="1">
        <f>COUNTIFS('Raw Entries'!B:B,Table4[[#This Row],[Name]],'Raw Entries'!I:I,Table4[[#This Row],[BOOK No.]])</f>
        <v>0</v>
      </c>
      <c r="E2553" s="1">
        <f t="array" ref="E2553">IF(OR(Table4[[#This Row],[INSTALLMENT]]=1,Table4[[#This Row],[INSTALLMENT]]=2,Table4[[#This Row],[INSTALLMENT]]=3),1,0)</f>
        <v>0</v>
      </c>
      <c r="F2553" s="1">
        <f>IF(OR(Table4[[#This Row],[INSTALLMENT]]=2,Table4[[#This Row],[INSTALLMENT]]=3),2,0)</f>
        <v>0</v>
      </c>
      <c r="G2553" s="1">
        <f>IF(OR(Table4[[#This Row],[INSTALLMENT]]=3),3,0)</f>
        <v>0</v>
      </c>
    </row>
    <row r="2554" spans="1:7">
      <c r="A2554" s="1">
        <v>3153</v>
      </c>
      <c r="B2554" s="1" t="s">
        <v>3805</v>
      </c>
      <c r="C2554" s="1" t="s">
        <v>58</v>
      </c>
      <c r="D2554" s="1">
        <f>COUNTIFS('Raw Entries'!B:B,Table4[[#This Row],[Name]],'Raw Entries'!I:I,Table4[[#This Row],[BOOK No.]])</f>
        <v>0</v>
      </c>
      <c r="E2554" s="1">
        <f t="array" ref="E2554">IF(OR(Table4[[#This Row],[INSTALLMENT]]=1,Table4[[#This Row],[INSTALLMENT]]=2,Table4[[#This Row],[INSTALLMENT]]=3),1,0)</f>
        <v>0</v>
      </c>
      <c r="F2554" s="1">
        <f>IF(OR(Table4[[#This Row],[INSTALLMENT]]=2,Table4[[#This Row],[INSTALLMENT]]=3),2,0)</f>
        <v>0</v>
      </c>
      <c r="G2554" s="1">
        <f>IF(OR(Table4[[#This Row],[INSTALLMENT]]=3),3,0)</f>
        <v>0</v>
      </c>
    </row>
    <row r="2555" spans="1:7">
      <c r="A2555" s="1">
        <v>3154</v>
      </c>
      <c r="B2555" s="1" t="s">
        <v>3806</v>
      </c>
      <c r="C2555" s="1" t="s">
        <v>58</v>
      </c>
      <c r="D2555" s="1">
        <f>COUNTIFS('Raw Entries'!B:B,Table4[[#This Row],[Name]],'Raw Entries'!I:I,Table4[[#This Row],[BOOK No.]])</f>
        <v>0</v>
      </c>
      <c r="E2555" s="1">
        <f t="array" ref="E2555">IF(OR(Table4[[#This Row],[INSTALLMENT]]=1,Table4[[#This Row],[INSTALLMENT]]=2,Table4[[#This Row],[INSTALLMENT]]=3),1,0)</f>
        <v>0</v>
      </c>
      <c r="F2555" s="1">
        <f>IF(OR(Table4[[#This Row],[INSTALLMENT]]=2,Table4[[#This Row],[INSTALLMENT]]=3),2,0)</f>
        <v>0</v>
      </c>
      <c r="G2555" s="1">
        <f>IF(OR(Table4[[#This Row],[INSTALLMENT]]=3),3,0)</f>
        <v>0</v>
      </c>
    </row>
    <row r="2556" spans="1:7">
      <c r="A2556" s="1">
        <v>3155</v>
      </c>
      <c r="B2556" s="1" t="s">
        <v>3807</v>
      </c>
      <c r="C2556" s="1" t="s">
        <v>58</v>
      </c>
      <c r="D2556" s="1">
        <f>COUNTIFS('Raw Entries'!B:B,Table4[[#This Row],[Name]],'Raw Entries'!I:I,Table4[[#This Row],[BOOK No.]])</f>
        <v>0</v>
      </c>
      <c r="E2556" s="1">
        <f t="array" ref="E2556">IF(OR(Table4[[#This Row],[INSTALLMENT]]=1,Table4[[#This Row],[INSTALLMENT]]=2,Table4[[#This Row],[INSTALLMENT]]=3),1,0)</f>
        <v>0</v>
      </c>
      <c r="F2556" s="1">
        <f>IF(OR(Table4[[#This Row],[INSTALLMENT]]=2,Table4[[#This Row],[INSTALLMENT]]=3),2,0)</f>
        <v>0</v>
      </c>
      <c r="G2556" s="1">
        <f>IF(OR(Table4[[#This Row],[INSTALLMENT]]=3),3,0)</f>
        <v>0</v>
      </c>
    </row>
    <row r="2557" spans="1:7">
      <c r="A2557" s="1">
        <v>3156</v>
      </c>
      <c r="B2557" s="1" t="s">
        <v>3808</v>
      </c>
      <c r="C2557" s="1" t="s">
        <v>58</v>
      </c>
      <c r="D2557" s="1">
        <f>COUNTIFS('Raw Entries'!B:B,Table4[[#This Row],[Name]],'Raw Entries'!I:I,Table4[[#This Row],[BOOK No.]])</f>
        <v>0</v>
      </c>
      <c r="E2557" s="1">
        <f t="array" ref="E2557">IF(OR(Table4[[#This Row],[INSTALLMENT]]=1,Table4[[#This Row],[INSTALLMENT]]=2,Table4[[#This Row],[INSTALLMENT]]=3),1,0)</f>
        <v>0</v>
      </c>
      <c r="F2557" s="1">
        <f>IF(OR(Table4[[#This Row],[INSTALLMENT]]=2,Table4[[#This Row],[INSTALLMENT]]=3),2,0)</f>
        <v>0</v>
      </c>
      <c r="G2557" s="1">
        <f>IF(OR(Table4[[#This Row],[INSTALLMENT]]=3),3,0)</f>
        <v>0</v>
      </c>
    </row>
    <row r="2558" spans="1:7">
      <c r="A2558" s="1">
        <v>3157</v>
      </c>
      <c r="B2558" s="1" t="s">
        <v>3809</v>
      </c>
      <c r="C2558" s="1" t="s">
        <v>58</v>
      </c>
      <c r="D2558" s="1">
        <f>COUNTIFS('Raw Entries'!B:B,Table4[[#This Row],[Name]],'Raw Entries'!I:I,Table4[[#This Row],[BOOK No.]])</f>
        <v>0</v>
      </c>
      <c r="E2558" s="1">
        <f t="array" ref="E2558">IF(OR(Table4[[#This Row],[INSTALLMENT]]=1,Table4[[#This Row],[INSTALLMENT]]=2,Table4[[#This Row],[INSTALLMENT]]=3),1,0)</f>
        <v>0</v>
      </c>
      <c r="F2558" s="1">
        <f>IF(OR(Table4[[#This Row],[INSTALLMENT]]=2,Table4[[#This Row],[INSTALLMENT]]=3),2,0)</f>
        <v>0</v>
      </c>
      <c r="G2558" s="1">
        <f>IF(OR(Table4[[#This Row],[INSTALLMENT]]=3),3,0)</f>
        <v>0</v>
      </c>
    </row>
    <row r="2559" spans="1:7">
      <c r="A2559" s="1">
        <v>3158</v>
      </c>
      <c r="B2559" s="1" t="s">
        <v>3810</v>
      </c>
      <c r="C2559" s="1" t="s">
        <v>58</v>
      </c>
      <c r="D2559" s="1">
        <f>COUNTIFS('Raw Entries'!B:B,Table4[[#This Row],[Name]],'Raw Entries'!I:I,Table4[[#This Row],[BOOK No.]])</f>
        <v>1</v>
      </c>
      <c r="E2559" s="1">
        <f t="array" ref="E2559">IF(OR(Table4[[#This Row],[INSTALLMENT]]=1,Table4[[#This Row],[INSTALLMENT]]=2,Table4[[#This Row],[INSTALLMENT]]=3),1,0)</f>
        <v>1</v>
      </c>
      <c r="F2559" s="1">
        <f>IF(OR(Table4[[#This Row],[INSTALLMENT]]=2,Table4[[#This Row],[INSTALLMENT]]=3),2,0)</f>
        <v>0</v>
      </c>
      <c r="G2559" s="1">
        <f>IF(OR(Table4[[#This Row],[INSTALLMENT]]=3),3,0)</f>
        <v>0</v>
      </c>
    </row>
    <row r="2560" spans="1:7">
      <c r="A2560" s="1">
        <v>3159</v>
      </c>
      <c r="B2560" s="1" t="s">
        <v>3811</v>
      </c>
      <c r="C2560" s="1" t="s">
        <v>58</v>
      </c>
      <c r="D2560" s="1">
        <f>COUNTIFS('Raw Entries'!B:B,Table4[[#This Row],[Name]],'Raw Entries'!I:I,Table4[[#This Row],[BOOK No.]])</f>
        <v>0</v>
      </c>
      <c r="E2560" s="1">
        <f t="array" ref="E2560">IF(OR(Table4[[#This Row],[INSTALLMENT]]=1,Table4[[#This Row],[INSTALLMENT]]=2,Table4[[#This Row],[INSTALLMENT]]=3),1,0)</f>
        <v>0</v>
      </c>
      <c r="F2560" s="1">
        <f>IF(OR(Table4[[#This Row],[INSTALLMENT]]=2,Table4[[#This Row],[INSTALLMENT]]=3),2,0)</f>
        <v>0</v>
      </c>
      <c r="G2560" s="1">
        <f>IF(OR(Table4[[#This Row],[INSTALLMENT]]=3),3,0)</f>
        <v>0</v>
      </c>
    </row>
    <row r="2561" spans="1:7">
      <c r="A2561" s="1">
        <v>3160</v>
      </c>
      <c r="B2561" s="1" t="s">
        <v>3812</v>
      </c>
      <c r="C2561" s="1" t="s">
        <v>58</v>
      </c>
      <c r="D2561" s="1">
        <f>COUNTIFS('Raw Entries'!B:B,Table4[[#This Row],[Name]],'Raw Entries'!I:I,Table4[[#This Row],[BOOK No.]])</f>
        <v>0</v>
      </c>
      <c r="E2561" s="1">
        <f t="array" ref="E2561">IF(OR(Table4[[#This Row],[INSTALLMENT]]=1,Table4[[#This Row],[INSTALLMENT]]=2,Table4[[#This Row],[INSTALLMENT]]=3),1,0)</f>
        <v>0</v>
      </c>
      <c r="F2561" s="1">
        <f>IF(OR(Table4[[#This Row],[INSTALLMENT]]=2,Table4[[#This Row],[INSTALLMENT]]=3),2,0)</f>
        <v>0</v>
      </c>
      <c r="G2561" s="1">
        <f>IF(OR(Table4[[#This Row],[INSTALLMENT]]=3),3,0)</f>
        <v>0</v>
      </c>
    </row>
    <row r="2562" spans="1:7">
      <c r="A2562" s="1">
        <v>3202</v>
      </c>
      <c r="B2562" s="1" t="s">
        <v>3813</v>
      </c>
      <c r="C2562" s="1" t="s">
        <v>58</v>
      </c>
      <c r="D2562" s="1">
        <f>COUNTIFS('Raw Entries'!B:B,Table4[[#This Row],[Name]],'Raw Entries'!I:I,Table4[[#This Row],[BOOK No.]])</f>
        <v>0</v>
      </c>
      <c r="E2562" s="1">
        <f t="array" ref="E2562">IF(OR(Table4[[#This Row],[INSTALLMENT]]=1,Table4[[#This Row],[INSTALLMENT]]=2,Table4[[#This Row],[INSTALLMENT]]=3),1,0)</f>
        <v>0</v>
      </c>
      <c r="F2562" s="1">
        <f>IF(OR(Table4[[#This Row],[INSTALLMENT]]=2,Table4[[#This Row],[INSTALLMENT]]=3),2,0)</f>
        <v>0</v>
      </c>
      <c r="G2562" s="1">
        <f>IF(OR(Table4[[#This Row],[INSTALLMENT]]=3),3,0)</f>
        <v>0</v>
      </c>
    </row>
    <row r="2563" spans="1:7">
      <c r="A2563" s="1">
        <v>3161</v>
      </c>
      <c r="B2563" s="1" t="s">
        <v>3814</v>
      </c>
      <c r="C2563" s="1" t="s">
        <v>58</v>
      </c>
      <c r="D2563" s="1">
        <f>COUNTIFS('Raw Entries'!B:B,Table4[[#This Row],[Name]],'Raw Entries'!I:I,Table4[[#This Row],[BOOK No.]])</f>
        <v>1</v>
      </c>
      <c r="E2563" s="1">
        <f t="array" ref="E2563">IF(OR(Table4[[#This Row],[INSTALLMENT]]=1,Table4[[#This Row],[INSTALLMENT]]=2,Table4[[#This Row],[INSTALLMENT]]=3),1,0)</f>
        <v>1</v>
      </c>
      <c r="F2563" s="1">
        <f>IF(OR(Table4[[#This Row],[INSTALLMENT]]=2,Table4[[#This Row],[INSTALLMENT]]=3),2,0)</f>
        <v>0</v>
      </c>
      <c r="G2563" s="1">
        <f>IF(OR(Table4[[#This Row],[INSTALLMENT]]=3),3,0)</f>
        <v>0</v>
      </c>
    </row>
    <row r="2564" spans="1:7">
      <c r="A2564" s="1">
        <v>3162</v>
      </c>
      <c r="B2564" s="1" t="s">
        <v>3815</v>
      </c>
      <c r="C2564" s="1" t="s">
        <v>58</v>
      </c>
      <c r="D2564" s="1">
        <f>COUNTIFS('Raw Entries'!B:B,Table4[[#This Row],[Name]],'Raw Entries'!I:I,Table4[[#This Row],[BOOK No.]])</f>
        <v>0</v>
      </c>
      <c r="E2564" s="1">
        <f t="array" ref="E2564">IF(OR(Table4[[#This Row],[INSTALLMENT]]=1,Table4[[#This Row],[INSTALLMENT]]=2,Table4[[#This Row],[INSTALLMENT]]=3),1,0)</f>
        <v>0</v>
      </c>
      <c r="F2564" s="1">
        <f>IF(OR(Table4[[#This Row],[INSTALLMENT]]=2,Table4[[#This Row],[INSTALLMENT]]=3),2,0)</f>
        <v>0</v>
      </c>
      <c r="G2564" s="1">
        <f>IF(OR(Table4[[#This Row],[INSTALLMENT]]=3),3,0)</f>
        <v>0</v>
      </c>
    </row>
    <row r="2565" spans="1:7">
      <c r="A2565" s="1">
        <v>3163</v>
      </c>
      <c r="B2565" s="1" t="s">
        <v>3816</v>
      </c>
      <c r="C2565" s="1" t="s">
        <v>58</v>
      </c>
      <c r="D2565" s="1">
        <f>COUNTIFS('Raw Entries'!B:B,Table4[[#This Row],[Name]],'Raw Entries'!I:I,Table4[[#This Row],[BOOK No.]])</f>
        <v>0</v>
      </c>
      <c r="E2565" s="1">
        <f t="array" ref="E2565">IF(OR(Table4[[#This Row],[INSTALLMENT]]=1,Table4[[#This Row],[INSTALLMENT]]=2,Table4[[#This Row],[INSTALLMENT]]=3),1,0)</f>
        <v>0</v>
      </c>
      <c r="F2565" s="1">
        <f>IF(OR(Table4[[#This Row],[INSTALLMENT]]=2,Table4[[#This Row],[INSTALLMENT]]=3),2,0)</f>
        <v>0</v>
      </c>
      <c r="G2565" s="1">
        <f>IF(OR(Table4[[#This Row],[INSTALLMENT]]=3),3,0)</f>
        <v>0</v>
      </c>
    </row>
    <row r="2566" spans="1:7">
      <c r="A2566" s="1">
        <v>3164</v>
      </c>
      <c r="B2566" s="1" t="s">
        <v>3817</v>
      </c>
      <c r="C2566" s="1" t="s">
        <v>58</v>
      </c>
      <c r="D2566" s="1">
        <f>COUNTIFS('Raw Entries'!B:B,Table4[[#This Row],[Name]],'Raw Entries'!I:I,Table4[[#This Row],[BOOK No.]])</f>
        <v>0</v>
      </c>
      <c r="E2566" s="1">
        <f t="array" ref="E2566">IF(OR(Table4[[#This Row],[INSTALLMENT]]=1,Table4[[#This Row],[INSTALLMENT]]=2,Table4[[#This Row],[INSTALLMENT]]=3),1,0)</f>
        <v>0</v>
      </c>
      <c r="F2566" s="1">
        <f>IF(OR(Table4[[#This Row],[INSTALLMENT]]=2,Table4[[#This Row],[INSTALLMENT]]=3),2,0)</f>
        <v>0</v>
      </c>
      <c r="G2566" s="1">
        <f>IF(OR(Table4[[#This Row],[INSTALLMENT]]=3),3,0)</f>
        <v>0</v>
      </c>
    </row>
    <row r="2567" spans="1:7">
      <c r="A2567" s="1">
        <v>3165</v>
      </c>
      <c r="B2567" s="1" t="s">
        <v>61</v>
      </c>
      <c r="C2567" s="1" t="s">
        <v>58</v>
      </c>
      <c r="D2567" s="1">
        <f>COUNTIFS('Raw Entries'!B:B,Table4[[#This Row],[Name]],'Raw Entries'!I:I,Table4[[#This Row],[BOOK No.]])</f>
        <v>3</v>
      </c>
      <c r="E2567" s="1">
        <f t="array" ref="E2567">IF(OR(Table4[[#This Row],[INSTALLMENT]]=1,Table4[[#This Row],[INSTALLMENT]]=2,Table4[[#This Row],[INSTALLMENT]]=3),1,0)</f>
        <v>1</v>
      </c>
      <c r="F2567" s="1">
        <f>IF(OR(Table4[[#This Row],[INSTALLMENT]]=2,Table4[[#This Row],[INSTALLMENT]]=3),2,0)</f>
        <v>2</v>
      </c>
      <c r="G2567" s="1">
        <f>IF(OR(Table4[[#This Row],[INSTALLMENT]]=3),3,0)</f>
        <v>3</v>
      </c>
    </row>
    <row r="2568" spans="1:7">
      <c r="A2568" s="1">
        <v>3166</v>
      </c>
      <c r="B2568" s="1" t="s">
        <v>614</v>
      </c>
      <c r="C2568" s="1" t="s">
        <v>62</v>
      </c>
      <c r="D2568" s="1">
        <f>COUNTIFS('Raw Entries'!B:B,Table4[[#This Row],[Name]],'Raw Entries'!I:I,Table4[[#This Row],[BOOK No.]])</f>
        <v>1</v>
      </c>
      <c r="E2568" s="1">
        <f t="array" ref="E2568">IF(OR(Table4[[#This Row],[INSTALLMENT]]=1,Table4[[#This Row],[INSTALLMENT]]=2,Table4[[#This Row],[INSTALLMENT]]=3),1,0)</f>
        <v>1</v>
      </c>
      <c r="F2568" s="1">
        <f>IF(OR(Table4[[#This Row],[INSTALLMENT]]=2,Table4[[#This Row],[INSTALLMENT]]=3),2,0)</f>
        <v>0</v>
      </c>
      <c r="G2568" s="1">
        <f>IF(OR(Table4[[#This Row],[INSTALLMENT]]=3),3,0)</f>
        <v>0</v>
      </c>
    </row>
    <row r="2569" spans="1:7">
      <c r="A2569" s="1">
        <v>3167</v>
      </c>
      <c r="B2569" s="1" t="s">
        <v>573</v>
      </c>
      <c r="C2569" s="1" t="s">
        <v>62</v>
      </c>
      <c r="D2569" s="1">
        <f>COUNTIFS('Raw Entries'!B:B,Table4[[#This Row],[Name]],'Raw Entries'!I:I,Table4[[#This Row],[BOOK No.]])</f>
        <v>0</v>
      </c>
      <c r="E2569" s="1">
        <f t="array" ref="E2569">IF(OR(Table4[[#This Row],[INSTALLMENT]]=1,Table4[[#This Row],[INSTALLMENT]]=2,Table4[[#This Row],[INSTALLMENT]]=3),1,0)</f>
        <v>0</v>
      </c>
      <c r="F2569" s="1">
        <f>IF(OR(Table4[[#This Row],[INSTALLMENT]]=2,Table4[[#This Row],[INSTALLMENT]]=3),2,0)</f>
        <v>0</v>
      </c>
      <c r="G2569" s="1">
        <f>IF(OR(Table4[[#This Row],[INSTALLMENT]]=3),3,0)</f>
        <v>0</v>
      </c>
    </row>
    <row r="2570" spans="1:7">
      <c r="A2570" s="1">
        <v>3168</v>
      </c>
      <c r="B2570" s="1" t="s">
        <v>3818</v>
      </c>
      <c r="C2570" s="1" t="s">
        <v>62</v>
      </c>
      <c r="D2570" s="1">
        <f>COUNTIFS('Raw Entries'!B:B,Table4[[#This Row],[Name]],'Raw Entries'!I:I,Table4[[#This Row],[BOOK No.]])</f>
        <v>0</v>
      </c>
      <c r="E2570" s="1">
        <f t="array" ref="E2570">IF(OR(Table4[[#This Row],[INSTALLMENT]]=1,Table4[[#This Row],[INSTALLMENT]]=2,Table4[[#This Row],[INSTALLMENT]]=3),1,0)</f>
        <v>0</v>
      </c>
      <c r="F2570" s="1">
        <f>IF(OR(Table4[[#This Row],[INSTALLMENT]]=2,Table4[[#This Row],[INSTALLMENT]]=3),2,0)</f>
        <v>0</v>
      </c>
      <c r="G2570" s="1">
        <f>IF(OR(Table4[[#This Row],[INSTALLMENT]]=3),3,0)</f>
        <v>0</v>
      </c>
    </row>
    <row r="2571" spans="1:7">
      <c r="A2571" s="1">
        <v>3169</v>
      </c>
      <c r="B2571" s="1" t="s">
        <v>3819</v>
      </c>
      <c r="C2571" s="1" t="s">
        <v>62</v>
      </c>
      <c r="D2571" s="1">
        <f>COUNTIFS('Raw Entries'!B:B,Table4[[#This Row],[Name]],'Raw Entries'!I:I,Table4[[#This Row],[BOOK No.]])</f>
        <v>1</v>
      </c>
      <c r="E2571" s="1">
        <f t="array" ref="E2571">IF(OR(Table4[[#This Row],[INSTALLMENT]]=1,Table4[[#This Row],[INSTALLMENT]]=2,Table4[[#This Row],[INSTALLMENT]]=3),1,0)</f>
        <v>1</v>
      </c>
      <c r="F2571" s="1">
        <f>IF(OR(Table4[[#This Row],[INSTALLMENT]]=2,Table4[[#This Row],[INSTALLMENT]]=3),2,0)</f>
        <v>0</v>
      </c>
      <c r="G2571" s="1">
        <f>IF(OR(Table4[[#This Row],[INSTALLMENT]]=3),3,0)</f>
        <v>0</v>
      </c>
    </row>
    <row r="2572" spans="1:7">
      <c r="A2572" s="1">
        <v>3170</v>
      </c>
      <c r="B2572" s="1" t="s">
        <v>3820</v>
      </c>
      <c r="C2572" s="1" t="s">
        <v>62</v>
      </c>
      <c r="D2572" s="1">
        <f>COUNTIFS('Raw Entries'!B:B,Table4[[#This Row],[Name]],'Raw Entries'!I:I,Table4[[#This Row],[BOOK No.]])</f>
        <v>0</v>
      </c>
      <c r="E2572" s="1">
        <f t="array" ref="E2572">IF(OR(Table4[[#This Row],[INSTALLMENT]]=1,Table4[[#This Row],[INSTALLMENT]]=2,Table4[[#This Row],[INSTALLMENT]]=3),1,0)</f>
        <v>0</v>
      </c>
      <c r="F2572" s="1">
        <f>IF(OR(Table4[[#This Row],[INSTALLMENT]]=2,Table4[[#This Row],[INSTALLMENT]]=3),2,0)</f>
        <v>0</v>
      </c>
      <c r="G2572" s="1">
        <f>IF(OR(Table4[[#This Row],[INSTALLMENT]]=3),3,0)</f>
        <v>0</v>
      </c>
    </row>
    <row r="2573" spans="1:7">
      <c r="A2573" s="1">
        <v>3171</v>
      </c>
      <c r="B2573" s="1" t="s">
        <v>3821</v>
      </c>
      <c r="C2573" s="1" t="s">
        <v>62</v>
      </c>
      <c r="D2573" s="1">
        <f>COUNTIFS('Raw Entries'!B:B,Table4[[#This Row],[Name]],'Raw Entries'!I:I,Table4[[#This Row],[BOOK No.]])</f>
        <v>0</v>
      </c>
      <c r="E2573" s="1">
        <f t="array" ref="E2573">IF(OR(Table4[[#This Row],[INSTALLMENT]]=1,Table4[[#This Row],[INSTALLMENT]]=2,Table4[[#This Row],[INSTALLMENT]]=3),1,0)</f>
        <v>0</v>
      </c>
      <c r="F2573" s="1">
        <f>IF(OR(Table4[[#This Row],[INSTALLMENT]]=2,Table4[[#This Row],[INSTALLMENT]]=3),2,0)</f>
        <v>0</v>
      </c>
      <c r="G2573" s="1">
        <f>IF(OR(Table4[[#This Row],[INSTALLMENT]]=3),3,0)</f>
        <v>0</v>
      </c>
    </row>
    <row r="2574" spans="1:7">
      <c r="A2574" s="1">
        <v>3172</v>
      </c>
      <c r="B2574" s="1" t="s">
        <v>3822</v>
      </c>
      <c r="C2574" s="1" t="s">
        <v>62</v>
      </c>
      <c r="D2574" s="1">
        <f>COUNTIFS('Raw Entries'!B:B,Table4[[#This Row],[Name]],'Raw Entries'!I:I,Table4[[#This Row],[BOOK No.]])</f>
        <v>0</v>
      </c>
      <c r="E2574" s="1">
        <f t="array" ref="E2574">IF(OR(Table4[[#This Row],[INSTALLMENT]]=1,Table4[[#This Row],[INSTALLMENT]]=2,Table4[[#This Row],[INSTALLMENT]]=3),1,0)</f>
        <v>0</v>
      </c>
      <c r="F2574" s="1">
        <f>IF(OR(Table4[[#This Row],[INSTALLMENT]]=2,Table4[[#This Row],[INSTALLMENT]]=3),2,0)</f>
        <v>0</v>
      </c>
      <c r="G2574" s="1">
        <f>IF(OR(Table4[[#This Row],[INSTALLMENT]]=3),3,0)</f>
        <v>0</v>
      </c>
    </row>
    <row r="2575" spans="1:7">
      <c r="A2575" s="1">
        <v>3173</v>
      </c>
      <c r="B2575" s="1" t="s">
        <v>3823</v>
      </c>
      <c r="C2575" s="1" t="s">
        <v>62</v>
      </c>
      <c r="D2575" s="1">
        <f>COUNTIFS('Raw Entries'!B:B,Table4[[#This Row],[Name]],'Raw Entries'!I:I,Table4[[#This Row],[BOOK No.]])</f>
        <v>0</v>
      </c>
      <c r="E2575" s="1">
        <f t="array" ref="E2575">IF(OR(Table4[[#This Row],[INSTALLMENT]]=1,Table4[[#This Row],[INSTALLMENT]]=2,Table4[[#This Row],[INSTALLMENT]]=3),1,0)</f>
        <v>0</v>
      </c>
      <c r="F2575" s="1">
        <f>IF(OR(Table4[[#This Row],[INSTALLMENT]]=2,Table4[[#This Row],[INSTALLMENT]]=3),2,0)</f>
        <v>0</v>
      </c>
      <c r="G2575" s="1">
        <f>IF(OR(Table4[[#This Row],[INSTALLMENT]]=3),3,0)</f>
        <v>0</v>
      </c>
    </row>
    <row r="2576" spans="1:7">
      <c r="A2576" s="1">
        <v>3174</v>
      </c>
      <c r="B2576" s="1" t="s">
        <v>3824</v>
      </c>
      <c r="C2576" s="1" t="s">
        <v>62</v>
      </c>
      <c r="D2576" s="1">
        <f>COUNTIFS('Raw Entries'!B:B,Table4[[#This Row],[Name]],'Raw Entries'!I:I,Table4[[#This Row],[BOOK No.]])</f>
        <v>3</v>
      </c>
      <c r="E2576" s="1">
        <f t="array" ref="E2576">IF(OR(Table4[[#This Row],[INSTALLMENT]]=1,Table4[[#This Row],[INSTALLMENT]]=2,Table4[[#This Row],[INSTALLMENT]]=3),1,0)</f>
        <v>1</v>
      </c>
      <c r="F2576" s="1">
        <f>IF(OR(Table4[[#This Row],[INSTALLMENT]]=2,Table4[[#This Row],[INSTALLMENT]]=3),2,0)</f>
        <v>2</v>
      </c>
      <c r="G2576" s="1">
        <f>IF(OR(Table4[[#This Row],[INSTALLMENT]]=3),3,0)</f>
        <v>3</v>
      </c>
    </row>
    <row r="2577" spans="1:7">
      <c r="A2577" s="1">
        <v>3175</v>
      </c>
      <c r="B2577" s="1" t="s">
        <v>65</v>
      </c>
      <c r="C2577" s="1" t="s">
        <v>62</v>
      </c>
      <c r="D2577" s="1">
        <f>COUNTIFS('Raw Entries'!B:B,Table4[[#This Row],[Name]],'Raw Entries'!I:I,Table4[[#This Row],[BOOK No.]])</f>
        <v>2</v>
      </c>
      <c r="E2577" s="1">
        <f t="array" ref="E2577">IF(OR(Table4[[#This Row],[INSTALLMENT]]=1,Table4[[#This Row],[INSTALLMENT]]=2,Table4[[#This Row],[INSTALLMENT]]=3),1,0)</f>
        <v>1</v>
      </c>
      <c r="F2577" s="1">
        <f>IF(OR(Table4[[#This Row],[INSTALLMENT]]=2,Table4[[#This Row],[INSTALLMENT]]=3),2,0)</f>
        <v>2</v>
      </c>
      <c r="G2577" s="1">
        <f>IF(OR(Table4[[#This Row],[INSTALLMENT]]=3),3,0)</f>
        <v>0</v>
      </c>
    </row>
    <row r="2578" spans="1:7">
      <c r="A2578" s="1">
        <v>3176</v>
      </c>
      <c r="B2578" s="1" t="s">
        <v>66</v>
      </c>
      <c r="C2578" s="1" t="s">
        <v>62</v>
      </c>
      <c r="D2578" s="1">
        <f>COUNTIFS('Raw Entries'!B:B,Table4[[#This Row],[Name]],'Raw Entries'!I:I,Table4[[#This Row],[BOOK No.]])</f>
        <v>1</v>
      </c>
      <c r="E2578" s="1">
        <f t="array" ref="E2578">IF(OR(Table4[[#This Row],[INSTALLMENT]]=1,Table4[[#This Row],[INSTALLMENT]]=2,Table4[[#This Row],[INSTALLMENT]]=3),1,0)</f>
        <v>1</v>
      </c>
      <c r="F2578" s="1">
        <f>IF(OR(Table4[[#This Row],[INSTALLMENT]]=2,Table4[[#This Row],[INSTALLMENT]]=3),2,0)</f>
        <v>0</v>
      </c>
      <c r="G2578" s="1">
        <f>IF(OR(Table4[[#This Row],[INSTALLMENT]]=3),3,0)</f>
        <v>0</v>
      </c>
    </row>
    <row r="2579" spans="1:7">
      <c r="A2579" s="1">
        <v>3177</v>
      </c>
      <c r="B2579" s="1" t="s">
        <v>3825</v>
      </c>
      <c r="C2579" s="1" t="s">
        <v>62</v>
      </c>
      <c r="D2579" s="1">
        <f>COUNTIFS('Raw Entries'!B:B,Table4[[#This Row],[Name]],'Raw Entries'!I:I,Table4[[#This Row],[BOOK No.]])</f>
        <v>0</v>
      </c>
      <c r="E2579" s="1">
        <f t="array" ref="E2579">IF(OR(Table4[[#This Row],[INSTALLMENT]]=1,Table4[[#This Row],[INSTALLMENT]]=2,Table4[[#This Row],[INSTALLMENT]]=3),1,0)</f>
        <v>0</v>
      </c>
      <c r="F2579" s="1">
        <f>IF(OR(Table4[[#This Row],[INSTALLMENT]]=2,Table4[[#This Row],[INSTALLMENT]]=3),2,0)</f>
        <v>0</v>
      </c>
      <c r="G2579" s="1">
        <f>IF(OR(Table4[[#This Row],[INSTALLMENT]]=3),3,0)</f>
        <v>0</v>
      </c>
    </row>
    <row r="2580" spans="1:7">
      <c r="A2580" s="1">
        <v>3178</v>
      </c>
      <c r="B2580" s="1" t="s">
        <v>3826</v>
      </c>
      <c r="C2580" s="1" t="s">
        <v>62</v>
      </c>
      <c r="D2580" s="1">
        <f>COUNTIFS('Raw Entries'!B:B,Table4[[#This Row],[Name]],'Raw Entries'!I:I,Table4[[#This Row],[BOOK No.]])</f>
        <v>0</v>
      </c>
      <c r="E2580" s="1">
        <f t="array" ref="E2580">IF(OR(Table4[[#This Row],[INSTALLMENT]]=1,Table4[[#This Row],[INSTALLMENT]]=2,Table4[[#This Row],[INSTALLMENT]]=3),1,0)</f>
        <v>0</v>
      </c>
      <c r="F2580" s="1">
        <f>IF(OR(Table4[[#This Row],[INSTALLMENT]]=2,Table4[[#This Row],[INSTALLMENT]]=3),2,0)</f>
        <v>0</v>
      </c>
      <c r="G2580" s="1">
        <f>IF(OR(Table4[[#This Row],[INSTALLMENT]]=3),3,0)</f>
        <v>0</v>
      </c>
    </row>
    <row r="2581" spans="1:7">
      <c r="A2581" s="1">
        <v>3179</v>
      </c>
      <c r="B2581" s="1" t="s">
        <v>63</v>
      </c>
      <c r="C2581" s="1" t="s">
        <v>62</v>
      </c>
      <c r="D2581" s="1">
        <f>COUNTIFS('Raw Entries'!B:B,Table4[[#This Row],[Name]],'Raw Entries'!I:I,Table4[[#This Row],[BOOK No.]])</f>
        <v>3</v>
      </c>
      <c r="E2581" s="1">
        <f t="array" ref="E2581">IF(OR(Table4[[#This Row],[INSTALLMENT]]=1,Table4[[#This Row],[INSTALLMENT]]=2,Table4[[#This Row],[INSTALLMENT]]=3),1,0)</f>
        <v>1</v>
      </c>
      <c r="F2581" s="1">
        <f>IF(OR(Table4[[#This Row],[INSTALLMENT]]=2,Table4[[#This Row],[INSTALLMENT]]=3),2,0)</f>
        <v>2</v>
      </c>
      <c r="G2581" s="1">
        <f>IF(OR(Table4[[#This Row],[INSTALLMENT]]=3),3,0)</f>
        <v>3</v>
      </c>
    </row>
    <row r="2582" spans="1:7">
      <c r="A2582" s="1">
        <v>3180</v>
      </c>
      <c r="B2582" s="1" t="s">
        <v>1849</v>
      </c>
      <c r="C2582" s="1" t="s">
        <v>62</v>
      </c>
      <c r="D2582" s="1">
        <f>COUNTIFS('Raw Entries'!B:B,Table4[[#This Row],[Name]],'Raw Entries'!I:I,Table4[[#This Row],[BOOK No.]])</f>
        <v>1</v>
      </c>
      <c r="E2582" s="1">
        <f t="array" ref="E2582">IF(OR(Table4[[#This Row],[INSTALLMENT]]=1,Table4[[#This Row],[INSTALLMENT]]=2,Table4[[#This Row],[INSTALLMENT]]=3),1,0)</f>
        <v>1</v>
      </c>
      <c r="F2582" s="1">
        <f>IF(OR(Table4[[#This Row],[INSTALLMENT]]=2,Table4[[#This Row],[INSTALLMENT]]=3),2,0)</f>
        <v>0</v>
      </c>
      <c r="G2582" s="1">
        <f>IF(OR(Table4[[#This Row],[INSTALLMENT]]=3),3,0)</f>
        <v>0</v>
      </c>
    </row>
    <row r="2583" spans="1:7">
      <c r="A2583" s="1">
        <v>3181</v>
      </c>
      <c r="B2583" s="1" t="s">
        <v>3827</v>
      </c>
      <c r="C2583" s="1" t="s">
        <v>62</v>
      </c>
      <c r="D2583" s="1">
        <f>COUNTIFS('Raw Entries'!B:B,Table4[[#This Row],[Name]],'Raw Entries'!I:I,Table4[[#This Row],[BOOK No.]])</f>
        <v>0</v>
      </c>
      <c r="E2583" s="1">
        <f t="array" ref="E2583">IF(OR(Table4[[#This Row],[INSTALLMENT]]=1,Table4[[#This Row],[INSTALLMENT]]=2,Table4[[#This Row],[INSTALLMENT]]=3),1,0)</f>
        <v>0</v>
      </c>
      <c r="F2583" s="1">
        <f>IF(OR(Table4[[#This Row],[INSTALLMENT]]=2,Table4[[#This Row],[INSTALLMENT]]=3),2,0)</f>
        <v>0</v>
      </c>
      <c r="G2583" s="1">
        <f>IF(OR(Table4[[#This Row],[INSTALLMENT]]=3),3,0)</f>
        <v>0</v>
      </c>
    </row>
    <row r="2584" spans="1:7">
      <c r="A2584" s="1">
        <v>3182</v>
      </c>
      <c r="B2584" s="1" t="s">
        <v>3828</v>
      </c>
      <c r="C2584" s="1" t="s">
        <v>62</v>
      </c>
      <c r="D2584" s="1">
        <f>COUNTIFS('Raw Entries'!B:B,Table4[[#This Row],[Name]],'Raw Entries'!I:I,Table4[[#This Row],[BOOK No.]])</f>
        <v>0</v>
      </c>
      <c r="E2584" s="1">
        <f t="array" ref="E2584">IF(OR(Table4[[#This Row],[INSTALLMENT]]=1,Table4[[#This Row],[INSTALLMENT]]=2,Table4[[#This Row],[INSTALLMENT]]=3),1,0)</f>
        <v>0</v>
      </c>
      <c r="F2584" s="1">
        <f>IF(OR(Table4[[#This Row],[INSTALLMENT]]=2,Table4[[#This Row],[INSTALLMENT]]=3),2,0)</f>
        <v>0</v>
      </c>
      <c r="G2584" s="1">
        <f>IF(OR(Table4[[#This Row],[INSTALLMENT]]=3),3,0)</f>
        <v>0</v>
      </c>
    </row>
    <row r="2585" spans="1:7">
      <c r="A2585" s="1">
        <v>3183</v>
      </c>
      <c r="B2585" s="1" t="s">
        <v>67</v>
      </c>
      <c r="C2585" s="1" t="s">
        <v>62</v>
      </c>
      <c r="D2585" s="1">
        <f>COUNTIFS('Raw Entries'!B:B,Table4[[#This Row],[Name]],'Raw Entries'!I:I,Table4[[#This Row],[BOOK No.]])</f>
        <v>3</v>
      </c>
      <c r="E2585" s="1">
        <f t="array" ref="E2585">IF(OR(Table4[[#This Row],[INSTALLMENT]]=1,Table4[[#This Row],[INSTALLMENT]]=2,Table4[[#This Row],[INSTALLMENT]]=3),1,0)</f>
        <v>1</v>
      </c>
      <c r="F2585" s="1">
        <f>IF(OR(Table4[[#This Row],[INSTALLMENT]]=2,Table4[[#This Row],[INSTALLMENT]]=3),2,0)</f>
        <v>2</v>
      </c>
      <c r="G2585" s="1">
        <f>IF(OR(Table4[[#This Row],[INSTALLMENT]]=3),3,0)</f>
        <v>3</v>
      </c>
    </row>
    <row r="2586" spans="1:7">
      <c r="A2586" s="1">
        <v>3184</v>
      </c>
      <c r="B2586" s="1" t="s">
        <v>648</v>
      </c>
      <c r="C2586" s="1" t="s">
        <v>62</v>
      </c>
      <c r="D2586" s="1">
        <f>COUNTIFS('Raw Entries'!B:B,Table4[[#This Row],[Name]],'Raw Entries'!I:I,Table4[[#This Row],[BOOK No.]])</f>
        <v>3</v>
      </c>
      <c r="E2586" s="1">
        <f t="array" ref="E2586">IF(OR(Table4[[#This Row],[INSTALLMENT]]=1,Table4[[#This Row],[INSTALLMENT]]=2,Table4[[#This Row],[INSTALLMENT]]=3),1,0)</f>
        <v>1</v>
      </c>
      <c r="F2586" s="1">
        <f>IF(OR(Table4[[#This Row],[INSTALLMENT]]=2,Table4[[#This Row],[INSTALLMENT]]=3),2,0)</f>
        <v>2</v>
      </c>
      <c r="G2586" s="1">
        <f>IF(OR(Table4[[#This Row],[INSTALLMENT]]=3),3,0)</f>
        <v>3</v>
      </c>
    </row>
    <row r="2587" spans="1:7">
      <c r="A2587" s="1">
        <v>3185</v>
      </c>
      <c r="B2587" s="1" t="s">
        <v>3829</v>
      </c>
      <c r="C2587" s="1" t="s">
        <v>62</v>
      </c>
      <c r="D2587" s="1">
        <f>COUNTIFS('Raw Entries'!B:B,Table4[[#This Row],[Name]],'Raw Entries'!I:I,Table4[[#This Row],[BOOK No.]])</f>
        <v>0</v>
      </c>
      <c r="E2587" s="1">
        <f t="array" ref="E2587">IF(OR(Table4[[#This Row],[INSTALLMENT]]=1,Table4[[#This Row],[INSTALLMENT]]=2,Table4[[#This Row],[INSTALLMENT]]=3),1,0)</f>
        <v>0</v>
      </c>
      <c r="F2587" s="1">
        <f>IF(OR(Table4[[#This Row],[INSTALLMENT]]=2,Table4[[#This Row],[INSTALLMENT]]=3),2,0)</f>
        <v>0</v>
      </c>
      <c r="G2587" s="1">
        <f>IF(OR(Table4[[#This Row],[INSTALLMENT]]=3),3,0)</f>
        <v>0</v>
      </c>
    </row>
    <row r="2588" spans="1:7">
      <c r="A2588" s="1">
        <v>3186</v>
      </c>
      <c r="B2588" s="1" t="s">
        <v>3830</v>
      </c>
      <c r="C2588" s="1" t="s">
        <v>62</v>
      </c>
      <c r="D2588" s="1">
        <f>COUNTIFS('Raw Entries'!B:B,Table4[[#This Row],[Name]],'Raw Entries'!I:I,Table4[[#This Row],[BOOK No.]])</f>
        <v>3</v>
      </c>
      <c r="E2588" s="1">
        <f t="array" ref="E2588">IF(OR(Table4[[#This Row],[INSTALLMENT]]=1,Table4[[#This Row],[INSTALLMENT]]=2,Table4[[#This Row],[INSTALLMENT]]=3),1,0)</f>
        <v>1</v>
      </c>
      <c r="F2588" s="1">
        <f>IF(OR(Table4[[#This Row],[INSTALLMENT]]=2,Table4[[#This Row],[INSTALLMENT]]=3),2,0)</f>
        <v>2</v>
      </c>
      <c r="G2588" s="1">
        <f>IF(OR(Table4[[#This Row],[INSTALLMENT]]=3),3,0)</f>
        <v>3</v>
      </c>
    </row>
    <row r="2589" spans="1:7">
      <c r="A2589" s="1">
        <v>3187</v>
      </c>
      <c r="B2589" s="1" t="s">
        <v>3831</v>
      </c>
      <c r="C2589" s="1" t="s">
        <v>62</v>
      </c>
      <c r="D2589" s="1">
        <f>COUNTIFS('Raw Entries'!B:B,Table4[[#This Row],[Name]],'Raw Entries'!I:I,Table4[[#This Row],[BOOK No.]])</f>
        <v>0</v>
      </c>
      <c r="E2589" s="1">
        <f t="array" ref="E2589">IF(OR(Table4[[#This Row],[INSTALLMENT]]=1,Table4[[#This Row],[INSTALLMENT]]=2,Table4[[#This Row],[INSTALLMENT]]=3),1,0)</f>
        <v>0</v>
      </c>
      <c r="F2589" s="1">
        <f>IF(OR(Table4[[#This Row],[INSTALLMENT]]=2,Table4[[#This Row],[INSTALLMENT]]=3),2,0)</f>
        <v>0</v>
      </c>
      <c r="G2589" s="1">
        <f>IF(OR(Table4[[#This Row],[INSTALLMENT]]=3),3,0)</f>
        <v>0</v>
      </c>
    </row>
    <row r="2590" spans="1:7">
      <c r="A2590" s="1">
        <v>3188</v>
      </c>
      <c r="B2590" s="1" t="s">
        <v>3832</v>
      </c>
      <c r="C2590" s="1" t="s">
        <v>62</v>
      </c>
      <c r="D2590" s="1">
        <f>COUNTIFS('Raw Entries'!B:B,Table4[[#This Row],[Name]],'Raw Entries'!I:I,Table4[[#This Row],[BOOK No.]])</f>
        <v>0</v>
      </c>
      <c r="E2590" s="1">
        <f t="array" ref="E2590">IF(OR(Table4[[#This Row],[INSTALLMENT]]=1,Table4[[#This Row],[INSTALLMENT]]=2,Table4[[#This Row],[INSTALLMENT]]=3),1,0)</f>
        <v>0</v>
      </c>
      <c r="F2590" s="1">
        <f>IF(OR(Table4[[#This Row],[INSTALLMENT]]=2,Table4[[#This Row],[INSTALLMENT]]=3),2,0)</f>
        <v>0</v>
      </c>
      <c r="G2590" s="1">
        <f>IF(OR(Table4[[#This Row],[INSTALLMENT]]=3),3,0)</f>
        <v>0</v>
      </c>
    </row>
    <row r="2591" spans="1:7">
      <c r="A2591" s="1">
        <v>3189</v>
      </c>
      <c r="B2591" s="1" t="s">
        <v>64</v>
      </c>
      <c r="C2591" s="1" t="s">
        <v>62</v>
      </c>
      <c r="D2591" s="1">
        <f>COUNTIFS('Raw Entries'!B:B,Table4[[#This Row],[Name]],'Raw Entries'!I:I,Table4[[#This Row],[BOOK No.]])</f>
        <v>3</v>
      </c>
      <c r="E2591" s="1">
        <f t="array" ref="E2591">IF(OR(Table4[[#This Row],[INSTALLMENT]]=1,Table4[[#This Row],[INSTALLMENT]]=2,Table4[[#This Row],[INSTALLMENT]]=3),1,0)</f>
        <v>1</v>
      </c>
      <c r="F2591" s="1">
        <f>IF(OR(Table4[[#This Row],[INSTALLMENT]]=2,Table4[[#This Row],[INSTALLMENT]]=3),2,0)</f>
        <v>2</v>
      </c>
      <c r="G2591" s="1">
        <f>IF(OR(Table4[[#This Row],[INSTALLMENT]]=3),3,0)</f>
        <v>3</v>
      </c>
    </row>
    <row r="2592" spans="1:7">
      <c r="A2592" s="1">
        <v>3190</v>
      </c>
      <c r="B2592" s="1" t="s">
        <v>3833</v>
      </c>
      <c r="C2592" s="1" t="s">
        <v>62</v>
      </c>
      <c r="D2592" s="1">
        <f>COUNTIFS('Raw Entries'!B:B,Table4[[#This Row],[Name]],'Raw Entries'!I:I,Table4[[#This Row],[BOOK No.]])</f>
        <v>3</v>
      </c>
      <c r="E2592" s="1">
        <f t="array" ref="E2592">IF(OR(Table4[[#This Row],[INSTALLMENT]]=1,Table4[[#This Row],[INSTALLMENT]]=2,Table4[[#This Row],[INSTALLMENT]]=3),1,0)</f>
        <v>1</v>
      </c>
      <c r="F2592" s="1">
        <f>IF(OR(Table4[[#This Row],[INSTALLMENT]]=2,Table4[[#This Row],[INSTALLMENT]]=3),2,0)</f>
        <v>2</v>
      </c>
      <c r="G2592" s="1">
        <f>IF(OR(Table4[[#This Row],[INSTALLMENT]]=3),3,0)</f>
        <v>3</v>
      </c>
    </row>
    <row r="2593" spans="1:7">
      <c r="A2593" s="1">
        <v>3191</v>
      </c>
      <c r="B2593" s="1" t="s">
        <v>3834</v>
      </c>
      <c r="C2593" s="1" t="s">
        <v>62</v>
      </c>
      <c r="D2593" s="1">
        <f>COUNTIFS('Raw Entries'!B:B,Table4[[#This Row],[Name]],'Raw Entries'!I:I,Table4[[#This Row],[BOOK No.]])</f>
        <v>0</v>
      </c>
      <c r="E2593" s="1">
        <f t="array" ref="E2593">IF(OR(Table4[[#This Row],[INSTALLMENT]]=1,Table4[[#This Row],[INSTALLMENT]]=2,Table4[[#This Row],[INSTALLMENT]]=3),1,0)</f>
        <v>0</v>
      </c>
      <c r="F2593" s="1">
        <f>IF(OR(Table4[[#This Row],[INSTALLMENT]]=2,Table4[[#This Row],[INSTALLMENT]]=3),2,0)</f>
        <v>0</v>
      </c>
      <c r="G2593" s="1">
        <f>IF(OR(Table4[[#This Row],[INSTALLMENT]]=3),3,0)</f>
        <v>0</v>
      </c>
    </row>
    <row r="2594" spans="1:7">
      <c r="A2594" s="1">
        <v>3192</v>
      </c>
      <c r="B2594" s="1" t="s">
        <v>3835</v>
      </c>
      <c r="C2594" s="1" t="s">
        <v>62</v>
      </c>
      <c r="D2594" s="1">
        <f>COUNTIFS('Raw Entries'!B:B,Table4[[#This Row],[Name]],'Raw Entries'!I:I,Table4[[#This Row],[BOOK No.]])</f>
        <v>0</v>
      </c>
      <c r="E2594" s="1">
        <f t="array" ref="E2594">IF(OR(Table4[[#This Row],[INSTALLMENT]]=1,Table4[[#This Row],[INSTALLMENT]]=2,Table4[[#This Row],[INSTALLMENT]]=3),1,0)</f>
        <v>0</v>
      </c>
      <c r="F2594" s="1">
        <f>IF(OR(Table4[[#This Row],[INSTALLMENT]]=2,Table4[[#This Row],[INSTALLMENT]]=3),2,0)</f>
        <v>0</v>
      </c>
      <c r="G2594" s="1">
        <f>IF(OR(Table4[[#This Row],[INSTALLMENT]]=3),3,0)</f>
        <v>0</v>
      </c>
    </row>
    <row r="2595" spans="1:7">
      <c r="A2595" s="1">
        <v>3193</v>
      </c>
      <c r="B2595" s="1" t="s">
        <v>3836</v>
      </c>
      <c r="C2595" s="1" t="s">
        <v>62</v>
      </c>
      <c r="D2595" s="1">
        <f>COUNTIFS('Raw Entries'!B:B,Table4[[#This Row],[Name]],'Raw Entries'!I:I,Table4[[#This Row],[BOOK No.]])</f>
        <v>0</v>
      </c>
      <c r="E2595" s="1">
        <f t="array" ref="E2595">IF(OR(Table4[[#This Row],[INSTALLMENT]]=1,Table4[[#This Row],[INSTALLMENT]]=2,Table4[[#This Row],[INSTALLMENT]]=3),1,0)</f>
        <v>0</v>
      </c>
      <c r="F2595" s="1">
        <f>IF(OR(Table4[[#This Row],[INSTALLMENT]]=2,Table4[[#This Row],[INSTALLMENT]]=3),2,0)</f>
        <v>0</v>
      </c>
      <c r="G2595" s="1">
        <f>IF(OR(Table4[[#This Row],[INSTALLMENT]]=3),3,0)</f>
        <v>0</v>
      </c>
    </row>
    <row r="2596" spans="1:7">
      <c r="A2596" s="1">
        <v>3194</v>
      </c>
      <c r="B2596" s="1" t="s">
        <v>1912</v>
      </c>
      <c r="C2596" s="1" t="s">
        <v>62</v>
      </c>
      <c r="D2596" s="1">
        <f>COUNTIFS('Raw Entries'!B:B,Table4[[#This Row],[Name]],'Raw Entries'!I:I,Table4[[#This Row],[BOOK No.]])</f>
        <v>3</v>
      </c>
      <c r="E2596" s="1">
        <f t="array" ref="E2596">IF(OR(Table4[[#This Row],[INSTALLMENT]]=1,Table4[[#This Row],[INSTALLMENT]]=2,Table4[[#This Row],[INSTALLMENT]]=3),1,0)</f>
        <v>1</v>
      </c>
      <c r="F2596" s="1">
        <f>IF(OR(Table4[[#This Row],[INSTALLMENT]]=2,Table4[[#This Row],[INSTALLMENT]]=3),2,0)</f>
        <v>2</v>
      </c>
      <c r="G2596" s="1">
        <f>IF(OR(Table4[[#This Row],[INSTALLMENT]]=3),3,0)</f>
        <v>3</v>
      </c>
    </row>
    <row r="2597" spans="1:7">
      <c r="A2597" s="1">
        <v>3195</v>
      </c>
      <c r="B2597" s="1" t="s">
        <v>3837</v>
      </c>
      <c r="C2597" s="1" t="s">
        <v>62</v>
      </c>
      <c r="D2597" s="1">
        <f>COUNTIFS('Raw Entries'!B:B,Table4[[#This Row],[Name]],'Raw Entries'!I:I,Table4[[#This Row],[BOOK No.]])</f>
        <v>0</v>
      </c>
      <c r="E2597" s="1">
        <f t="array" ref="E2597">IF(OR(Table4[[#This Row],[INSTALLMENT]]=1,Table4[[#This Row],[INSTALLMENT]]=2,Table4[[#This Row],[INSTALLMENT]]=3),1,0)</f>
        <v>0</v>
      </c>
      <c r="F2597" s="1">
        <f>IF(OR(Table4[[#This Row],[INSTALLMENT]]=2,Table4[[#This Row],[INSTALLMENT]]=3),2,0)</f>
        <v>0</v>
      </c>
      <c r="G2597" s="1">
        <f>IF(OR(Table4[[#This Row],[INSTALLMENT]]=3),3,0)</f>
        <v>0</v>
      </c>
    </row>
    <row r="2598" spans="1:7">
      <c r="A2598" s="1">
        <v>3196</v>
      </c>
      <c r="B2598" s="1" t="s">
        <v>677</v>
      </c>
      <c r="C2598" s="1" t="s">
        <v>62</v>
      </c>
      <c r="D2598" s="1">
        <f>COUNTIFS('Raw Entries'!B:B,Table4[[#This Row],[Name]],'Raw Entries'!I:I,Table4[[#This Row],[BOOK No.]])</f>
        <v>3</v>
      </c>
      <c r="E2598" s="1">
        <f t="array" ref="E2598">IF(OR(Table4[[#This Row],[INSTALLMENT]]=1,Table4[[#This Row],[INSTALLMENT]]=2,Table4[[#This Row],[INSTALLMENT]]=3),1,0)</f>
        <v>1</v>
      </c>
      <c r="F2598" s="1">
        <f>IF(OR(Table4[[#This Row],[INSTALLMENT]]=2,Table4[[#This Row],[INSTALLMENT]]=3),2,0)</f>
        <v>2</v>
      </c>
      <c r="G2598" s="1">
        <f>IF(OR(Table4[[#This Row],[INSTALLMENT]]=3),3,0)</f>
        <v>3</v>
      </c>
    </row>
    <row r="2599" spans="1:7">
      <c r="A2599" s="1">
        <v>3197</v>
      </c>
      <c r="B2599" s="1" t="s">
        <v>3838</v>
      </c>
      <c r="C2599" s="1" t="s">
        <v>62</v>
      </c>
      <c r="D2599" s="1">
        <f>COUNTIFS('Raw Entries'!B:B,Table4[[#This Row],[Name]],'Raw Entries'!I:I,Table4[[#This Row],[BOOK No.]])</f>
        <v>0</v>
      </c>
      <c r="E2599" s="1">
        <f t="array" ref="E2599">IF(OR(Table4[[#This Row],[INSTALLMENT]]=1,Table4[[#This Row],[INSTALLMENT]]=2,Table4[[#This Row],[INSTALLMENT]]=3),1,0)</f>
        <v>0</v>
      </c>
      <c r="F2599" s="1">
        <f>IF(OR(Table4[[#This Row],[INSTALLMENT]]=2,Table4[[#This Row],[INSTALLMENT]]=3),2,0)</f>
        <v>0</v>
      </c>
      <c r="G2599" s="1">
        <f>IF(OR(Table4[[#This Row],[INSTALLMENT]]=3),3,0)</f>
        <v>0</v>
      </c>
    </row>
    <row r="2600" spans="1:7">
      <c r="A2600" s="1">
        <v>3198</v>
      </c>
      <c r="B2600" s="1" t="s">
        <v>3839</v>
      </c>
      <c r="C2600" s="1" t="s">
        <v>62</v>
      </c>
      <c r="D2600" s="1">
        <f>COUNTIFS('Raw Entries'!B:B,Table4[[#This Row],[Name]],'Raw Entries'!I:I,Table4[[#This Row],[BOOK No.]])</f>
        <v>0</v>
      </c>
      <c r="E2600" s="1">
        <f t="array" ref="E2600">IF(OR(Table4[[#This Row],[INSTALLMENT]]=1,Table4[[#This Row],[INSTALLMENT]]=2,Table4[[#This Row],[INSTALLMENT]]=3),1,0)</f>
        <v>0</v>
      </c>
      <c r="F2600" s="1">
        <f>IF(OR(Table4[[#This Row],[INSTALLMENT]]=2,Table4[[#This Row],[INSTALLMENT]]=3),2,0)</f>
        <v>0</v>
      </c>
      <c r="G2600" s="1">
        <f>IF(OR(Table4[[#This Row],[INSTALLMENT]]=3),3,0)</f>
        <v>0</v>
      </c>
    </row>
    <row r="2601" spans="1:7">
      <c r="A2601" s="1">
        <v>3199</v>
      </c>
      <c r="B2601" s="1" t="s">
        <v>3840</v>
      </c>
      <c r="C2601" s="1" t="s">
        <v>62</v>
      </c>
      <c r="D2601" s="1">
        <f>COUNTIFS('Raw Entries'!B:B,Table4[[#This Row],[Name]],'Raw Entries'!I:I,Table4[[#This Row],[BOOK No.]])</f>
        <v>0</v>
      </c>
      <c r="E2601" s="1">
        <f t="array" ref="E2601">IF(OR(Table4[[#This Row],[INSTALLMENT]]=1,Table4[[#This Row],[INSTALLMENT]]=2,Table4[[#This Row],[INSTALLMENT]]=3),1,0)</f>
        <v>0</v>
      </c>
      <c r="F2601" s="1">
        <f>IF(OR(Table4[[#This Row],[INSTALLMENT]]=2,Table4[[#This Row],[INSTALLMENT]]=3),2,0)</f>
        <v>0</v>
      </c>
      <c r="G2601" s="1">
        <f>IF(OR(Table4[[#This Row],[INSTALLMENT]]=3),3,0)</f>
        <v>0</v>
      </c>
    </row>
    <row r="2602" spans="1:7">
      <c r="A2602" s="1">
        <v>3200</v>
      </c>
      <c r="B2602" s="1" t="s">
        <v>3841</v>
      </c>
      <c r="C2602" s="1" t="s">
        <v>62</v>
      </c>
      <c r="D2602" s="1">
        <f>COUNTIFS('Raw Entries'!B:B,Table4[[#This Row],[Name]],'Raw Entries'!I:I,Table4[[#This Row],[BOOK No.]])</f>
        <v>0</v>
      </c>
      <c r="E2602" s="1">
        <f t="array" ref="E2602">IF(OR(Table4[[#This Row],[INSTALLMENT]]=1,Table4[[#This Row],[INSTALLMENT]]=2,Table4[[#This Row],[INSTALLMENT]]=3),1,0)</f>
        <v>0</v>
      </c>
      <c r="F2602" s="1">
        <f>IF(OR(Table4[[#This Row],[INSTALLMENT]]=2,Table4[[#This Row],[INSTALLMENT]]=3),2,0)</f>
        <v>0</v>
      </c>
      <c r="G2602" s="1">
        <f>IF(OR(Table4[[#This Row],[INSTALLMENT]]=3),3,0)</f>
        <v>0</v>
      </c>
    </row>
  </sheetData>
  <phoneticPr fontId="7" type="noConversion"/>
  <conditionalFormatting sqref="D1:D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{2C84EACF-FA68-404A-AC3F-C9E5EDEA1114}</x14:id>
        </ext>
      </extLs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C84EACF-FA68-404A-AC3F-C9E5EDEA11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Classwise Summary</vt:lpstr>
      <vt:lpstr>Class Totals</vt:lpstr>
      <vt:lpstr>Raw Entries</vt:lpstr>
      <vt:lpstr>ALL 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 Tarique Warsi</cp:lastModifiedBy>
  <dcterms:created xsi:type="dcterms:W3CDTF">2026-09-15T04:16:02Z</dcterms:created>
  <dcterms:modified xsi:type="dcterms:W3CDTF">2026-10-07T04:02:16Z</dcterms:modified>
</cp:coreProperties>
</file>